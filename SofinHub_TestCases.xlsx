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ADMIN - Quản trị &amp; Kiểm duyệt" sheetId="15" state="visible" r:id="rId15"/>
    <sheet xmlns:r="http://schemas.openxmlformats.org/officeDocument/2006/relationships" name="ADM - Admin Console (đợt 1)" sheetId="16" state="visible" r:id="rId16"/>
    <sheet xmlns:r="http://schemas.openxmlformats.org/officeDocument/2006/relationships" name="ADM2 - Admin Console (đợt 2)" sheetId="17" state="visible" r:id="rId17"/>
    <sheet xmlns:r="http://schemas.openxmlformats.org/officeDocument/2006/relationships" name="ADM3 - Admin Console (đợt 3)" sheetId="18" state="visible" r:id="rId18"/>
    <sheet xmlns:r="http://schemas.openxmlformats.org/officeDocument/2006/relationships" name="ROLE - Ma trận phân quyền" sheetId="19" state="visible" r:id="rId19"/>
    <sheet xmlns:r="http://schemas.openxmlformats.org/officeDocument/2006/relationships" name="SEC - Bảo mật &amp; Phi chức năng" sheetId="20" state="visible" r:id="rId20"/>
    <sheet xmlns:r="http://schemas.openxmlformats.org/officeDocument/2006/relationships" name="INTEG - API &amp; Concurrency" sheetId="21" state="visible" r:id="rId21"/>
    <sheet xmlns:r="http://schemas.openxmlformats.org/officeDocument/2006/relationships" name="Tài khoản &amp; dữ liệu test" sheetId="22" state="visible" r:id="rId22"/>
    <sheet xmlns:r="http://schemas.openxmlformats.org/officeDocument/2006/relationships" name="Phân quyền" sheetId="23" state="visible" r:id="rId23"/>
    <sheet xmlns:r="http://schemas.openxmlformats.org/officeDocument/2006/relationships" name="Nhật ký thay đổi" sheetId="24" state="visible" r:id="rId24"/>
    <sheet xmlns:r="http://schemas.openxmlformats.org/officeDocument/2006/relationships" name="Bằng chứng (ảnh)" sheetId="25" state="visible" r:id="rId25"/>
  </sheets>
  <definedNames>
    <definedName name="_xlnm._FilterDatabase" localSheetId="1" hidden="1">'HOME - Trang chủ &amp; Khám phá'!$A$1:$R$33</definedName>
    <definedName name="_xlnm._FilterDatabase" localSheetId="2" hidden="1">'AUTH - Tài khoản &amp; Xác thực'!$A$1:$R$163</definedName>
    <definedName name="_xlnm._FilterDatabase" localSheetId="3" hidden="1">'COMM - Cộng đồng'!$A$1:$R$238</definedName>
    <definedName name="_xlnm._FilterDatabase" localSheetId="4" hidden="1">'COMMVP - Cộng đồng MVP'!$A$1:$R$28</definedName>
    <definedName name="_xlnm._FilterDatabase" localSheetId="5" hidden="1">'COURSE - Lớp học'!$A$1:$R$108</definedName>
    <definedName name="_xlnm._FilterDatabase" localSheetId="6" hidden="1">'CERT - Chứng nhận'!$A$1:$R$42</definedName>
    <definedName name="_xlnm._FilterDatabase" localSheetId="7" hidden="1">'FEED - Bảng tin'!$A$1:$R$153</definedName>
    <definedName name="_xlnm._FilterDatabase" localSheetId="8" hidden="1">'MEMBER - Thành viên &amp; Xếp hạng'!$A$1:$R$66</definedName>
    <definedName name="_xlnm._FilterDatabase" localSheetId="9" hidden="1">'EVENT - Lịch &amp; Sự kiện'!$A$1:$R$103</definedName>
    <definedName name="_xlnm._FilterDatabase" localSheetId="10" hidden="1">'NOTI - Thông báo &amp; Nhắn tin'!$A$1:$R$157</definedName>
    <definedName name="_xlnm._FilterDatabase" localSheetId="11" hidden="1">'SEARCH - Tìm kiếm'!$A$1:$R$49</definedName>
    <definedName name="_xlnm._FilterDatabase" localSheetId="12" hidden="1">'UPLOAD - Upload tệp &amp; ảnh'!$A$1:$R$60</definedName>
    <definedName name="_xlnm._FilterDatabase" localSheetId="13" hidden="1">'PAY - Thanh toán &amp; Gói'!$A$1:$R$223</definedName>
    <definedName name="_xlnm._FilterDatabase" localSheetId="14" hidden="1">'ADMIN - Quản trị &amp; Kiểm duyệt'!$A$1:$R$79</definedName>
    <definedName name="_xlnm._FilterDatabase" localSheetId="15" hidden="1">'ADM - Admin Console (đợt 1)'!$A$1:$R$291</definedName>
    <definedName name="_xlnm._FilterDatabase" localSheetId="16" hidden="1">'ADM2 - Admin Console (đợt 2)'!$A$1:$R$338</definedName>
    <definedName name="_xlnm._FilterDatabase" localSheetId="17" hidden="1">'ADM3 - Admin Console (đợt 3)'!$A$1:$R$419</definedName>
    <definedName name="_xlnm._FilterDatabase" localSheetId="18" hidden="1">'ROLE - Ma trận phân quyền'!$A$1:$R$94</definedName>
    <definedName name="_xlnm._FilterDatabase" localSheetId="19" hidden="1">'SEC - Bảo mật &amp; Phi chức năng'!$A$1:$R$82</definedName>
    <definedName name="_xlnm._FilterDatabase" localSheetId="20" hidden="1">'INTEG - API &amp; Concurrency'!$A$1:$R$51</definedName>
    <definedName name="_xlnm._FilterDatabase" localSheetId="24"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MEMBER - Th&#224;nh vi&#234;n &amp; X&#7871;p h&#7841;ng'!A1" TargetMode="External" Id="rId7"/><Relationship Type="http://schemas.openxmlformats.org/officeDocument/2006/relationships/hyperlink" Target="#'EVENT - L&#7883;ch &amp; S&#7921; ki&#7879;n'!A1" TargetMode="External" Id="rId8"/><Relationship Type="http://schemas.openxmlformats.org/officeDocument/2006/relationships/hyperlink" Target="#'NOTI - Th&#244;ng b&#225;o &amp; Nh&#7855;n tin'!A1" TargetMode="External" Id="rId9"/><Relationship Type="http://schemas.openxmlformats.org/officeDocument/2006/relationships/hyperlink" Target="#'PAY - Thanh to&#225;n &amp; G&#243;i'!A1" TargetMode="External" Id="rId10"/><Relationship Type="http://schemas.openxmlformats.org/officeDocument/2006/relationships/hyperlink" Target="#'ADMIN - Qu&#7843;n tr&#7883; &amp; Ki&#7875;m duy&#7879;t'!A1" TargetMode="External" Id="rId11"/><Relationship Type="http://schemas.openxmlformats.org/officeDocument/2006/relationships/hyperlink" Target="#'SEC - B&#7843;o m&#7853;t &amp; Phi ch&#7913;c n&#259;ng'!A1" TargetMode="External" Id="rId12"/><Relationship Type="http://schemas.openxmlformats.org/officeDocument/2006/relationships/hyperlink" Target="#'ROLE - Ma tr&#7853;n ph&#226;n quy&#7873;n'!A1" TargetMode="External" Id="rId13"/><Relationship Type="http://schemas.openxmlformats.org/officeDocument/2006/relationships/hyperlink" Target="#'INTEG - API &amp; Concurrency'!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file:///C:/Users/dev/Desktop/sofin_hub/e2e/report/index.html" TargetMode="External" Id="rId30"/><Relationship Type="http://schemas.openxmlformats.org/officeDocument/2006/relationships/hyperlink" Target="file:///C:/Users/dev/Desktop/sofin_hub/e2e/report/index.html" TargetMode="External" Id="rId31"/><Relationship Type="http://schemas.openxmlformats.org/officeDocument/2006/relationships/hyperlink" Target="file:///C:/Users/dev/Desktop/sofin_hub/e2e/report/index.html" TargetMode="External" Id="rId32"/></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file:///C:/Users/dev/Desktop/sofin_hub/e2e/report/index.html"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s>
</file>

<file path=xl/worksheets/_rels/sheet20.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73"/>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(20 sheet, tên dạng 'MÃ - Tên': HOME, AUTH, COMM, COURSE, FEED, PAY, ADM, ADM2, ADM3,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2757</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MEMBER</t>
        </is>
      </c>
      <c r="B38" s="12" t="inlineStr">
        <is>
          <t>Thành viên, Hồ sơ &amp; Xếp hạng</t>
        </is>
      </c>
      <c r="C38" s="3">
        <f>COUNTA('MEMBER - Thành viên &amp; Xếp hạng'!$A$2:$A$5000)</f>
        <v/>
      </c>
      <c r="D38" s="3">
        <f>COUNTIF('MEMBER - Thành viên &amp; Xếp hạng'!$G:$G,"Đã hoàn thiện")</f>
        <v/>
      </c>
      <c r="E38" s="3">
        <f>COUNTIF('MEMBER - Thành viên &amp; Xếp hạng'!$G:$G,"Kế hoạch")</f>
        <v/>
      </c>
      <c r="F38" s="3">
        <f>COUNTIF('MEMBER - Thành viên &amp; Xếp hạng'!$H:$H,"Có")</f>
        <v/>
      </c>
      <c r="G38" s="3">
        <f>C38-F38</f>
        <v/>
      </c>
      <c r="H38" s="3">
        <f>COUNTIF('MEMBER - Thành viên &amp; Xếp hạng'!$N:$N,"Pass")</f>
        <v/>
      </c>
      <c r="I38" s="3">
        <f>COUNTIF('MEMBER - Thành viên &amp; Xếp hạng'!$Q:$Q,"Pass")</f>
        <v/>
      </c>
      <c r="J38" s="3">
        <f>COUNTIF('MEMBER - Thành viên &amp; Xếp hạng'!$N:$N,"Fail")+COUNTIF('MEMBER - Thành viên &amp; Xếp hạng'!$Q:$Q,"Fail")</f>
        <v/>
      </c>
      <c r="K38" s="3">
        <f>COUNTIF('MEMBER - Thành viên &amp; Xếp hạng'!$N:$N,"Chưa test")</f>
        <v/>
      </c>
      <c r="L38" s="3">
        <f>COUNTIF('MEMBER - Thành viên &amp; Xếp hạng'!$Q:$Q,"Chưa test")</f>
        <v/>
      </c>
    </row>
    <row r="39">
      <c r="A39" s="3" t="inlineStr">
        <is>
          <t>EVENT</t>
        </is>
      </c>
      <c r="B39" s="12" t="inlineStr">
        <is>
          <t>Lịch &amp; Sự kiện</t>
        </is>
      </c>
      <c r="C39" s="3">
        <f>COUNTA('EVENT - Lịch &amp; Sự kiện'!$A$2:$A$5000)</f>
        <v/>
      </c>
      <c r="D39" s="3">
        <f>COUNTIF('EVENT - Lịch &amp; Sự kiện'!$G:$G,"Đã hoàn thiện")</f>
        <v/>
      </c>
      <c r="E39" s="3">
        <f>COUNTIF('EVENT - Lịch &amp; Sự kiện'!$G:$G,"Kế hoạch")</f>
        <v/>
      </c>
      <c r="F39" s="3">
        <f>COUNTIF('EVENT - Lịch &amp; Sự kiện'!$H:$H,"Có")</f>
        <v/>
      </c>
      <c r="G39" s="3">
        <f>C39-F39</f>
        <v/>
      </c>
      <c r="H39" s="3">
        <f>COUNTIF('EVENT - Lịch &amp; Sự kiện'!$N:$N,"Pass")</f>
        <v/>
      </c>
      <c r="I39" s="3">
        <f>COUNTIF('EVENT - Lịch &amp; Sự kiện'!$Q:$Q,"Pass")</f>
        <v/>
      </c>
      <c r="J39" s="3">
        <f>COUNTIF('EVENT - Lịch &amp; Sự kiện'!$N:$N,"Fail")+COUNTIF('EVENT - Lịch &amp; Sự kiện'!$Q:$Q,"Fail")</f>
        <v/>
      </c>
      <c r="K39" s="3">
        <f>COUNTIF('EVENT - Lịch &amp; Sự kiện'!$N:$N,"Chưa test")</f>
        <v/>
      </c>
      <c r="L39" s="3">
        <f>COUNTIF('EVENT - Lịch &amp; Sự kiện'!$Q:$Q,"Chưa test")</f>
        <v/>
      </c>
    </row>
    <row r="40">
      <c r="A40" s="3" t="inlineStr">
        <is>
          <t>NOTI</t>
        </is>
      </c>
      <c r="B40" s="12" t="inlineStr">
        <is>
          <t>Thông báo &amp; Nhắn tin</t>
        </is>
      </c>
      <c r="C40" s="3">
        <f>COUNTA('NOTI - Thông báo &amp; Nhắn tin'!$A$2:$A$5000)</f>
        <v/>
      </c>
      <c r="D40" s="3">
        <f>COUNTIF('NOTI - Thông báo &amp; Nhắn tin'!$G:$G,"Đã hoàn thiện")</f>
        <v/>
      </c>
      <c r="E40" s="3">
        <f>COUNTIF('NOTI - Thông báo &amp; Nhắn tin'!$G:$G,"Kế hoạch")</f>
        <v/>
      </c>
      <c r="F40" s="3">
        <f>COUNTIF('NOTI - Thông báo &amp; Nhắn tin'!$H:$H,"Có")</f>
        <v/>
      </c>
      <c r="G40" s="3">
        <f>C40-F40</f>
        <v/>
      </c>
      <c r="H40" s="3">
        <f>COUNTIF('NOTI - Thông báo &amp; Nhắn tin'!$N:$N,"Pass")</f>
        <v/>
      </c>
      <c r="I40" s="3">
        <f>COUNTIF('NOTI - Thông báo &amp; Nhắn tin'!$Q:$Q,"Pass")</f>
        <v/>
      </c>
      <c r="J40" s="3">
        <f>COUNTIF('NOTI - Thông báo &amp; Nhắn tin'!$N:$N,"Fail")+COUNTIF('NOTI - Thông báo &amp; Nhắn tin'!$Q:$Q,"Fail")</f>
        <v/>
      </c>
      <c r="K40" s="3">
        <f>COUNTIF('NOTI - Thông báo &amp; Nhắn tin'!$N:$N,"Chưa test")</f>
        <v/>
      </c>
      <c r="L40" s="3">
        <f>COUNTIF('NOTI - Thông báo &amp; Nhắn tin'!$Q:$Q,"Chưa test")</f>
        <v/>
      </c>
    </row>
    <row r="41">
      <c r="A41" s="3" t="inlineStr">
        <is>
          <t>PAY</t>
        </is>
      </c>
      <c r="B41" s="12" t="inlineStr">
        <is>
          <t>Thanh toán &amp; Gói thành viên</t>
        </is>
      </c>
      <c r="C41" s="3">
        <f>COUNTA('PAY - Thanh toán &amp; Gói'!$A$2:$A$5000)</f>
        <v/>
      </c>
      <c r="D41" s="3">
        <f>COUNTIF('PAY - Thanh toán &amp; Gói'!$G:$G,"Đã hoàn thiện")</f>
        <v/>
      </c>
      <c r="E41" s="3">
        <f>COUNTIF('PAY - Thanh toán &amp; Gói'!$G:$G,"Kế hoạch")</f>
        <v/>
      </c>
      <c r="F41" s="3">
        <f>COUNTIF('PAY - Thanh toán &amp; Gói'!$H:$H,"Có")</f>
        <v/>
      </c>
      <c r="G41" s="3">
        <f>C41-F41</f>
        <v/>
      </c>
      <c r="H41" s="3">
        <f>COUNTIF('PAY - Thanh toán &amp; Gói'!$N:$N,"Pass")</f>
        <v/>
      </c>
      <c r="I41" s="3">
        <f>COUNTIF('PAY - Thanh toán &amp; Gói'!$Q:$Q,"Pass")</f>
        <v/>
      </c>
      <c r="J41" s="3">
        <f>COUNTIF('PAY - Thanh toán &amp; Gói'!$N:$N,"Fail")+COUNTIF('PAY - Thanh toán &amp; Gói'!$Q:$Q,"Fail")</f>
        <v/>
      </c>
      <c r="K41" s="3">
        <f>COUNTIF('PAY - Thanh toán &amp; Gói'!$N:$N,"Chưa test")</f>
        <v/>
      </c>
      <c r="L41" s="3">
        <f>COUNTIF('PAY - Thanh toán &amp; Gói'!$Q:$Q,"Chưa test")</f>
        <v/>
      </c>
    </row>
    <row r="42">
      <c r="A42" s="3" t="inlineStr">
        <is>
          <t>ADMIN</t>
        </is>
      </c>
      <c r="B42" s="12" t="inlineStr">
        <is>
          <t>Quản trị &amp; Vận hành hệ thống</t>
        </is>
      </c>
      <c r="C42" s="3">
        <f>COUNTA('ADMIN - Quản trị &amp; Kiểm duyệt'!$A$2:$A$5000)</f>
        <v/>
      </c>
      <c r="D42" s="3">
        <f>COUNTIF('ADMIN - Quản trị &amp; Kiểm duyệt'!$G:$G,"Đã hoàn thiện")</f>
        <v/>
      </c>
      <c r="E42" s="3">
        <f>COUNTIF('ADMIN - Quản trị &amp; Kiểm duyệt'!$G:$G,"Kế hoạch")</f>
        <v/>
      </c>
      <c r="F42" s="3">
        <f>COUNTIF('ADMIN - Quản trị &amp; Kiểm duyệt'!$H:$H,"Có")</f>
        <v/>
      </c>
      <c r="G42" s="3">
        <f>C42-F42</f>
        <v/>
      </c>
      <c r="H42" s="3">
        <f>COUNTIF('ADMIN - Quản trị &amp; Kiểm duyệt'!$N:$N,"Pass")</f>
        <v/>
      </c>
      <c r="I42" s="3">
        <f>COUNTIF('ADMIN - Quản trị &amp; Kiểm duyệt'!$Q:$Q,"Pass")</f>
        <v/>
      </c>
      <c r="J42" s="3">
        <f>COUNTIF('ADMIN - Quản trị &amp; Kiểm duyệt'!$N:$N,"Fail")+COUNTIF('ADMIN - Quản trị &amp; Kiểm duyệt'!$Q:$Q,"Fail")</f>
        <v/>
      </c>
      <c r="K42" s="3">
        <f>COUNTIF('ADMIN - Quản trị &amp; Kiểm duyệt'!$N:$N,"Chưa test")</f>
        <v/>
      </c>
      <c r="L42" s="3">
        <f>COUNTIF('ADMIN - Quản trị &amp; Kiểm duyệt'!$Q:$Q,"Chưa test")</f>
        <v/>
      </c>
    </row>
    <row r="43">
      <c r="A43" s="3" t="inlineStr">
        <is>
          <t>SEC</t>
        </is>
      </c>
      <c r="B43" s="12" t="inlineStr">
        <is>
          <t>Bảo mật &amp; Yêu cầu phi chức năng</t>
        </is>
      </c>
      <c r="C43" s="3">
        <f>COUNTA('SEC - Bảo mật &amp; Phi chức năng'!$A$2:$A$5000)</f>
        <v/>
      </c>
      <c r="D43" s="3">
        <f>COUNTIF('SEC - Bảo mật &amp; Phi chức năng'!$G:$G,"Đã hoàn thiện")</f>
        <v/>
      </c>
      <c r="E43" s="3">
        <f>COUNTIF('SEC - Bảo mật &amp; Phi chức năng'!$G:$G,"Kế hoạch")</f>
        <v/>
      </c>
      <c r="F43" s="3">
        <f>COUNTIF('SEC - Bảo mật &amp; Phi chức năng'!$H:$H,"Có")</f>
        <v/>
      </c>
      <c r="G43" s="3">
        <f>C43-F43</f>
        <v/>
      </c>
      <c r="H43" s="3">
        <f>COUNTIF('SEC - Bảo mật &amp; Phi chức năng'!$N:$N,"Pass")</f>
        <v/>
      </c>
      <c r="I43" s="3">
        <f>COUNTIF('SEC - Bảo mật &amp; Phi chức năng'!$Q:$Q,"Pass")</f>
        <v/>
      </c>
      <c r="J43" s="3">
        <f>COUNTIF('SEC - Bảo mật &amp; Phi chức năng'!$N:$N,"Fail")+COUNTIF('SEC - Bảo mật &amp; Phi chức năng'!$Q:$Q,"Fail")</f>
        <v/>
      </c>
      <c r="K43" s="3">
        <f>COUNTIF('SEC - Bảo mật &amp; Phi chức năng'!$N:$N,"Chưa test")</f>
        <v/>
      </c>
      <c r="L43" s="3">
        <f>COUNTIF('SEC - Bảo mật &amp; Phi chức năng'!$Q:$Q,"Chưa test")</f>
        <v/>
      </c>
    </row>
    <row r="44">
      <c r="A44" s="3" t="inlineStr">
        <is>
          <t>ROLE</t>
        </is>
      </c>
      <c r="B44" s="12" t="inlineStr">
        <is>
          <t>Ma trận phân quyền &amp; Bảo mật nâng cao</t>
        </is>
      </c>
      <c r="C44" s="3">
        <f>COUNTA('ROLE - Ma trận phân quyền'!$A$2:$A$5000)</f>
        <v/>
      </c>
      <c r="D44" s="3">
        <f>COUNTIF('ROLE - Ma trận phân quyền'!$G:$G,"Đã hoàn thiện")</f>
        <v/>
      </c>
      <c r="E44" s="3">
        <f>COUNTIF('ROLE - Ma trận phân quyền'!$G:$G,"Kế hoạch")</f>
        <v/>
      </c>
      <c r="F44" s="3">
        <f>COUNTIF('ROLE - Ma trận phân quyền'!$H:$H,"Có")</f>
        <v/>
      </c>
      <c r="G44" s="3">
        <f>C44-F44</f>
        <v/>
      </c>
      <c r="H44" s="3">
        <f>COUNTIF('ROLE - Ma trận phân quyền'!$N:$N,"Pass")</f>
        <v/>
      </c>
      <c r="I44" s="3">
        <f>COUNTIF('ROLE - Ma trận phân quyền'!$Q:$Q,"Pass")</f>
        <v/>
      </c>
      <c r="J44" s="3">
        <f>COUNTIF('ROLE - Ma trận phân quyền'!$N:$N,"Fail")+COUNTIF('ROLE - Ma trận phân quyền'!$Q:$Q,"Fail")</f>
        <v/>
      </c>
      <c r="K44" s="3">
        <f>COUNTIF('ROLE - Ma trận phân quyền'!$N:$N,"Chưa test")</f>
        <v/>
      </c>
      <c r="L44" s="3">
        <f>COUNTIF('ROLE - Ma trận phân quyền'!$Q:$Q,"Chưa test")</f>
        <v/>
      </c>
    </row>
    <row r="45">
      <c r="A45" s="3" t="inlineStr">
        <is>
          <t>INTEG</t>
        </is>
      </c>
      <c r="B45" s="12" t="inlineStr">
        <is>
          <t>API / Tích hợp &amp; Concurrency</t>
        </is>
      </c>
      <c r="C45" s="3">
        <f>COUNTA('INTEG - API &amp; Concurrency'!$A$2:$A$5000)</f>
        <v/>
      </c>
      <c r="D45" s="3">
        <f>COUNTIF('INTEG - API &amp; Concurrency'!$G:$G,"Đã hoàn thiện")</f>
        <v/>
      </c>
      <c r="E45" s="3">
        <f>COUNTIF('INTEG - API &amp; Concurrency'!$G:$G,"Kế hoạch")</f>
        <v/>
      </c>
      <c r="F45" s="3">
        <f>COUNTIF('INTEG - API &amp; Concurrency'!$H:$H,"Có")</f>
        <v/>
      </c>
      <c r="G45" s="3">
        <f>C45-F45</f>
        <v/>
      </c>
      <c r="H45" s="3">
        <f>COUNTIF('INTEG - API &amp; Concurrency'!$N:$N,"Pass")</f>
        <v/>
      </c>
      <c r="I45" s="3">
        <f>COUNTIF('INTEG - API &amp; Concurrency'!$Q:$Q,"Pass")</f>
        <v/>
      </c>
      <c r="J45" s="3">
        <f>COUNTIF('INTEG - API &amp; Concurrency'!$N:$N,"Fail")+COUNTIF('INTEG - API &amp; Concurrency'!$Q:$Q,"Fail")</f>
        <v/>
      </c>
      <c r="K45" s="3">
        <f>COUNTIF('INTEG - API &amp; Concurrency'!$N:$N,"Chưa test")</f>
        <v/>
      </c>
      <c r="L45" s="3">
        <f>COUNTIF('INTEG - API &amp; Concurrency'!$Q:$Q,"Chưa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B52" s="2" t="inlineStr">
        <is>
          <t>TỔNG CỘNG</t>
        </is>
      </c>
      <c r="C52" s="2">
        <f>SUM(C32:C51)</f>
        <v/>
      </c>
      <c r="D52" s="2">
        <f>SUM(D32:D51)</f>
        <v/>
      </c>
      <c r="E52" s="2">
        <f>SUM(E32:E51)</f>
        <v/>
      </c>
      <c r="F52" s="2">
        <f>SUM(F32:F51)</f>
        <v/>
      </c>
      <c r="G52" s="2">
        <f>SUM(G32:G51)</f>
        <v/>
      </c>
      <c r="H52" s="2">
        <f>SUM(H32:H51)</f>
        <v/>
      </c>
      <c r="I52" s="2">
        <f>SUM(I32:I51)</f>
        <v/>
      </c>
      <c r="J52" s="2">
        <f>SUM(J32:J51)</f>
        <v/>
      </c>
      <c r="K52" s="2">
        <f>SUM(K32:K51)</f>
        <v/>
      </c>
      <c r="L52" s="2">
        <f>SUM(L32:L51)</f>
        <v/>
      </c>
    </row>
    <row r="54">
      <c r="A54" s="4" t="inlineStr">
        <is>
          <t>Thống kê theo Trạng thái tính năng</t>
        </is>
      </c>
    </row>
    <row r="55">
      <c r="A55" s="3" t="inlineStr">
        <is>
          <t>Đã hoàn thiện</t>
        </is>
      </c>
      <c r="C55" s="3">
        <f>COUNTIF('HOME - Trang chủ &amp; Khám phá'!$G:$G,A55)+COUNTIF('AUTH - Tài khoản &amp; Xác thực'!$G:$G,A55)+COUNTIF('COMM - Cộng đồng'!$G:$G,A55)+COUNTIF('COMMVP - Cộng đồng MVP'!$G:$G,A55)+COUNTIF('COURSE - Lớp học'!$G:$G,A55)+COUNTIF('CERT - Chứng nhận'!$G:$G,A55)+COUNTIF('FEED - Bảng tin'!$G:$G,A55)+COUNTIF('MEMBER - Thành viên &amp; Xếp hạng'!$G:$G,A55)+COUNTIF('EVENT - Lịch &amp; Sự kiện'!$G:$G,A55)+COUNTIF('NOTI - Thông báo &amp; Nhắn tin'!$G:$G,A55)+COUNTIF('SEARCH - Tìm kiếm'!$G:$G,A55)+COUNTIF('UPLOAD - Upload tệp &amp; ảnh'!$G:$G,A55)+COUNTIF('PAY - Thanh toán &amp; Gói'!$G:$G,A55)+COUNTIF('ADMIN - Quản trị &amp; Kiểm duyệt'!$G:$G,A55)+COUNTIF('ADM - Admin Console (đợt 1)'!$G:$G,A55)+COUNTIF('ADM2 - Admin Console (đợt 2)'!$G:$G,A55)+COUNTIF('ADM3 - Admin Console (đợt 3)'!$G:$G,A55)+COUNTIF('ROLE - Ma trận phân quyền'!$G:$G,A55)+COUNTIF('SEC - Bảo mật &amp; Phi chức năng'!$G:$G,A55)+COUNTIF('INTEG - API &amp; Concurrency'!$G:$G,A55)</f>
        <v/>
      </c>
    </row>
    <row r="56">
      <c r="A56" s="3" t="inlineStr">
        <is>
          <t>Kế hoạch</t>
        </is>
      </c>
      <c r="C56" s="3">
        <f>COUNTIF('HOME - Trang chủ &amp; Khám phá'!$G:$G,A56)+COUNTIF('AUTH - Tài khoản &amp; Xác thực'!$G:$G,A56)+COUNTIF('COMM - Cộng đồng'!$G:$G,A56)+COUNTIF('COMMVP - Cộng đồng MVP'!$G:$G,A56)+COUNTIF('COURSE - Lớp học'!$G:$G,A56)+COUNTIF('CERT - Chứng nhận'!$G:$G,A56)+COUNTIF('FEED - Bảng tin'!$G:$G,A56)+COUNTIF('MEMBER - Thành viên &amp; Xếp hạng'!$G:$G,A56)+COUNTIF('EVENT - Lịch &amp; Sự kiện'!$G:$G,A56)+COUNTIF('NOTI - Thông báo &amp; Nhắn tin'!$G:$G,A56)+COUNTIF('SEARCH - Tìm kiếm'!$G:$G,A56)+COUNTIF('UPLOAD - Upload tệp &amp; ảnh'!$G:$G,A56)+COUNTIF('PAY - Thanh toán &amp; Gói'!$G:$G,A56)+COUNTIF('ADMIN - Quản trị &amp; Kiểm duyệt'!$G:$G,A56)+COUNTIF('ADM - Admin Console (đợt 1)'!$G:$G,A56)+COUNTIF('ADM2 - Admin Console (đợt 2)'!$G:$G,A56)+COUNTIF('ADM3 - Admin Console (đợt 3)'!$G:$G,A56)+COUNTIF('ROLE - Ma trận phân quyền'!$G:$G,A56)+COUNTIF('SEC - Bảo mật &amp; Phi chức năng'!$G:$G,A56)+COUNTIF('INTEG - API &amp; Concurrency'!$G:$G,A56)</f>
        <v/>
      </c>
    </row>
    <row r="58">
      <c r="A58" s="4" t="inlineStr">
        <is>
          <t>Thống kê theo Loại test</t>
        </is>
      </c>
    </row>
    <row r="59">
      <c r="A59" s="3" t="inlineStr">
        <is>
          <t>Chức năng</t>
        </is>
      </c>
      <c r="C59" s="3">
        <f>COUNTIF('HOME - Trang chủ &amp; Khám phá'!$E:$E,A59)+COUNTIF('AUTH - Tài khoản &amp; Xác thực'!$E:$E,A59)+COUNTIF('COMM - Cộng đồng'!$E:$E,A59)+COUNTIF('COMMVP - Cộng đồng MVP'!$E:$E,A59)+COUNTIF('COURSE - Lớp học'!$E:$E,A59)+COUNTIF('CERT - Chứng nhận'!$E:$E,A59)+COUNTIF('FEED - Bảng tin'!$E:$E,A59)+COUNTIF('MEMBER - Thành viên &amp; Xếp hạng'!$E:$E,A59)+COUNTIF('EVENT - Lịch &amp; Sự kiện'!$E:$E,A59)+COUNTIF('NOTI - Thông báo &amp; Nhắn tin'!$E:$E,A59)+COUNTIF('SEARCH - Tìm kiếm'!$E:$E,A59)+COUNTIF('UPLOAD - Upload tệp &amp; ảnh'!$E:$E,A59)+COUNTIF('PAY - Thanh toán &amp; Gói'!$E:$E,A59)+COUNTIF('ADMIN - Quản trị &amp; Kiểm duyệt'!$E:$E,A59)+COUNTIF('ADM - Admin Console (đợt 1)'!$E:$E,A59)+COUNTIF('ADM2 - Admin Console (đợt 2)'!$E:$E,A59)+COUNTIF('ADM3 - Admin Console (đợt 3)'!$E:$E,A59)+COUNTIF('ROLE - Ma trận phân quyền'!$E:$E,A59)+COUNTIF('SEC - Bảo mật &amp; Phi chức năng'!$E:$E,A59)+COUNTIF('INTEG - API &amp; Concurrency'!$E:$E,A59)</f>
        <v/>
      </c>
    </row>
    <row r="60">
      <c r="A60" s="3" t="inlineStr">
        <is>
          <t>Giao diện</t>
        </is>
      </c>
      <c r="C60" s="3">
        <f>COUNTIF('HOME - Trang chủ &amp; Khám phá'!$E:$E,A60)+COUNTIF('AUTH - Tài khoản &amp; Xác thực'!$E:$E,A60)+COUNTIF('COMM - Cộng đồng'!$E:$E,A60)+COUNTIF('COMMVP - Cộng đồng MVP'!$E:$E,A60)+COUNTIF('COURSE - Lớp học'!$E:$E,A60)+COUNTIF('CERT - Chứng nhận'!$E:$E,A60)+COUNTIF('FEED - Bảng tin'!$E:$E,A60)+COUNTIF('MEMBER - Thành viên &amp; Xếp hạng'!$E:$E,A60)+COUNTIF('EVENT - Lịch &amp; Sự kiện'!$E:$E,A60)+COUNTIF('NOTI - Thông báo &amp; Nhắn tin'!$E:$E,A60)+COUNTIF('SEARCH - Tìm kiếm'!$E:$E,A60)+COUNTIF('UPLOAD - Upload tệp &amp; ảnh'!$E:$E,A60)+COUNTIF('PAY - Thanh toán &amp; Gói'!$E:$E,A60)+COUNTIF('ADMIN - Quản trị &amp; Kiểm duyệt'!$E:$E,A60)+COUNTIF('ADM - Admin Console (đợt 1)'!$E:$E,A60)+COUNTIF('ADM2 - Admin Console (đợt 2)'!$E:$E,A60)+COUNTIF('ADM3 - Admin Console (đợt 3)'!$E:$E,A60)+COUNTIF('ROLE - Ma trận phân quyền'!$E:$E,A60)+COUNTIF('SEC - Bảo mật &amp; Phi chức năng'!$E:$E,A60)+COUNTIF('INTEG - API &amp; Concurrency'!$E:$E,A60)</f>
        <v/>
      </c>
    </row>
    <row r="61">
      <c r="A61" s="3" t="inlineStr">
        <is>
          <t>Bảo mật</t>
        </is>
      </c>
      <c r="C61" s="3">
        <f>COUNTIF('HOME - Trang chủ &amp; Khám phá'!$E:$E,A61)+COUNTIF('AUTH - Tài khoản &amp; Xác thực'!$E:$E,A61)+COUNTIF('COMM - Cộng đồng'!$E:$E,A61)+COUNTIF('COMMVP - Cộng đồng MVP'!$E:$E,A61)+COUNTIF('COURSE - Lớp học'!$E:$E,A61)+COUNTIF('CERT - Chứng nhận'!$E:$E,A61)+COUNTIF('FEED - Bảng tin'!$E:$E,A61)+COUNTIF('MEMBER - Thành viên &amp; Xếp hạng'!$E:$E,A61)+COUNTIF('EVENT - Lịch &amp; Sự kiện'!$E:$E,A61)+COUNTIF('NOTI - Thông báo &amp; Nhắn tin'!$E:$E,A61)+COUNTIF('SEARCH - Tìm kiếm'!$E:$E,A61)+COUNTIF('UPLOAD - Upload tệp &amp; ảnh'!$E:$E,A61)+COUNTIF('PAY - Thanh toán &amp; Gói'!$E:$E,A61)+COUNTIF('ADMIN - Quản trị &amp; Kiểm duyệt'!$E:$E,A61)+COUNTIF('ADM - Admin Console (đợt 1)'!$E:$E,A61)+COUNTIF('ADM2 - Admin Console (đợt 2)'!$E:$E,A61)+COUNTIF('ADM3 - Admin Console (đợt 3)'!$E:$E,A61)+COUNTIF('ROLE - Ma trận phân quyền'!$E:$E,A61)+COUNTIF('SEC - Bảo mật &amp; Phi chức năng'!$E:$E,A61)+COUNTIF('INTEG - API &amp; Concurrency'!$E:$E,A61)</f>
        <v/>
      </c>
    </row>
    <row r="62">
      <c r="A62" s="3" t="inlineStr">
        <is>
          <t>Tích hợp</t>
        </is>
      </c>
      <c r="C62" s="3">
        <f>COUNTIF('HOME - Trang chủ &amp; Khám phá'!$E:$E,A62)+COUNTIF('AUTH - Tài khoản &amp; Xác thực'!$E:$E,A62)+COUNTIF('COMM - Cộng đồng'!$E:$E,A62)+COUNTIF('COMMVP - Cộng đồng MVP'!$E:$E,A62)+COUNTIF('COURSE - Lớp học'!$E:$E,A62)+COUNTIF('CERT - Chứng nhận'!$E:$E,A62)+COUNTIF('FEED - Bảng tin'!$E:$E,A62)+COUNTIF('MEMBER - Thành viên &amp; Xếp hạng'!$E:$E,A62)+COUNTIF('EVENT - Lịch &amp; Sự kiện'!$E:$E,A62)+COUNTIF('NOTI - Thông báo &amp; Nhắn tin'!$E:$E,A62)+COUNTIF('SEARCH - Tìm kiếm'!$E:$E,A62)+COUNTIF('UPLOAD - Upload tệp &amp; ảnh'!$E:$E,A62)+COUNTIF('PAY - Thanh toán &amp; Gói'!$E:$E,A62)+COUNTIF('ADMIN - Quản trị &amp; Kiểm duyệt'!$E:$E,A62)+COUNTIF('ADM - Admin Console (đợt 1)'!$E:$E,A62)+COUNTIF('ADM2 - Admin Console (đợt 2)'!$E:$E,A62)+COUNTIF('ADM3 - Admin Console (đợt 3)'!$E:$E,A62)+COUNTIF('ROLE - Ma trận phân quyền'!$E:$E,A62)+COUNTIF('SEC - Bảo mật &amp; Phi chức năng'!$E:$E,A62)+COUNTIF('INTEG - API &amp; Concurrency'!$E:$E,A62)</f>
        <v/>
      </c>
    </row>
    <row r="63">
      <c r="A63" s="3" t="inlineStr">
        <is>
          <t>Hiệu năng</t>
        </is>
      </c>
      <c r="C63" s="3">
        <f>COUNTIF('HOME - Trang chủ &amp; Khám phá'!$E:$E,A63)+COUNTIF('AUTH - Tài khoản &amp; Xác thực'!$E:$E,A63)+COUNTIF('COMM - Cộng đồng'!$E:$E,A63)+COUNTIF('COMMVP - Cộng đồng MVP'!$E:$E,A63)+COUNTIF('COURSE - Lớp học'!$E:$E,A63)+COUNTIF('CERT - Chứng nhận'!$E:$E,A63)+COUNTIF('FEED - Bảng tin'!$E:$E,A63)+COUNTIF('MEMBER - Thành viên &amp; Xếp hạng'!$E:$E,A63)+COUNTIF('EVENT - Lịch &amp; Sự kiện'!$E:$E,A63)+COUNTIF('NOTI - Thông báo &amp; Nhắn tin'!$E:$E,A63)+COUNTIF('SEARCH - Tìm kiếm'!$E:$E,A63)+COUNTIF('UPLOAD - Upload tệp &amp; ảnh'!$E:$E,A63)+COUNTIF('PAY - Thanh toán &amp; Gói'!$E:$E,A63)+COUNTIF('ADMIN - Quản trị &amp; Kiểm duyệt'!$E:$E,A63)+COUNTIF('ADM - Admin Console (đợt 1)'!$E:$E,A63)+COUNTIF('ADM2 - Admin Console (đợt 2)'!$E:$E,A63)+COUNTIF('ADM3 - Admin Console (đợt 3)'!$E:$E,A63)+COUNTIF('ROLE - Ma trận phân quyền'!$E:$E,A63)+COUNTIF('SEC - Bảo mật &amp; Phi chức năng'!$E:$E,A63)+COUNTIF('INTEG - API &amp; Concurrency'!$E:$E,A63)</f>
        <v/>
      </c>
    </row>
    <row r="65">
      <c r="A65" s="4" t="inlineStr">
        <is>
          <t>Thống kê theo Mức ưu tiên</t>
        </is>
      </c>
    </row>
    <row r="66">
      <c r="A66" s="3" t="inlineStr">
        <is>
          <t>Cao</t>
        </is>
      </c>
      <c r="C66" s="3">
        <f>COUNTIF('HOME - Trang chủ &amp; Khám phá'!$F:$F,A66)+COUNTIF('AUTH - Tài khoản &amp; Xác thực'!$F:$F,A66)+COUNTIF('COMM - Cộng đồng'!$F:$F,A66)+COUNTIF('COMMVP - Cộng đồng MVP'!$F:$F,A66)+COUNTIF('COURSE - Lớp học'!$F:$F,A66)+COUNTIF('CERT - Chứng nhận'!$F:$F,A66)+COUNTIF('FEED - Bảng tin'!$F:$F,A66)+COUNTIF('MEMBER - Thành viên &amp; Xếp hạng'!$F:$F,A66)+COUNTIF('EVENT - Lịch &amp; Sự kiện'!$F:$F,A66)+COUNTIF('NOTI - Thông báo &amp; Nhắn tin'!$F:$F,A66)+COUNTIF('SEARCH - Tìm kiếm'!$F:$F,A66)+COUNTIF('UPLOAD - Upload tệp &amp; ảnh'!$F:$F,A66)+COUNTIF('PAY - Thanh toán &amp; Gói'!$F:$F,A66)+COUNTIF('ADMIN - Quản trị &amp; Kiểm duyệt'!$F:$F,A66)+COUNTIF('ADM - Admin Console (đợt 1)'!$F:$F,A66)+COUNTIF('ADM2 - Admin Console (đợt 2)'!$F:$F,A66)+COUNTIF('ADM3 - Admin Console (đợt 3)'!$F:$F,A66)+COUNTIF('ROLE - Ma trận phân quyền'!$F:$F,A66)+COUNTIF('SEC - Bảo mật &amp; Phi chức năng'!$F:$F,A66)+COUNTIF('INTEG - API &amp; Concurrency'!$F:$F,A66)</f>
        <v/>
      </c>
    </row>
    <row r="67">
      <c r="A67" s="3" t="inlineStr">
        <is>
          <t>Trung bình</t>
        </is>
      </c>
      <c r="C67" s="3">
        <f>COUNTIF('HOME - Trang chủ &amp; Khám phá'!$F:$F,A67)+COUNTIF('AUTH - Tài khoản &amp; Xác thực'!$F:$F,A67)+COUNTIF('COMM - Cộng đồng'!$F:$F,A67)+COUNTIF('COMMVP - Cộng đồng MVP'!$F:$F,A67)+COUNTIF('COURSE - Lớp học'!$F:$F,A67)+COUNTIF('CERT - Chứng nhận'!$F:$F,A67)+COUNTIF('FEED - Bảng tin'!$F:$F,A67)+COUNTIF('MEMBER - Thành viên &amp; Xếp hạng'!$F:$F,A67)+COUNTIF('EVENT - Lịch &amp; Sự kiện'!$F:$F,A67)+COUNTIF('NOTI - Thông báo &amp; Nhắn tin'!$F:$F,A67)+COUNTIF('SEARCH - Tìm kiếm'!$F:$F,A67)+COUNTIF('UPLOAD - Upload tệp &amp; ảnh'!$F:$F,A67)+COUNTIF('PAY - Thanh toán &amp; Gói'!$F:$F,A67)+COUNTIF('ADMIN - Quản trị &amp; Kiểm duyệt'!$F:$F,A67)+COUNTIF('ADM - Admin Console (đợt 1)'!$F:$F,A67)+COUNTIF('ADM2 - Admin Console (đợt 2)'!$F:$F,A67)+COUNTIF('ADM3 - Admin Console (đợt 3)'!$F:$F,A67)+COUNTIF('ROLE - Ma trận phân quyền'!$F:$F,A67)+COUNTIF('SEC - Bảo mật &amp; Phi chức năng'!$F:$F,A67)+COUNTIF('INTEG - API &amp; Concurrency'!$F:$F,A67)</f>
        <v/>
      </c>
    </row>
    <row r="68">
      <c r="A68" s="3" t="inlineStr">
        <is>
          <t>Thấp</t>
        </is>
      </c>
      <c r="C68" s="3">
        <f>COUNTIF('HOME - Trang chủ &amp; Khám phá'!$F:$F,A68)+COUNTIF('AUTH - Tài khoản &amp; Xác thực'!$F:$F,A68)+COUNTIF('COMM - Cộng đồng'!$F:$F,A68)+COUNTIF('COMMVP - Cộng đồng MVP'!$F:$F,A68)+COUNTIF('COURSE - Lớp học'!$F:$F,A68)+COUNTIF('CERT - Chứng nhận'!$F:$F,A68)+COUNTIF('FEED - Bảng tin'!$F:$F,A68)+COUNTIF('MEMBER - Thành viên &amp; Xếp hạng'!$F:$F,A68)+COUNTIF('EVENT - Lịch &amp; Sự kiện'!$F:$F,A68)+COUNTIF('NOTI - Thông báo &amp; Nhắn tin'!$F:$F,A68)+COUNTIF('SEARCH - Tìm kiếm'!$F:$F,A68)+COUNTIF('UPLOAD - Upload tệp &amp; ảnh'!$F:$F,A68)+COUNTIF('PAY - Thanh toán &amp; Gói'!$F:$F,A68)+COUNTIF('ADMIN - Quản trị &amp; Kiểm duyệt'!$F:$F,A68)+COUNTIF('ADM - Admin Console (đợt 1)'!$F:$F,A68)+COUNTIF('ADM2 - Admin Console (đợt 2)'!$F:$F,A68)+COUNTIF('ADM3 - Admin Console (đợt 3)'!$F:$F,A68)+COUNTIF('ROLE - Ma trận phân quyền'!$F:$F,A68)+COUNTIF('SEC - Bảo mật &amp; Phi chức năng'!$F:$F,A68)+COUNTIF('INTEG - API &amp; Concurrency'!$F:$F,A68)</f>
        <v/>
      </c>
    </row>
    <row r="70">
      <c r="A70" s="4" t="inlineStr">
        <is>
          <t>Thống kê theo Phù hợp Playwright (Test 1 tự động / Test 2 thủ công)</t>
        </is>
      </c>
    </row>
    <row r="71">
      <c r="A71" s="3" t="inlineStr">
        <is>
          <t>Có</t>
        </is>
      </c>
      <c r="C71" s="3">
        <f>COUNTIF('HOME - Trang chủ &amp; Khám phá'!$H:$H,A71)+COUNTIF('AUTH - Tài khoản &amp; Xác thực'!$H:$H,A71)+COUNTIF('COMM - Cộng đồng'!$H:$H,A71)+COUNTIF('COMMVP - Cộng đồng MVP'!$H:$H,A71)+COUNTIF('COURSE - Lớp học'!$H:$H,A71)+COUNTIF('CERT - Chứng nhận'!$H:$H,A71)+COUNTIF('FEED - Bảng tin'!$H:$H,A71)+COUNTIF('MEMBER - Thành viên &amp; Xếp hạng'!$H:$H,A71)+COUNTIF('EVENT - Lịch &amp; Sự kiện'!$H:$H,A71)+COUNTIF('NOTI - Thông báo &amp; Nhắn tin'!$H:$H,A71)+COUNTIF('SEARCH - Tìm kiếm'!$H:$H,A71)+COUNTIF('UPLOAD - Upload tệp &amp; ảnh'!$H:$H,A71)+COUNTIF('PAY - Thanh toán &amp; Gói'!$H:$H,A71)+COUNTIF('ADMIN - Quản trị &amp; Kiểm duyệt'!$H:$H,A71)+COUNTIF('ADM - Admin Console (đợt 1)'!$H:$H,A71)+COUNTIF('ADM2 - Admin Console (đợt 2)'!$H:$H,A71)+COUNTIF('ADM3 - Admin Console (đợt 3)'!$H:$H,A71)+COUNTIF('ROLE - Ma trận phân quyền'!$H:$H,A71)+COUNTIF('SEC - Bảo mật &amp; Phi chức năng'!$H:$H,A71)+COUNTIF('INTEG - API &amp; Concurrency'!$H:$H,A71)</f>
        <v/>
      </c>
    </row>
    <row r="72">
      <c r="A72" s="3" t="inlineStr">
        <is>
          <t>Một phần</t>
        </is>
      </c>
      <c r="C72" s="3">
        <f>COUNTIF('HOME - Trang chủ &amp; Khám phá'!$H:$H,A72)+COUNTIF('AUTH - Tài khoản &amp; Xác thực'!$H:$H,A72)+COUNTIF('COMM - Cộng đồng'!$H:$H,A72)+COUNTIF('COMMVP - Cộng đồng MVP'!$H:$H,A72)+COUNTIF('COURSE - Lớp học'!$H:$H,A72)+COUNTIF('CERT - Chứng nhận'!$H:$H,A72)+COUNTIF('FEED - Bảng tin'!$H:$H,A72)+COUNTIF('MEMBER - Thành viên &amp; Xếp hạng'!$H:$H,A72)+COUNTIF('EVENT - Lịch &amp; Sự kiện'!$H:$H,A72)+COUNTIF('NOTI - Thông báo &amp; Nhắn tin'!$H:$H,A72)+COUNTIF('SEARCH - Tìm kiếm'!$H:$H,A72)+COUNTIF('UPLOAD - Upload tệp &amp; ảnh'!$H:$H,A72)+COUNTIF('PAY - Thanh toán &amp; Gói'!$H:$H,A72)+COUNTIF('ADMIN - Quản trị &amp; Kiểm duyệt'!$H:$H,A72)+COUNTIF('ADM - Admin Console (đợt 1)'!$H:$H,A72)+COUNTIF('ADM2 - Admin Console (đợt 2)'!$H:$H,A72)+COUNTIF('ADM3 - Admin Console (đợt 3)'!$H:$H,A72)+COUNTIF('ROLE - Ma trận phân quyền'!$H:$H,A72)+COUNTIF('SEC - Bảo mật &amp; Phi chức năng'!$H:$H,A72)+COUNTIF('INTEG - API &amp; Concurrency'!$H:$H,A72)</f>
        <v/>
      </c>
    </row>
    <row r="73">
      <c r="A73" s="3" t="inlineStr">
        <is>
          <t>Không</t>
        </is>
      </c>
      <c r="C73" s="3">
        <f>COUNTIF('HOME - Trang chủ &amp; Khám phá'!$H:$H,A73)+COUNTIF('AUTH - Tài khoản &amp; Xác thực'!$H:$H,A73)+COUNTIF('COMM - Cộng đồng'!$H:$H,A73)+COUNTIF('COMMVP - Cộng đồng MVP'!$H:$H,A73)+COUNTIF('COURSE - Lớp học'!$H:$H,A73)+COUNTIF('CERT - Chứng nhận'!$H:$H,A73)+COUNTIF('FEED - Bảng tin'!$H:$H,A73)+COUNTIF('MEMBER - Thành viên &amp; Xếp hạng'!$H:$H,A73)+COUNTIF('EVENT - Lịch &amp; Sự kiện'!$H:$H,A73)+COUNTIF('NOTI - Thông báo &amp; Nhắn tin'!$H:$H,A73)+COUNTIF('SEARCH - Tìm kiếm'!$H:$H,A73)+COUNTIF('UPLOAD - Upload tệp &amp; ảnh'!$H:$H,A73)+COUNTIF('PAY - Thanh toán &amp; Gói'!$H:$H,A73)+COUNTIF('ADMIN - Quản trị &amp; Kiểm duyệt'!$H:$H,A73)+COUNTIF('ADM - Admin Console (đợt 1)'!$H:$H,A73)+COUNTIF('ADM2 - Admin Console (đợt 2)'!$H:$H,A73)+COUNTIF('ADM3 - Admin Console (đợt 3)'!$H:$H,A73)+COUNTIF('ROLE - Ma trận phân quyền'!$H:$H,A73)+COUNTIF('SEC - Bảo mật &amp; Phi chức năng'!$H:$H,A73)+COUNTIF('INTEG - API &amp; Concurrency'!$H:$H,A73)</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c r="Q5" s="18" t="inlineStr">
        <is>
          <t>Chưa test</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c r="Q6" s="18" t="inlineStr">
        <is>
          <t>Chưa test</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row>
    <row r="9" ht="30" customHeight="1">
      <c r="A9" s="14" t="inlineStr">
        <is>
          <t>TC-HOME-008</t>
        </is>
      </c>
      <c r="B9" s="15" t="inlineStr">
        <is>
          <t>Trang chủ &amp; Khám phá</t>
        </is>
      </c>
      <c r="C9" s="15" t="inlineStr">
        <is>
          <t>Lọc theo danh mục</t>
        </is>
      </c>
      <c r="D9" s="15" t="inlineStr">
        <is>
          <t>Lọc theo nhiều danh mục cùng lúc</t>
        </is>
      </c>
      <c r="E9" s="15" t="inlineStr">
        <is>
          <t>Chức năng</t>
        </is>
      </c>
      <c r="F9" s="20" t="inlineStr">
        <is>
          <t>Trung bình</t>
        </is>
      </c>
      <c r="G9" s="17" t="inlineStr">
        <is>
          <t>Đã hoàn thiện</t>
        </is>
      </c>
      <c r="H9" s="17" t="inlineStr">
        <is>
          <t>Có</t>
        </is>
      </c>
      <c r="I9" s="15" t="inlineStr">
        <is>
          <t>Có khóa học thuộc nhiều danh mục</t>
        </is>
      </c>
      <c r="J9" s="15" t="inlineStr">
        <is>
          <t>1. Vào trang khám phá
2. Chọn đồng thời 'Kinh doanh' và 'Tài chính'</t>
        </is>
      </c>
      <c r="K9" s="15" t="inlineStr">
        <is>
          <t>Danh mục: Kinh doanh, Tài chính</t>
        </is>
      </c>
      <c r="L9" s="15" t="inlineStr">
        <is>
          <t>Hiển thị khóa học thuộc 1 trong 2 danh mục đã chọn (logic OR)</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45" customHeight="1">
      <c r="A10" s="14" t="inlineStr">
        <is>
          <t>TC-HOME-009</t>
        </is>
      </c>
      <c r="B10" s="15" t="inlineStr">
        <is>
          <t>Trang chủ &amp; Khám phá</t>
        </is>
      </c>
      <c r="C10" s="15" t="inlineStr">
        <is>
          <t>Bộ lọc nâng cao</t>
        </is>
      </c>
      <c r="D10" s="15" t="inlineStr">
        <is>
          <t>Lọc theo khoảng giá</t>
        </is>
      </c>
      <c r="E10" s="15" t="inlineStr">
        <is>
          <t>Chức năng</t>
        </is>
      </c>
      <c r="F10" s="16" t="inlineStr">
        <is>
          <t>Cao</t>
        </is>
      </c>
      <c r="G10" s="17" t="inlineStr">
        <is>
          <t>Đã hoàn thiện</t>
        </is>
      </c>
      <c r="H10" s="17" t="inlineStr">
        <is>
          <t>Có</t>
        </is>
      </c>
      <c r="I10" s="15" t="inlineStr">
        <is>
          <t>Có khóa học với nhiều mức giá khác nhau</t>
        </is>
      </c>
      <c r="J10" s="15" t="inlineStr">
        <is>
          <t>1. Vào trang khám phá
2. Mở bộ lọc nâng cao
3. Chọn khoảng giá cụ thể (VD 0-500k)</t>
        </is>
      </c>
      <c r="K10" s="15" t="inlineStr">
        <is>
          <t>Khoảng giá: 0 - 500,000đ</t>
        </is>
      </c>
      <c r="L10" s="15" t="inlineStr">
        <is>
          <t>Chỉ hiển thị khóa học có giá nằm trong khoảng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ĐÃ ĐIỀU CHỈNH: UI chỉ có dropdown loại giá (Miễn phí/Có phí/Dùng thử), không có ô nhập khoảng giá min-max như test case gốc mô tả — test theo dropdown 'Có phí' thay thế.</t>
        </is>
      </c>
    </row>
    <row r="11" ht="45" customHeight="1">
      <c r="A11" s="14" t="inlineStr">
        <is>
          <t>TC-HOME-010</t>
        </is>
      </c>
      <c r="B11" s="15" t="inlineStr">
        <is>
          <t>Trang chủ &amp; Khám phá</t>
        </is>
      </c>
      <c r="C11" s="15" t="inlineStr">
        <is>
          <t>Bộ lọc nâng cao</t>
        </is>
      </c>
      <c r="D11" s="15" t="inlineStr">
        <is>
          <t>Lọc theo loại công khai/riêng tư</t>
        </is>
      </c>
      <c r="E11" s="15" t="inlineStr">
        <is>
          <t>Chức năng</t>
        </is>
      </c>
      <c r="F11" s="20" t="inlineStr">
        <is>
          <t>Trung bình</t>
        </is>
      </c>
      <c r="G11" s="17" t="inlineStr">
        <is>
          <t>Đã hoàn thiện</t>
        </is>
      </c>
      <c r="H11" s="17" t="inlineStr">
        <is>
          <t>Có</t>
        </is>
      </c>
      <c r="I11" s="15" t="inlineStr">
        <is>
          <t>Có cả khóa học công khai và riêng tư trong dữ liệu</t>
        </is>
      </c>
      <c r="J11" s="15" t="inlineStr">
        <is>
          <t>1. Vào trang khám phá
2. Mở bộ lọc nâng cao
3. Chọn loại 'Riêng tư'</t>
        </is>
      </c>
      <c r="K11" s="15" t="inlineStr">
        <is>
          <t>Loại: Riêng tư</t>
        </is>
      </c>
      <c r="L11" s="15" t="inlineStr">
        <is>
          <t>Chỉ hiển thị khóa học/cộng đồng ở chế độ riêng tư</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c r="Q11" s="18" t="inlineStr">
        <is>
          <t>Chưa test</t>
        </is>
      </c>
      <c r="R11" s="15" t="inlineStr"/>
    </row>
    <row r="12" ht="45" customHeight="1">
      <c r="A12" s="14" t="inlineStr">
        <is>
          <t>TC-HOME-011</t>
        </is>
      </c>
      <c r="B12" s="15" t="inlineStr">
        <is>
          <t>Trang chủ &amp; Khám phá</t>
        </is>
      </c>
      <c r="C12" s="15" t="inlineStr">
        <is>
          <t>Bộ lọc nâng cao</t>
        </is>
      </c>
      <c r="D12" s="15" t="inlineStr">
        <is>
          <t>Lọc theo trạng thái khóa học</t>
        </is>
      </c>
      <c r="E12" s="15" t="inlineStr">
        <is>
          <t>Chức năng</t>
        </is>
      </c>
      <c r="F12" s="17" t="inlineStr">
        <is>
          <t>Thấp</t>
        </is>
      </c>
      <c r="G12" s="17" t="inlineStr">
        <is>
          <t>Đã hoàn thiện</t>
        </is>
      </c>
      <c r="H12" s="17" t="inlineStr">
        <is>
          <t>Có</t>
        </is>
      </c>
      <c r="I12" s="15" t="inlineStr">
        <is>
          <t>Dữ liệu có khóa học ở nhiều trạng thái</t>
        </is>
      </c>
      <c r="J12" s="15" t="inlineStr">
        <is>
          <t>1. Vào trang khám phá
2. Mở bộ lọc nâng cao
3. Chọn 1 trạng thái cụ thể</t>
        </is>
      </c>
      <c r="K12" s="15" t="inlineStr">
        <is>
          <t>Trạng thái: đang mở</t>
        </is>
      </c>
      <c r="L12" s="15" t="inlineStr">
        <is>
          <t>Kết quả chỉ gồm khóa học đúng trạng thái đã chọn</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c r="Q12" s="18" t="inlineStr">
        <is>
          <t>Chưa test</t>
        </is>
      </c>
      <c r="R12" s="15" t="inlineStr"/>
    </row>
    <row r="13" ht="45" customHeight="1">
      <c r="A13" s="14" t="inlineStr">
        <is>
          <t>TC-HOME-012</t>
        </is>
      </c>
      <c r="B13" s="15" t="inlineStr">
        <is>
          <t>Trang chủ &amp; Khám phá</t>
        </is>
      </c>
      <c r="C13" s="15" t="inlineStr">
        <is>
          <t>Bộ lọc nâng cao</t>
        </is>
      </c>
      <c r="D13" s="15" t="inlineStr">
        <is>
          <t>Lọc theo ngôn ngữ</t>
        </is>
      </c>
      <c r="E13" s="15" t="inlineStr">
        <is>
          <t>Chức năng</t>
        </is>
      </c>
      <c r="F13" s="17" t="inlineStr">
        <is>
          <t>Thấp</t>
        </is>
      </c>
      <c r="G13" s="17" t="inlineStr">
        <is>
          <t>Đã hoàn thiện</t>
        </is>
      </c>
      <c r="H13" s="17" t="inlineStr">
        <is>
          <t>Có</t>
        </is>
      </c>
      <c r="I13" s="15" t="inlineStr">
        <is>
          <t>Dữ liệu có khóa học đa ngôn ngữ</t>
        </is>
      </c>
      <c r="J13" s="15" t="inlineStr">
        <is>
          <t>1. Vào trang khám phá
2. Mở bộ lọc nâng cao
3. Chọn ngôn ngữ 'Tiếng Việt'</t>
        </is>
      </c>
      <c r="K13" s="15" t="inlineStr">
        <is>
          <t>Ngôn ngữ: Tiếng Việt</t>
        </is>
      </c>
      <c r="L13" s="15" t="inlineStr">
        <is>
          <t>Chỉ hiển thị khóa học có ngôn ngữ giảng dạy là Tiếng Việt</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c r="Q13" s="18" t="inlineStr">
        <is>
          <t>Chưa test</t>
        </is>
      </c>
      <c r="R13" s="15" t="inlineStr"/>
    </row>
    <row r="14" ht="30" customHeight="1">
      <c r="A14" s="14" t="inlineStr">
        <is>
          <t>TC-HOME-013</t>
        </is>
      </c>
      <c r="B14" s="15" t="inlineStr">
        <is>
          <t>Trang chủ &amp; Khám phá</t>
        </is>
      </c>
      <c r="C14" s="15" t="inlineStr">
        <is>
          <t>Bộ lọc nâng cao</t>
        </is>
      </c>
      <c r="D14" s="15" t="inlineStr">
        <is>
          <t>Kết hợp nhiều bộ lọc cùng lúc (danh mục + giá + loại)</t>
        </is>
      </c>
      <c r="E14" s="15" t="inlineStr">
        <is>
          <t>Chức năng</t>
        </is>
      </c>
      <c r="F14" s="16" t="inlineStr">
        <is>
          <t>Cao</t>
        </is>
      </c>
      <c r="G14" s="17" t="inlineStr">
        <is>
          <t>Đã hoàn thiện</t>
        </is>
      </c>
      <c r="H14" s="17" t="inlineStr">
        <is>
          <t>Có</t>
        </is>
      </c>
      <c r="I14" s="15" t="inlineStr">
        <is>
          <t>Dữ liệu đa dạng danh mục/giá/loại</t>
        </is>
      </c>
      <c r="J14" s="15" t="inlineStr">
        <is>
          <t>1. Vào trang khám phá
2. Chọn danh mục, khoảng giá và loại công khai/riêng tư cùng lúc</t>
        </is>
      </c>
      <c r="K14" s="15" t="inlineStr">
        <is>
          <t>Danh mục=Công nghệ; Giá=0-1tr; Loại=Công khai</t>
        </is>
      </c>
      <c r="L14" s="15" t="inlineStr">
        <is>
          <t>Kết quả thỏa mãn đồng thời tất cả điều kiện lọc (logic AND giữa các nhóm filter)</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c r="Q14" s="18" t="inlineStr">
        <is>
          <t>Chưa test</t>
        </is>
      </c>
      <c r="R14" s="15" t="inlineStr"/>
    </row>
    <row r="15" ht="30" customHeight="1">
      <c r="A15" s="14" t="inlineStr">
        <is>
          <t>TC-HOME-014</t>
        </is>
      </c>
      <c r="B15" s="15" t="inlineStr">
        <is>
          <t>Trang chủ &amp; Khám phá</t>
        </is>
      </c>
      <c r="C15" s="15" t="inlineStr">
        <is>
          <t>Bộ lọc nâng cao</t>
        </is>
      </c>
      <c r="D15" s="15" t="inlineStr">
        <is>
          <t>Xóa/reset toàn bộ bộ lọc</t>
        </is>
      </c>
      <c r="E15" s="15" t="inlineStr">
        <is>
          <t>Chức năng</t>
        </is>
      </c>
      <c r="F15" s="20" t="inlineStr">
        <is>
          <t>Trung bình</t>
        </is>
      </c>
      <c r="G15" s="17" t="inlineStr">
        <is>
          <t>Đã hoàn thiện</t>
        </is>
      </c>
      <c r="H15" s="17" t="inlineStr">
        <is>
          <t>Có</t>
        </is>
      </c>
      <c r="I15" s="15" t="inlineStr">
        <is>
          <t>Đã áp dụng ít nhất 1 bộ lọc</t>
        </is>
      </c>
      <c r="J15" s="15" t="inlineStr">
        <is>
          <t>1. Áp dụng vài bộ lọc
2. Bấm nút 'Xóa bộ lọc' / 'Reset'</t>
        </is>
      </c>
      <c r="K15" s="15" t="inlineStr">
        <is>
          <t>-</t>
        </is>
      </c>
      <c r="L15" s="15" t="inlineStr">
        <is>
          <t>Toàn bộ điều kiện lọc bị xóa, danh sách quay về mặc định</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c r="Q15" s="18" t="inlineStr">
        <is>
          <t>Chưa test</t>
        </is>
      </c>
      <c r="R15" s="15" t="inlineStr"/>
    </row>
    <row r="16" ht="30" customHeight="1">
      <c r="A16" s="14" t="inlineStr">
        <is>
          <t>TC-HOME-015</t>
        </is>
      </c>
      <c r="B16" s="15" t="inlineStr">
        <is>
          <t>Trang chủ &amp; Khám phá</t>
        </is>
      </c>
      <c r="C16" s="15" t="inlineStr">
        <is>
          <t>Sắp xếp</t>
        </is>
      </c>
      <c r="D16" s="15" t="inlineStr">
        <is>
          <t>Sắp xếp theo 'Đang nổi'</t>
        </is>
      </c>
      <c r="E16" s="15" t="inlineStr">
        <is>
          <t>Chức năng</t>
        </is>
      </c>
      <c r="F16" s="20" t="inlineStr">
        <is>
          <t>Trung bình</t>
        </is>
      </c>
      <c r="G16" s="17" t="inlineStr">
        <is>
          <t>Đã hoàn thiện</t>
        </is>
      </c>
      <c r="H16" s="17" t="inlineStr">
        <is>
          <t>Có</t>
        </is>
      </c>
      <c r="I16" s="15" t="inlineStr">
        <is>
          <t>Có dữ liệu khóa học với chỉ số tương tác khác nhau</t>
        </is>
      </c>
      <c r="J16" s="15" t="inlineStr">
        <is>
          <t>1. Vào trang khám phá
2. Chọn sắp xếp 'Đang nổi'</t>
        </is>
      </c>
      <c r="K16" s="15" t="inlineStr">
        <is>
          <t>-</t>
        </is>
      </c>
      <c r="L16" s="15" t="inlineStr">
        <is>
          <t>Danh sách được sắp xếp giảm dần theo mức độ nổi bật/tương tác</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c r="Q16" s="18" t="inlineStr">
        <is>
          <t>Chưa test</t>
        </is>
      </c>
      <c r="R16" s="15" t="inlineStr"/>
    </row>
    <row r="17" ht="30" customHeight="1">
      <c r="A17" s="14" t="inlineStr">
        <is>
          <t>TC-HOME-016</t>
        </is>
      </c>
      <c r="B17" s="15" t="inlineStr">
        <is>
          <t>Trang chủ &amp; Khám phá</t>
        </is>
      </c>
      <c r="C17" s="15" t="inlineStr">
        <is>
          <t>Sắp xếp</t>
        </is>
      </c>
      <c r="D17" s="15" t="inlineStr">
        <is>
          <t>Sắp xếp theo 'Hàng đầu'</t>
        </is>
      </c>
      <c r="E17" s="15" t="inlineStr">
        <is>
          <t>Chức năng</t>
        </is>
      </c>
      <c r="F17" s="20" t="inlineStr">
        <is>
          <t>Trung bình</t>
        </is>
      </c>
      <c r="G17" s="17" t="inlineStr">
        <is>
          <t>Đã hoàn thiện</t>
        </is>
      </c>
      <c r="H17" s="17" t="inlineStr">
        <is>
          <t>Có</t>
        </is>
      </c>
      <c r="I17" s="15" t="inlineStr">
        <is>
          <t>Có dữ liệu đánh giá/rating khác nhau</t>
        </is>
      </c>
      <c r="J17" s="15" t="inlineStr">
        <is>
          <t>1. Vào trang khám phá
2. Chọn sắp xếp 'Hàng đầu'</t>
        </is>
      </c>
      <c r="K17" s="15" t="inlineStr">
        <is>
          <t>-</t>
        </is>
      </c>
      <c r="L17" s="15" t="inlineStr">
        <is>
          <t>Danh sách sắp xếp theo tiêu chí đánh giá/điểm cao nhất trước</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c r="Q17" s="18" t="inlineStr">
        <is>
          <t>Chưa test</t>
        </is>
      </c>
      <c r="R17" s="15" t="inlineStr"/>
    </row>
    <row r="18" ht="30" customHeight="1">
      <c r="A18" s="14" t="inlineStr">
        <is>
          <t>TC-HOME-017</t>
        </is>
      </c>
      <c r="B18" s="15" t="inlineStr">
        <is>
          <t>Trang chủ &amp; Khám phá</t>
        </is>
      </c>
      <c r="C18" s="15" t="inlineStr">
        <is>
          <t>Sắp xếp</t>
        </is>
      </c>
      <c r="D18" s="15" t="inlineStr">
        <is>
          <t>Sắp xếp theo 'Mới nhất'</t>
        </is>
      </c>
      <c r="E18" s="15" t="inlineStr">
        <is>
          <t>Chức năng</t>
        </is>
      </c>
      <c r="F18" s="20" t="inlineStr">
        <is>
          <t>Trung bình</t>
        </is>
      </c>
      <c r="G18" s="17" t="inlineStr">
        <is>
          <t>Đã hoàn thiện</t>
        </is>
      </c>
      <c r="H18" s="17" t="inlineStr">
        <is>
          <t>Có</t>
        </is>
      </c>
      <c r="I18" s="15" t="inlineStr">
        <is>
          <t>Có khóa học tạo ở nhiều thời điểm khác nhau</t>
        </is>
      </c>
      <c r="J18" s="15" t="inlineStr">
        <is>
          <t>1. Vào trang khám phá
2. Chọn sắp xếp 'Mới nhất'</t>
        </is>
      </c>
      <c r="K18" s="15" t="inlineStr">
        <is>
          <t>-</t>
        </is>
      </c>
      <c r="L18" s="15" t="inlineStr">
        <is>
          <t>Khóa học tạo/xuất bản gần đây nhất hiển thị đầu danh sách</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c r="Q18" s="18" t="inlineStr">
        <is>
          <t>Chưa test</t>
        </is>
      </c>
      <c r="R18" s="15" t="inlineStr"/>
    </row>
    <row r="19" ht="45" customHeight="1">
      <c r="A19" s="14" t="inlineStr">
        <is>
          <t>TC-HOME-018</t>
        </is>
      </c>
      <c r="B19" s="15" t="inlineStr">
        <is>
          <t>Trang chủ &amp; Khám phá</t>
        </is>
      </c>
      <c r="C19" s="15" t="inlineStr">
        <is>
          <t>Xem dạng lưới/danh sách</t>
        </is>
      </c>
      <c r="D19" s="15" t="inlineStr">
        <is>
          <t>Chuyển đổi qua lại giữa xem lưới và danh sách</t>
        </is>
      </c>
      <c r="E19" s="15" t="inlineStr">
        <is>
          <t>Giao diện</t>
        </is>
      </c>
      <c r="F19" s="17" t="inlineStr">
        <is>
          <t>Thấp</t>
        </is>
      </c>
      <c r="G19" s="17" t="inlineStr">
        <is>
          <t>Đã hoàn thiện</t>
        </is>
      </c>
      <c r="H19" s="17" t="inlineStr">
        <is>
          <t>Có</t>
        </is>
      </c>
      <c r="I19" s="15" t="inlineStr">
        <is>
          <t>Đang ở trang khám phá</t>
        </is>
      </c>
      <c r="J19" s="15" t="inlineStr">
        <is>
          <t>1. Bấm icon 'Xem dạng danh sách'
2. Quan sát layout
3. Bấm icon 'Xem dạng lưới'</t>
        </is>
      </c>
      <c r="K19" s="15" t="inlineStr">
        <is>
          <t>-</t>
        </is>
      </c>
      <c r="L19" s="15" t="inlineStr">
        <is>
          <t>Layout chuyển đổi đúng, dữ liệu/thứ tự kết quả không đổi khi đổi kiểu xem</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c r="Q19" s="18" t="inlineStr">
        <is>
          <t>Chưa test</t>
        </is>
      </c>
      <c r="R19" s="15" t="inlineStr"/>
    </row>
    <row r="20" ht="45" customHeight="1">
      <c r="A20" s="14" t="inlineStr">
        <is>
          <t>TC-HOME-019</t>
        </is>
      </c>
      <c r="B20" s="15" t="inlineStr">
        <is>
          <t>Trang chủ &amp; Khám phá</t>
        </is>
      </c>
      <c r="C20" s="15" t="inlineStr">
        <is>
          <t>Phân trang</t>
        </is>
      </c>
      <c r="D20" s="15" t="inlineStr">
        <is>
          <t>Chuyển sang trang kết quả tiếp theo</t>
        </is>
      </c>
      <c r="E20" s="15" t="inlineStr">
        <is>
          <t>Chức năng</t>
        </is>
      </c>
      <c r="F20" s="16" t="inlineStr">
        <is>
          <t>Cao</t>
        </is>
      </c>
      <c r="G20" s="17" t="inlineStr">
        <is>
          <t>Đã hoàn thiện</t>
        </is>
      </c>
      <c r="H20" s="17" t="inlineStr">
        <is>
          <t>Có</t>
        </is>
      </c>
      <c r="I20" s="15" t="inlineStr">
        <is>
          <t>Số lượng khóa học vượt quá 1 trang</t>
        </is>
      </c>
      <c r="J20" s="15" t="inlineStr">
        <is>
          <t>1. Vào trang khám phá
2. Cuộn xuống cuối danh sách
3. Bấm 'Trang sau' / số trang 2</t>
        </is>
      </c>
      <c r="K20" s="15" t="inlineStr">
        <is>
          <t>-</t>
        </is>
      </c>
      <c r="L20" s="15" t="inlineStr">
        <is>
          <t>Hiển thị đúng tập dữ liệu của trang 2, không trùng lặp với trang 1</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c r="Q20" s="18" t="inlineStr">
        <is>
          <t>Chưa test</t>
        </is>
      </c>
      <c r="R20" s="15" t="inlineStr"/>
    </row>
    <row r="21" ht="30" customHeight="1">
      <c r="A21" s="14" t="inlineStr">
        <is>
          <t>TC-HOME-020</t>
        </is>
      </c>
      <c r="B21" s="15" t="inlineStr">
        <is>
          <t>Trang chủ &amp; Khám phá</t>
        </is>
      </c>
      <c r="C21" s="15" t="inlineStr">
        <is>
          <t>Phân trang</t>
        </is>
      </c>
      <c r="D21" s="15" t="inlineStr">
        <is>
          <t>Quay lại trang trước đó</t>
        </is>
      </c>
      <c r="E21" s="15" t="inlineStr">
        <is>
          <t>Chức năng</t>
        </is>
      </c>
      <c r="F21" s="20" t="inlineStr">
        <is>
          <t>Trung bình</t>
        </is>
      </c>
      <c r="G21" s="17" t="inlineStr">
        <is>
          <t>Đã hoàn thiện</t>
        </is>
      </c>
      <c r="H21" s="17" t="inlineStr">
        <is>
          <t>Có</t>
        </is>
      </c>
      <c r="I21" s="15" t="inlineStr">
        <is>
          <t>Đang ở trang 2 trở đi</t>
        </is>
      </c>
      <c r="J21" s="15" t="inlineStr">
        <is>
          <t>1. Từ trang 2, bấm 'Trang trước' / số trang 1</t>
        </is>
      </c>
      <c r="K21" s="15" t="inlineStr">
        <is>
          <t>-</t>
        </is>
      </c>
      <c r="L21" s="15" t="inlineStr">
        <is>
          <t>Quay về đúng dữ liệu trang 1</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c r="Q21" s="18" t="inlineStr">
        <is>
          <t>Chưa test</t>
        </is>
      </c>
      <c r="R21" s="15" t="inlineStr"/>
    </row>
    <row r="22" ht="30" customHeight="1">
      <c r="A22" s="14" t="inlineStr">
        <is>
          <t>TC-HOME-021</t>
        </is>
      </c>
      <c r="B22" s="15" t="inlineStr">
        <is>
          <t>Trang chủ &amp; Khám phá</t>
        </is>
      </c>
      <c r="C22" s="15" t="inlineStr">
        <is>
          <t>Số liệu nổi bật (hero)</t>
        </is>
      </c>
      <c r="D22" s="15" t="inlineStr">
        <is>
          <t>Kiểm tra số liệu tổng học viên/khóa học/đánh giá hiển thị đúng</t>
        </is>
      </c>
      <c r="E22" s="15" t="inlineStr">
        <is>
          <t>Chức năng</t>
        </is>
      </c>
      <c r="F22" s="20" t="inlineStr">
        <is>
          <t>Trung bình</t>
        </is>
      </c>
      <c r="G22" s="17" t="inlineStr">
        <is>
          <t>Đã hoàn thiện</t>
        </is>
      </c>
      <c r="H22" s="17" t="inlineStr">
        <is>
          <t>Có</t>
        </is>
      </c>
      <c r="I22" s="15" t="inlineStr">
        <is>
          <t>Có dữ liệu thống kê trên hệ thống</t>
        </is>
      </c>
      <c r="J22" s="15" t="inlineStr">
        <is>
          <t>1. Vào trang chủ
2. Đối chiếu số liệu hiển thị ở khu vực hero với dữ liệu thực tế trong hệ thống</t>
        </is>
      </c>
      <c r="K22" s="15" t="inlineStr">
        <is>
          <t>-</t>
        </is>
      </c>
      <c r="L22" s="15" t="inlineStr">
        <is>
          <t>Số liệu hiển thị khớp với dữ liệu thực tế (hoặc dữ liệu mẫu đã khai báo)</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c r="Q22" s="18" t="inlineStr">
        <is>
          <t>Chưa test</t>
        </is>
      </c>
      <c r="R22" s="15" t="inlineStr"/>
    </row>
    <row r="23" ht="30" customHeight="1">
      <c r="A23" s="14" t="inlineStr">
        <is>
          <t>TC-HOME-022</t>
        </is>
      </c>
      <c r="B23" s="15" t="inlineStr">
        <is>
          <t>Trang chủ &amp; Khám phá</t>
        </is>
      </c>
      <c r="C23" s="15" t="inlineStr">
        <is>
          <t>Câu chuyện cộng đồng</t>
        </is>
      </c>
      <c r="D23" s="15" t="inlineStr">
        <is>
          <t>Hiển thị đánh giá/phản hồi nổi bật trên trang chủ</t>
        </is>
      </c>
      <c r="E23" s="15" t="inlineStr">
        <is>
          <t>Giao diện</t>
        </is>
      </c>
      <c r="F23" s="17" t="inlineStr">
        <is>
          <t>Thấp</t>
        </is>
      </c>
      <c r="G23" s="17" t="inlineStr">
        <is>
          <t>Đã hoàn thiện</t>
        </is>
      </c>
      <c r="H23" s="17" t="inlineStr">
        <is>
          <t>Có</t>
        </is>
      </c>
      <c r="I23" s="15" t="inlineStr">
        <is>
          <t>Trang chủ đã tải xong</t>
        </is>
      </c>
      <c r="J23" s="15" t="inlineStr">
        <is>
          <t>1. Vào trang chủ
2. Cuộn tới khu vực câu chuyện cộng đồng</t>
        </is>
      </c>
      <c r="K23" s="15" t="inlineStr">
        <is>
          <t>-</t>
        </is>
      </c>
      <c r="L23" s="15" t="inlineStr">
        <is>
          <t>Hiển thị đầy đủ nội dung, tên, avatar (dữ liệu minh họa) không bị vỡ layout</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c r="Q23" s="18" t="inlineStr">
        <is>
          <t>Chưa test</t>
        </is>
      </c>
      <c r="R23" s="15" t="inlineStr"/>
    </row>
    <row r="24" ht="45" customHeight="1">
      <c r="A24" s="14" t="inlineStr">
        <is>
          <t>TC-HOME-023</t>
        </is>
      </c>
      <c r="B24" s="15" t="inlineStr">
        <is>
          <t>Trang chủ &amp; Khám phá</t>
        </is>
      </c>
      <c r="C24" s="15" t="inlineStr">
        <is>
          <t>Tìm kiếm khóa học</t>
        </is>
      </c>
      <c r="D24" s="15" t="inlineStr">
        <is>
          <t>Tìm kiếm không phân biệt hoa/thường</t>
        </is>
      </c>
      <c r="E24" s="15" t="inlineStr">
        <is>
          <t>Chức năng</t>
        </is>
      </c>
      <c r="F24" s="20" t="inlineStr">
        <is>
          <t>Trung bình</t>
        </is>
      </c>
      <c r="G24" s="17" t="inlineStr">
        <is>
          <t>Đã hoàn thiện</t>
        </is>
      </c>
      <c r="H24" s="17" t="inlineStr">
        <is>
          <t>Có</t>
        </is>
      </c>
      <c r="I24" s="15" t="inlineStr">
        <is>
          <t>-</t>
        </is>
      </c>
      <c r="J24" s="15" t="inlineStr">
        <is>
          <t>1. Vào trang khám phá
2. Nhập từ khóa toàn chữ HOA trùng với tiêu đề khóa học viết thường
3. Bấm tìm kiếm</t>
        </is>
      </c>
      <c r="K24" s="15" t="inlineStr">
        <is>
          <t>VD: 'KHOA HOC JAVA' cho khóa học 'Khóa học Java'</t>
        </is>
      </c>
      <c r="L24" s="15" t="inlineStr">
        <is>
          <t>Trả về đúng kết quả bất kể hoa/thường</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c r="Q24" s="18" t="inlineStr">
        <is>
          <t>Chưa test</t>
        </is>
      </c>
      <c r="R24" s="15" t="inlineStr"/>
    </row>
    <row r="25" ht="30" customHeight="1">
      <c r="A25" s="14" t="inlineStr">
        <is>
          <t>TC-HOME-024</t>
        </is>
      </c>
      <c r="B25" s="15" t="inlineStr">
        <is>
          <t>Trang chủ &amp; Khám phá</t>
        </is>
      </c>
      <c r="C25" s="15" t="inlineStr">
        <is>
          <t>Tìm kiếm khóa học</t>
        </is>
      </c>
      <c r="D25" s="15" t="inlineStr">
        <is>
          <t>Tìm kiếm với khoảng trắng thừa ở đầu/cuối từ khóa</t>
        </is>
      </c>
      <c r="E25" s="15" t="inlineStr">
        <is>
          <t>Chức năng</t>
        </is>
      </c>
      <c r="F25" s="17" t="inlineStr">
        <is>
          <t>Thấp</t>
        </is>
      </c>
      <c r="G25" s="17" t="inlineStr">
        <is>
          <t>Đã hoàn thiện</t>
        </is>
      </c>
      <c r="H25" s="17" t="inlineStr">
        <is>
          <t>Có</t>
        </is>
      </c>
      <c r="I25" s="15" t="inlineStr">
        <is>
          <t>-</t>
        </is>
      </c>
      <c r="J25" s="15" t="inlineStr">
        <is>
          <t>1. Nhập từ khóa có khoảng trắng thừa đầu/cuối
2. Bấm tìm kiếm</t>
        </is>
      </c>
      <c r="K25" s="15" t="inlineStr">
        <is>
          <t>'  java  '</t>
        </is>
      </c>
      <c r="L25" s="15" t="inlineStr">
        <is>
          <t>Hệ thống tự trim khoảng trắng, trả về kết quả đúng như không có khoảng trắng thừa</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c r="Q25" s="18" t="inlineStr">
        <is>
          <t>Chưa test</t>
        </is>
      </c>
      <c r="R25" s="15" t="inlineStr"/>
    </row>
    <row r="26" ht="30" customHeight="1">
      <c r="A26" s="14" t="inlineStr">
        <is>
          <t>TC-HOME-025</t>
        </is>
      </c>
      <c r="B26" s="15" t="inlineStr">
        <is>
          <t>Trang chủ &amp; Khám phá</t>
        </is>
      </c>
      <c r="C26" s="15" t="inlineStr">
        <is>
          <t>Tìm kiếm khóa học</t>
        </is>
      </c>
      <c r="D26" s="15" t="inlineStr">
        <is>
          <t>Tìm kiếm không dấu vẫn ra kết quả có dấu tiếng Việt</t>
        </is>
      </c>
      <c r="E26" s="15" t="inlineStr">
        <is>
          <t>Chức năng</t>
        </is>
      </c>
      <c r="F26" s="20" t="inlineStr">
        <is>
          <t>Trung bình</t>
        </is>
      </c>
      <c r="G26" s="17" t="inlineStr">
        <is>
          <t>Đã hoàn thiện</t>
        </is>
      </c>
      <c r="H26" s="17" t="inlineStr">
        <is>
          <t>Có</t>
        </is>
      </c>
      <c r="I26" s="15" t="inlineStr">
        <is>
          <t>-</t>
        </is>
      </c>
      <c r="J26" s="15" t="inlineStr">
        <is>
          <t>1. Nhập từ khóa không dấu (VD: 'ke toan')
2. Bấm tìm kiếm</t>
        </is>
      </c>
      <c r="K26" s="15" t="inlineStr">
        <is>
          <t>'ke toan' cho khóa học 'Kế toán'</t>
        </is>
      </c>
      <c r="L26" s="15" t="inlineStr">
        <is>
          <t>Trả về đúng khóa học có dấu tương ứng nếu hệ thống hỗ trợ tìm không dấu; nếu không hỗ trợ cần thống nhất hành vi mong đợi với BA</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c r="Q26" s="18" t="inlineStr">
        <is>
          <t>Chưa test</t>
        </is>
      </c>
      <c r="R26" s="15" t="inlineStr"/>
    </row>
    <row r="27" ht="45" customHeight="1">
      <c r="A27" s="14" t="inlineStr">
        <is>
          <t>TC-HOME-026</t>
        </is>
      </c>
      <c r="B27" s="15" t="inlineStr">
        <is>
          <t>Trang chủ &amp; Khám phá</t>
        </is>
      </c>
      <c r="C27" s="15" t="inlineStr">
        <is>
          <t>Bộ lọc nâng cao</t>
        </is>
      </c>
      <c r="D27" s="15" t="inlineStr">
        <is>
          <t>Lọc theo giá với giá trị Min &gt; Max</t>
        </is>
      </c>
      <c r="E27" s="15" t="inlineStr">
        <is>
          <t>Chức năng</t>
        </is>
      </c>
      <c r="F27" s="20" t="inlineStr">
        <is>
          <t>Trung bình</t>
        </is>
      </c>
      <c r="G27" s="17" t="inlineStr">
        <is>
          <t>Đã hoàn thiện</t>
        </is>
      </c>
      <c r="H27" s="17" t="inlineStr">
        <is>
          <t>Có</t>
        </is>
      </c>
      <c r="I27" s="15" t="inlineStr">
        <is>
          <t>-</t>
        </is>
      </c>
      <c r="J27" s="15" t="inlineStr">
        <is>
          <t>1. Mở bộ lọc nâng cao
2. Nhập Giá từ = 1,000,000đ và Giá đến = 100,000đ
3. Áp dụng</t>
        </is>
      </c>
      <c r="K27" s="15" t="inlineStr">
        <is>
          <t>Min=1,000,000 / Max=100,000</t>
        </is>
      </c>
      <c r="L27" s="15" t="inlineStr">
        <is>
          <t>Hệ thống báo lỗi giá trị không hợp lệ hoặc tự động hoán đổi, không trả về kết quả sai</t>
        </is>
      </c>
      <c r="M27" s="15" t="inlineStr">
        <is>
          <t>Claude (Playwright automation)</t>
        </is>
      </c>
      <c r="N27" s="18" t="inlineStr">
        <is>
          <t>N/A</t>
        </is>
      </c>
      <c r="O27" s="19" t="inlineStr">
        <is>
          <t>Không có ảnh riêng (test bị bỏ qua) — trace đầy đủ: e2e/report/index.html (chỉ mở được khi tải file .xlsx và mở Excel local)</t>
        </is>
      </c>
      <c r="P27" s="15" t="inlineStr"/>
      <c r="Q27" s="18" t="inlineStr">
        <is>
          <t>Chưa test</t>
        </is>
      </c>
      <c r="R27" s="15" t="inlineStr">
        <is>
          <t>UI hiện tại chỉ có dropdown loại giá (Miễn phí/Có phí/Dùng thử), không có input số Min/Max để test giá trị biên này. Cần cập nhật lại test case hoặc chờ tính năng lọc theo khoảng giá số được bổ sung.</t>
        </is>
      </c>
    </row>
    <row r="28" ht="45" customHeight="1">
      <c r="A28" s="14" t="inlineStr">
        <is>
          <t>TC-HOME-027</t>
        </is>
      </c>
      <c r="B28" s="15" t="inlineStr">
        <is>
          <t>Trang chủ &amp; Khám phá</t>
        </is>
      </c>
      <c r="C28" s="15" t="inlineStr">
        <is>
          <t>Bộ lọc nâng cao</t>
        </is>
      </c>
      <c r="D28" s="15" t="inlineStr">
        <is>
          <t>Lọc theo giá với giá trị âm</t>
        </is>
      </c>
      <c r="E28" s="15" t="inlineStr">
        <is>
          <t>Chức năng</t>
        </is>
      </c>
      <c r="F28" s="17" t="inlineStr">
        <is>
          <t>Thấp</t>
        </is>
      </c>
      <c r="G28" s="17" t="inlineStr">
        <is>
          <t>Đã hoàn thiện</t>
        </is>
      </c>
      <c r="H28" s="17" t="inlineStr">
        <is>
          <t>Có</t>
        </is>
      </c>
      <c r="I28" s="15" t="inlineStr">
        <is>
          <t>-</t>
        </is>
      </c>
      <c r="J28" s="15" t="inlineStr">
        <is>
          <t>1. Mở bộ lọc nâng cao
2. Nhập giá trị âm vào ô Giá từ
3. Áp dụng</t>
        </is>
      </c>
      <c r="K28" s="15" t="inlineStr">
        <is>
          <t>Giá từ = -100000</t>
        </is>
      </c>
      <c r="L28" s="15" t="inlineStr">
        <is>
          <t>Hệ thống chặn nhập số âm hoặc validate báo lỗi, không crash</t>
        </is>
      </c>
      <c r="M28" s="15" t="inlineStr">
        <is>
          <t>Claude (Playwright automation)</t>
        </is>
      </c>
      <c r="N28" s="18" t="inlineStr">
        <is>
          <t>N/A</t>
        </is>
      </c>
      <c r="O28" s="19" t="inlineStr">
        <is>
          <t>Không có ảnh riêng (test bị bỏ qua) — trace đầy đủ: e2e/report/index.html (chỉ mở được khi tải file .xlsx và mở Excel local)</t>
        </is>
      </c>
      <c r="P28" s="15" t="inlineStr"/>
      <c r="Q28" s="18" t="inlineStr">
        <is>
          <t>Chưa test</t>
        </is>
      </c>
      <c r="R28" s="15" t="inlineStr">
        <is>
          <t>Tương tự TC-HOME-026 — không có input số cho giá để nhập giá trị âm.</t>
        </is>
      </c>
    </row>
    <row r="29" ht="30" customHeight="1">
      <c r="A29" s="14" t="inlineStr">
        <is>
          <t>TC-HOME-028</t>
        </is>
      </c>
      <c r="B29" s="15" t="inlineStr">
        <is>
          <t>Trang chủ &amp; Khám phá</t>
        </is>
      </c>
      <c r="C29" s="15" t="inlineStr">
        <is>
          <t>Phân trang</t>
        </is>
      </c>
      <c r="D29" s="15" t="inlineStr">
        <is>
          <t>Truy cập trực tiếp URL với số trang vượt quá tổng số trang</t>
        </is>
      </c>
      <c r="E29" s="15" t="inlineStr">
        <is>
          <t>Chức năng</t>
        </is>
      </c>
      <c r="F29" s="20" t="inlineStr">
        <is>
          <t>Trung bình</t>
        </is>
      </c>
      <c r="G29" s="17" t="inlineStr">
        <is>
          <t>Đã hoàn thiện</t>
        </is>
      </c>
      <c r="H29" s="17" t="inlineStr">
        <is>
          <t>Có</t>
        </is>
      </c>
      <c r="I29" s="15" t="inlineStr">
        <is>
          <t>-</t>
        </is>
      </c>
      <c r="J29" s="15" t="inlineStr">
        <is>
          <t>1. Sửa tham số trang trên URL thành số lớn hơn tổng số trang hiện có (VD ?page=999)
2. Tải trang</t>
        </is>
      </c>
      <c r="K29" s="15" t="inlineStr">
        <is>
          <t>page=999</t>
        </is>
      </c>
      <c r="L29" s="15" t="inlineStr">
        <is>
          <t>Hiển thị trang trống có thông báo phù hợp hoặc tự động về trang cuối, không lỗi 500</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c r="Q29" s="18" t="inlineStr">
        <is>
          <t>Chưa test</t>
        </is>
      </c>
      <c r="R29" s="15" t="inlineStr">
        <is>
          <t>ĐÃ ĐIỀU CHỈNH: ứng dụng không đồng bộ phân trang lên URL (state cục bộ trong useCourseFilters, không dùng useSearchParams) nên không thể test bằng ?page=999 — chuyển sang kiểm tra nút 'Trang sau' tự vô hiệu hóa ở trang cuối.</t>
        </is>
      </c>
    </row>
    <row r="30" ht="30" customHeight="1">
      <c r="A30" s="14" t="inlineStr">
        <is>
          <t>TC-HOME-029</t>
        </is>
      </c>
      <c r="B30" s="15" t="inlineStr">
        <is>
          <t>Trang chủ &amp; Khám phá</t>
        </is>
      </c>
      <c r="C30" s="15" t="inlineStr">
        <is>
          <t>Phân trang</t>
        </is>
      </c>
      <c r="D30" s="15" t="inlineStr">
        <is>
          <t>Truy cập URL với số trang = 0 hoặc số âm</t>
        </is>
      </c>
      <c r="E30" s="15" t="inlineStr">
        <is>
          <t>Chức năng</t>
        </is>
      </c>
      <c r="F30" s="17" t="inlineStr">
        <is>
          <t>Thấp</t>
        </is>
      </c>
      <c r="G30" s="17" t="inlineStr">
        <is>
          <t>Đã hoàn thiện</t>
        </is>
      </c>
      <c r="H30" s="17" t="inlineStr">
        <is>
          <t>Có</t>
        </is>
      </c>
      <c r="I30" s="15" t="inlineStr">
        <is>
          <t>-</t>
        </is>
      </c>
      <c r="J30" s="15" t="inlineStr">
        <is>
          <t>1. Sửa tham số trang trên URL thành 0 hoặc số âm (VD ?page=-1)
2. Tải trang</t>
        </is>
      </c>
      <c r="K30" s="15" t="inlineStr">
        <is>
          <t>page=-1</t>
        </is>
      </c>
      <c r="L30" s="15" t="inlineStr">
        <is>
          <t>Hệ thống tự điều chỉnh về trang 1 hoặc báo lỗi hợp lý, không crash</t>
        </is>
      </c>
      <c r="M30" s="15" t="inlineStr">
        <is>
          <t>Claude (Playwright automation)</t>
        </is>
      </c>
      <c r="N30" s="18" t="inlineStr">
        <is>
          <t>Pass</t>
        </is>
      </c>
      <c r="O30" s="19" t="inlineStr">
        <is>
          <t>Không có ảnh riêng (test bị bỏ qua) — trace đầy đủ: e2e/report/index.html (chỉ mở được khi tải file .xlsx và mở Excel local)</t>
        </is>
      </c>
      <c r="P30" s="15" t="inlineStr"/>
      <c r="Q30" s="18" t="inlineStr">
        <is>
          <t>Chưa test</t>
        </is>
      </c>
      <c r="R30" s="15" t="inlineStr">
        <is>
          <t>ĐÃ ĐIỀU CHỈNH: tương tự TC-HOME-028 — kiểm tra nút 'Trang trước' tự vô hiệu hóa ở trang 1 thay vì ?page=0/-1.</t>
        </is>
      </c>
    </row>
    <row r="31" ht="30" customHeight="1">
      <c r="A31" s="14" t="inlineStr">
        <is>
          <t>TC-HOME-030</t>
        </is>
      </c>
      <c r="B31" s="15" t="inlineStr">
        <is>
          <t>Trang chủ &amp; Khám phá</t>
        </is>
      </c>
      <c r="C31" s="15" t="inlineStr">
        <is>
          <t>Kết hợp bộ lọc</t>
        </is>
      </c>
      <c r="D31" s="15" t="inlineStr">
        <is>
          <t>Giữ nguyên điều kiện tìm kiếm/lọc/sắp xếp khi chuyển trang</t>
        </is>
      </c>
      <c r="E31" s="15" t="inlineStr">
        <is>
          <t>Chức năng</t>
        </is>
      </c>
      <c r="F31" s="16" t="inlineStr">
        <is>
          <t>Cao</t>
        </is>
      </c>
      <c r="G31" s="17" t="inlineStr">
        <is>
          <t>Đã hoàn thiện</t>
        </is>
      </c>
      <c r="H31" s="17" t="inlineStr">
        <is>
          <t>Có</t>
        </is>
      </c>
      <c r="I31" s="15" t="inlineStr">
        <is>
          <t>-</t>
        </is>
      </c>
      <c r="J31" s="15" t="inlineStr">
        <is>
          <t>1. Áp dụng tìm kiếm + lọc danh mục + sắp xếp 'Mới nhất'
2. Chuyển sang trang kết quả tiếp theo</t>
        </is>
      </c>
      <c r="K31" s="15" t="inlineStr">
        <is>
          <t>-</t>
        </is>
      </c>
      <c r="L31" s="15" t="inlineStr">
        <is>
          <t>Trang tiếp theo vẫn giữ đúng điều kiện tìm kiếm/lọc/sắp xếp đã chọn, không bị reset</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c r="Q31" s="18" t="inlineStr">
        <is>
          <t>Chưa test</t>
        </is>
      </c>
      <c r="R31" s="15" t="inlineStr"/>
    </row>
    <row r="32" ht="30" customHeight="1">
      <c r="A32" s="14" t="inlineStr">
        <is>
          <t>TC-HOME-031</t>
        </is>
      </c>
      <c r="B32" s="15" t="inlineStr">
        <is>
          <t>Trang chủ &amp; Khám phá</t>
        </is>
      </c>
      <c r="C32" s="15" t="inlineStr">
        <is>
          <t>Phân quyền hiển thị</t>
        </is>
      </c>
      <c r="D32" s="15" t="inlineStr">
        <is>
          <t>Khách (Guest) xem được trang khám phá không cần đăng nhập</t>
        </is>
      </c>
      <c r="E32" s="15" t="inlineStr">
        <is>
          <t>Chức năng</t>
        </is>
      </c>
      <c r="F32" s="20" t="inlineStr">
        <is>
          <t>Trung bình</t>
        </is>
      </c>
      <c r="G32" s="17" t="inlineStr">
        <is>
          <t>Đã hoàn thiện</t>
        </is>
      </c>
      <c r="H32" s="17" t="inlineStr">
        <is>
          <t>Có</t>
        </is>
      </c>
      <c r="I32" s="15" t="inlineStr">
        <is>
          <t>Chưa đăng nhập</t>
        </is>
      </c>
      <c r="J32" s="15" t="inlineStr">
        <is>
          <t>1. Mở trang khám phá ở chế độ ẩn danh (không đăng nhập)</t>
        </is>
      </c>
      <c r="K32" s="15" t="inlineStr">
        <is>
          <t>-</t>
        </is>
      </c>
      <c r="L32" s="15" t="inlineStr">
        <is>
          <t>Xem được danh sách, tìm kiếm, lọc bình thường theo đúng quyền của vai trò Khách</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c r="Q32" s="18" t="inlineStr">
        <is>
          <t>Chưa test</t>
        </is>
      </c>
      <c r="R32" s="15" t="inlineStr"/>
    </row>
    <row r="33" ht="30" customHeight="1">
      <c r="A33" s="14" t="inlineStr">
        <is>
          <t>TC-HOME-032</t>
        </is>
      </c>
      <c r="B33" s="15" t="inlineStr">
        <is>
          <t>Trang chủ &amp; Khám phá</t>
        </is>
      </c>
      <c r="C33" s="15" t="inlineStr">
        <is>
          <t>Phân quyền hiển thị</t>
        </is>
      </c>
      <c r="D33" s="15" t="inlineStr">
        <is>
          <t>Khách bấm 'Tham gia ngay' bị chuyển hướng sang trang Đăng ký/Đăng nhập</t>
        </is>
      </c>
      <c r="E33" s="15" t="inlineStr">
        <is>
          <t>Chức năng</t>
        </is>
      </c>
      <c r="F33" s="16" t="inlineStr">
        <is>
          <t>Cao</t>
        </is>
      </c>
      <c r="G33" s="17" t="inlineStr">
        <is>
          <t>Đã hoàn thiện</t>
        </is>
      </c>
      <c r="H33" s="17" t="inlineStr">
        <is>
          <t>Có</t>
        </is>
      </c>
      <c r="I33" s="15" t="inlineStr">
        <is>
          <t>Chưa đăng nhập</t>
        </is>
      </c>
      <c r="J33" s="15" t="inlineStr">
        <is>
          <t>1. Mở trang chi tiết khóa học ở chế độ ẩn danh
2. Bấm 'Tham gia ngay'</t>
        </is>
      </c>
      <c r="K33" s="15" t="inlineStr">
        <is>
          <t>-</t>
        </is>
      </c>
      <c r="L33" s="15" t="inlineStr">
        <is>
          <t>Chuyển hướng sang trang Đăng ký (hoặc Đăng nhập), sau khi hoàn tất quay lại đúng khóa học ban đầu</t>
        </is>
      </c>
      <c r="M33" s="15" t="inlineStr">
        <is>
          <t>Claude (Playwright automation)</t>
        </is>
      </c>
      <c r="N33" s="18" t="inlineStr">
        <is>
          <t>Pass</t>
        </is>
      </c>
      <c r="O33" s="19" t="inlineStr">
        <is>
          <t>Không có ảnh riêng (test bị bỏ qua) — trace đầy đủ: e2e/report/index.html (chỉ mở được khi tải file .xlsx và mở Excel local)</t>
        </is>
      </c>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c r="Q5" s="18" t="inlineStr">
        <is>
          <t>Chưa test</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c r="Q6" s="18" t="inlineStr">
        <is>
          <t>Chưa test</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c r="Q11" s="18" t="inlineStr">
        <is>
          <t>Chưa test</t>
        </is>
      </c>
      <c r="R11" s="15" t="inlineStr"/>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c r="Q12" s="18" t="inlineStr">
        <is>
          <t>Chưa test</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c r="Q13" s="18" t="inlineStr">
        <is>
          <t>Chưa test</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c r="Q14" s="18" t="inlineStr">
        <is>
          <t>Chưa test</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c r="Q15" s="18" t="inlineStr">
        <is>
          <t>Chưa test</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t>
        </is>
      </c>
      <c r="J16" s="15" t="inlineStr">
        <is>
          <t>1. Vào trang Đăng nhập
2. Nhập sai mật khẩu liên tục nhiều lần trong thời gian ngắn (VD 5-10 lần)</t>
        </is>
      </c>
      <c r="K16" s="15" t="inlineStr">
        <is>
          <t>Mật khẩu sai lặp lại</t>
        </is>
      </c>
      <c r="L16" s="15" t="inlineStr">
        <is>
          <t>Sau ngưỡng quy định, hệ thống tạm khóa đăng nhập / yêu cầu xác minh thêm (captcha, chờ...), không cho brute-force vô hạn</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c r="Q16" s="18" t="inlineStr">
        <is>
          <t>Chưa test</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c r="Q17" s="18" t="inlineStr">
        <is>
          <t>Chưa test</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c r="Q18" s="18" t="inlineStr">
        <is>
          <t>Chưa test</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c r="Q19" s="18" t="inlineStr">
        <is>
          <t>Chưa test</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Tính năng đang ở giai đoạn Kế hoạch — nút hiển thị nhưng chưa xử lý thật</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c r="Q20" s="18" t="inlineStr">
        <is>
          <t>Chưa test</t>
        </is>
      </c>
      <c r="R20" s="15" t="inlineStr"/>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Tính năng đang ở giai đoạn Kế hoạch</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c r="Q21" s="18" t="inlineStr">
        <is>
          <t>Chưa test</t>
        </is>
      </c>
      <c r="R21" s="15" t="inlineStr"/>
    </row>
    <row r="22" ht="60" customHeight="1">
      <c r="A22" s="14" t="inlineStr">
        <is>
          <t>TC-AUTH-021</t>
        </is>
      </c>
      <c r="B22" s="15" t="inlineStr">
        <is>
          <t>Tài khoản &amp; Xác thực</t>
        </is>
      </c>
      <c r="C22" s="15" t="inlineStr">
        <is>
          <t>Quên mật khẩu</t>
        </is>
      </c>
      <c r="D22" s="15" t="inlineStr">
        <is>
          <t>Gửi yêu cầu khôi phục mật khẩu qua email</t>
        </is>
      </c>
      <c r="E22" s="15" t="inlineStr">
        <is>
          <t>Chức năng</t>
        </is>
      </c>
      <c r="F22" s="16" t="inlineStr">
        <is>
          <t>Cao</t>
        </is>
      </c>
      <c r="G22" s="17" t="inlineStr">
        <is>
          <t>Đã hoàn thiện</t>
        </is>
      </c>
      <c r="H22" s="17" t="inlineStr">
        <is>
          <t>Có</t>
        </is>
      </c>
      <c r="I22" s="15" t="inlineStr">
        <is>
          <t>Tính năng đang ở giai đoạn Kế hoạch</t>
        </is>
      </c>
      <c r="J22" s="15" t="inlineStr">
        <is>
          <t>1. Vào trang Đăng nhập
2. Bấm 'Quên mật khẩu'
3. Nhập email đã đăng ký
4. Bấm gửi yêu cầu</t>
        </is>
      </c>
      <c r="K22" s="15" t="inlineStr">
        <is>
          <t>Email đã đăng ký</t>
        </is>
      </c>
      <c r="L22" s="15" t="inlineStr">
        <is>
          <t>Nhận được email chứa liên kết đặt lại mật khẩu, liên kết có thời hạn</t>
        </is>
      </c>
      <c r="M22" s="15" t="inlineStr"/>
      <c r="N22" s="18" t="inlineStr">
        <is>
          <t>Chưa test</t>
        </is>
      </c>
      <c r="O22" s="15" t="inlineStr"/>
      <c r="P22" s="15" t="inlineStr"/>
      <c r="Q22" s="18" t="inlineStr">
        <is>
          <t>Chưa test</t>
        </is>
      </c>
      <c r="R22" s="15" t="inlineStr"/>
    </row>
    <row r="23" ht="45" customHeight="1">
      <c r="A23" s="14" t="inlineStr">
        <is>
          <t>TC-AUTH-022</t>
        </is>
      </c>
      <c r="B23" s="15" t="inlineStr">
        <is>
          <t>Tài khoản &amp; Xác thực</t>
        </is>
      </c>
      <c r="C23" s="15" t="inlineStr">
        <is>
          <t>Quên mật khẩu</t>
        </is>
      </c>
      <c r="D23" s="15" t="inlineStr">
        <is>
          <t>Đặt lại mật khẩu mới qua liên kết trong email</t>
        </is>
      </c>
      <c r="E23" s="15" t="inlineStr">
        <is>
          <t>Chức năng</t>
        </is>
      </c>
      <c r="F23" s="16" t="inlineStr">
        <is>
          <t>Cao</t>
        </is>
      </c>
      <c r="G23" s="17" t="inlineStr">
        <is>
          <t>Đã hoàn thiện</t>
        </is>
      </c>
      <c r="H23" s="17" t="inlineStr">
        <is>
          <t>Có</t>
        </is>
      </c>
      <c r="I23" s="15" t="inlineStr">
        <is>
          <t>Tính năng đang ở giai đoạn Kế hoạch</t>
        </is>
      </c>
      <c r="J23" s="15" t="inlineStr">
        <is>
          <t>1. Mở liên kết đặt lại mật khẩu từ email
2. Nhập mật khẩu mới hợp lệ
3. Xác nhận</t>
        </is>
      </c>
      <c r="K23" s="15" t="inlineStr">
        <is>
          <t>Mật khẩu mới: New@1234</t>
        </is>
      </c>
      <c r="L23" s="15" t="inlineStr">
        <is>
          <t>Mật khẩu được cập nhật, đăng nhập được bằng mật khẩu mới, liên kết cũ hết hiệu lực sau khi dùng</t>
        </is>
      </c>
      <c r="M23" s="15" t="inlineStr"/>
      <c r="N23" s="18" t="inlineStr">
        <is>
          <t>Chưa test</t>
        </is>
      </c>
      <c r="O23" s="15" t="inlineStr"/>
      <c r="P23" s="15" t="inlineStr"/>
      <c r="Q23" s="18" t="inlineStr">
        <is>
          <t>Chưa test</t>
        </is>
      </c>
      <c r="R23" s="15" t="inlineStr"/>
    </row>
    <row r="24" ht="45" customHeight="1">
      <c r="A24" s="14" t="inlineStr">
        <is>
          <t>TC-AUTH-023</t>
        </is>
      </c>
      <c r="B24" s="15" t="inlineStr">
        <is>
          <t>Tài khoản &amp; Xác thực</t>
        </is>
      </c>
      <c r="C24" s="15" t="inlineStr">
        <is>
          <t>Hồ sơ cá nhân</t>
        </is>
      </c>
      <c r="D24" s="15" t="inlineStr">
        <is>
          <t>Xem và cập nhật hồ sơ cá nhân (ảnh đại diện, tiểu sử)</t>
        </is>
      </c>
      <c r="E24" s="15" t="inlineStr">
        <is>
          <t>Chức năng</t>
        </is>
      </c>
      <c r="F24" s="20" t="inlineStr">
        <is>
          <t>Trung bình</t>
        </is>
      </c>
      <c r="G24" s="17" t="inlineStr">
        <is>
          <t>Đã hoàn thiện</t>
        </is>
      </c>
      <c r="H24" s="17" t="inlineStr">
        <is>
          <t>Có</t>
        </is>
      </c>
      <c r="I24" s="15" t="inlineStr">
        <is>
          <t>Tính năng đang ở giai đoạn Kế hoạch</t>
        </is>
      </c>
      <c r="J24" s="15" t="inlineStr">
        <is>
          <t>1. Vào trang Hồ sơ cá nhân
2. Cập nhật ảnh đại diện và tiểu sử
3. Lưu</t>
        </is>
      </c>
      <c r="K24" s="15" t="inlineStr">
        <is>
          <t>-</t>
        </is>
      </c>
      <c r="L24" s="15" t="inlineStr">
        <is>
          <t>Thông tin được lưu và hiển thị đúng ở các nơi khác (bài viết, bình luận...)</t>
        </is>
      </c>
      <c r="M24" s="15" t="inlineStr"/>
      <c r="N24" s="18" t="inlineStr">
        <is>
          <t>Chưa test</t>
        </is>
      </c>
      <c r="O24" s="15" t="inlineStr"/>
      <c r="P24" s="15" t="inlineStr"/>
      <c r="Q24" s="18" t="inlineStr">
        <is>
          <t>Chưa test</t>
        </is>
      </c>
      <c r="R24" s="15" t="inlineStr"/>
    </row>
    <row r="25" ht="60" customHeight="1">
      <c r="A25" s="14" t="inlineStr">
        <is>
          <t>TC-AUTH-024</t>
        </is>
      </c>
      <c r="B25" s="15" t="inlineStr">
        <is>
          <t>Tài khoản &amp; Xác thực</t>
        </is>
      </c>
      <c r="C25" s="15" t="inlineStr">
        <is>
          <t>Xác thực 2 lớp (2FA)</t>
        </is>
      </c>
      <c r="D25" s="15" t="inlineStr">
        <is>
          <t>Bật 2FA cho tài khoản Owner/Admin</t>
        </is>
      </c>
      <c r="E25" s="15" t="inlineStr">
        <is>
          <t>Bảo mật</t>
        </is>
      </c>
      <c r="F25" s="20" t="inlineStr">
        <is>
          <t>Trung bình</t>
        </is>
      </c>
      <c r="G25" s="20" t="inlineStr">
        <is>
          <t>Kế hoạch</t>
        </is>
      </c>
      <c r="H25" s="16" t="inlineStr">
        <is>
          <t>Không</t>
        </is>
      </c>
      <c r="I25" s="15" t="inlineStr">
        <is>
          <t>Tính năng đang ở giai đoạn Kế hoạch</t>
        </is>
      </c>
      <c r="J25" s="15" t="inlineStr">
        <is>
          <t>1. Vào Cài đặt bảo mật tài khoản
2. Bật 2FA
3. Quét mã QR bằng app xác thực
4. Nhập mã xác nhận</t>
        </is>
      </c>
      <c r="K25" s="15" t="inlineStr">
        <is>
          <t>-</t>
        </is>
      </c>
      <c r="L25" s="15" t="inlineStr">
        <is>
          <t>2FA được kích hoạt, lần đăng nhập tiếp theo yêu cầu nhập mã OTP</t>
        </is>
      </c>
      <c r="M25" s="15" t="inlineStr"/>
      <c r="N25" s="18" t="inlineStr">
        <is>
          <t>Chưa test</t>
        </is>
      </c>
      <c r="O25" s="15" t="inlineStr"/>
      <c r="P25" s="15" t="inlineStr"/>
      <c r="Q25" s="18" t="inlineStr">
        <is>
          <t>Chưa test</t>
        </is>
      </c>
      <c r="R25" s="15" t="inlineStr"/>
    </row>
    <row r="26" ht="45" customHeight="1">
      <c r="A26" s="14" t="inlineStr">
        <is>
          <t>TC-AUTH-025</t>
        </is>
      </c>
      <c r="B26" s="15" t="inlineStr">
        <is>
          <t>Tài khoản &amp; Xác thực</t>
        </is>
      </c>
      <c r="C26" s="15" t="inlineStr">
        <is>
          <t>Đăng ký</t>
        </is>
      </c>
      <c r="D26" s="15" t="inlineStr">
        <is>
          <t>Mật khẩu đúng đủ 8 ký tự (giá trị biên) được chấp nhận</t>
        </is>
      </c>
      <c r="E26" s="15" t="inlineStr">
        <is>
          <t>Chức năng</t>
        </is>
      </c>
      <c r="F26" s="20" t="inlineStr">
        <is>
          <t>Trung bình</t>
        </is>
      </c>
      <c r="G26" s="17" t="inlineStr">
        <is>
          <t>Đã hoàn thiện</t>
        </is>
      </c>
      <c r="H26" s="17" t="inlineStr">
        <is>
          <t>Có</t>
        </is>
      </c>
      <c r="I26" s="15" t="inlineStr">
        <is>
          <t>-</t>
        </is>
      </c>
      <c r="J26" s="15" t="inlineStr">
        <is>
          <t>1. Nhập mật khẩu chính xác 8 ký tự thỏa quy tắc
2. Hoàn tất các trường khác hợp lệ
3. Bấm Đăng ký</t>
        </is>
      </c>
      <c r="K26" s="15" t="inlineStr">
        <is>
          <t>Mật khẩu 8 ký tự: 'Aa1@bcde'</t>
        </is>
      </c>
      <c r="L26" s="15" t="inlineStr">
        <is>
          <t>Đăng ký thành công, không bị từ chối ở giá trị biên dưới</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c r="Q26" s="18" t="inlineStr">
        <is>
          <t>Chưa test</t>
        </is>
      </c>
      <c r="R26" s="15" t="inlineStr"/>
    </row>
    <row r="27" ht="30" customHeight="1">
      <c r="A27" s="14" t="inlineStr">
        <is>
          <t>TC-AUTH-026</t>
        </is>
      </c>
      <c r="B27" s="15" t="inlineStr">
        <is>
          <t>Tài khoản &amp; Xác thực</t>
        </is>
      </c>
      <c r="C27" s="15" t="inlineStr">
        <is>
          <t>Đăng ký</t>
        </is>
      </c>
      <c r="D27" s="15" t="inlineStr">
        <is>
          <t>Họ tên chứa ký tự tiếng Việt có dấu</t>
        </is>
      </c>
      <c r="E27" s="15" t="inlineStr">
        <is>
          <t>Chức năng</t>
        </is>
      </c>
      <c r="F27" s="17" t="inlineStr">
        <is>
          <t>Thấp</t>
        </is>
      </c>
      <c r="G27" s="17" t="inlineStr">
        <is>
          <t>Đã hoàn thiện</t>
        </is>
      </c>
      <c r="H27" s="17" t="inlineStr">
        <is>
          <t>Có</t>
        </is>
      </c>
      <c r="I27" s="15" t="inlineStr">
        <is>
          <t>-</t>
        </is>
      </c>
      <c r="J27" s="15" t="inlineStr">
        <is>
          <t>1. Nhập họ tên có dấu tiếng Việt đầy đủ
2. Hoàn tất đăng ký</t>
        </is>
      </c>
      <c r="K27" s="15" t="inlineStr">
        <is>
          <t>Họ tên: Nguyễn Văn Ánh</t>
        </is>
      </c>
      <c r="L27" s="15" t="inlineStr">
        <is>
          <t>Đăng ký thành công, họ tên hiển thị đúng dấu ở mọi nơi (hồ sơ, bình luận...)</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c r="Q27" s="18" t="inlineStr">
        <is>
          <t>Chưa test</t>
        </is>
      </c>
      <c r="R27" s="15" t="inlineStr"/>
    </row>
    <row r="28" ht="30" customHeight="1">
      <c r="A28" s="14" t="inlineStr">
        <is>
          <t>TC-AUTH-027</t>
        </is>
      </c>
      <c r="B28" s="15" t="inlineStr">
        <is>
          <t>Tài khoản &amp; Xác thực</t>
        </is>
      </c>
      <c r="C28" s="15" t="inlineStr">
        <is>
          <t>Đăng ký</t>
        </is>
      </c>
      <c r="D28" s="15" t="inlineStr">
        <is>
          <t>Email chuẩn hóa chữ hoa/thường khi kiểm tra trùng lặp</t>
        </is>
      </c>
      <c r="E28" s="15" t="inlineStr">
        <is>
          <t>Chức năng</t>
        </is>
      </c>
      <c r="F28" s="16" t="inlineStr">
        <is>
          <t>Cao</t>
        </is>
      </c>
      <c r="G28" s="17" t="inlineStr">
        <is>
          <t>Đã hoàn thiện</t>
        </is>
      </c>
      <c r="H28" s="17" t="inlineStr">
        <is>
          <t>Có</t>
        </is>
      </c>
      <c r="I28" s="15" t="inlineStr">
        <is>
          <t>Email 'test01@sofinhub.test' đã đăng ký trước đó</t>
        </is>
      </c>
      <c r="J28" s="15" t="inlineStr">
        <is>
          <t>1. Đăng ký lại với email viết hoa toàn bộ hoặc khác hoa/thường</t>
        </is>
      </c>
      <c r="K28" s="15" t="inlineStr">
        <is>
          <t>TEST01@SofinHub.test</t>
        </is>
      </c>
      <c r="L28" s="15" t="inlineStr">
        <is>
          <t>Hệ thống nhận diện là email đã tồn tại, không cho tạo tài khoản trùng do khác biệt hoa/thường</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c r="Q28" s="18" t="inlineStr">
        <is>
          <t>Chưa test</t>
        </is>
      </c>
      <c r="R28" s="15" t="inlineStr"/>
    </row>
    <row r="29" ht="30" customHeight="1">
      <c r="A29" s="14" t="inlineStr">
        <is>
          <t>TC-AUTH-028</t>
        </is>
      </c>
      <c r="B29" s="15" t="inlineStr">
        <is>
          <t>Tài khoản &amp; Xác thực</t>
        </is>
      </c>
      <c r="C29" s="15" t="inlineStr">
        <is>
          <t>Đăng ký</t>
        </is>
      </c>
      <c r="D29" s="15" t="inlineStr">
        <is>
          <t>Mật khẩu chứa khoảng trắng ở giữa</t>
        </is>
      </c>
      <c r="E29" s="15" t="inlineStr">
        <is>
          <t>Chức năng</t>
        </is>
      </c>
      <c r="F29" s="17" t="inlineStr">
        <is>
          <t>Thấp</t>
        </is>
      </c>
      <c r="G29" s="17" t="inlineStr">
        <is>
          <t>Đã hoàn thiện</t>
        </is>
      </c>
      <c r="H29" s="17" t="inlineStr">
        <is>
          <t>Có</t>
        </is>
      </c>
      <c r="I29" s="15" t="inlineStr">
        <is>
          <t>-</t>
        </is>
      </c>
      <c r="J29" s="15" t="inlineStr">
        <is>
          <t>1. Nhập mật khẩu có khoảng trắng ở giữa
2. Bấm Đăng ký</t>
        </is>
      </c>
      <c r="K29" s="15" t="inlineStr">
        <is>
          <t>'Ab@12 34'</t>
        </is>
      </c>
      <c r="L29" s="15" t="inlineStr">
        <is>
          <t>Hệ thống chấp nhận hoặc từ chối rõ ràng theo quy tắc đã định nghĩa, hành vi nhất quán giữa FE và BE</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c r="Q29" s="18" t="inlineStr">
        <is>
          <t>Chưa test</t>
        </is>
      </c>
      <c r="R29" s="15" t="inlineStr"/>
    </row>
    <row r="30" ht="30" customHeight="1">
      <c r="A30" s="14" t="inlineStr">
        <is>
          <t>TC-AUTH-029</t>
        </is>
      </c>
      <c r="B30" s="15" t="inlineStr">
        <is>
          <t>Tài khoản &amp; Xác thực</t>
        </is>
      </c>
      <c r="C30" s="15" t="inlineStr">
        <is>
          <t>Đăng nhập</t>
        </is>
      </c>
      <c r="D30" s="15" t="inlineStr">
        <is>
          <t>Tài khoản bị tạm khóa do đăng nhập sai nhiều lần vẫn từ chối dù nhập đúng mật khẩu</t>
        </is>
      </c>
      <c r="E30" s="15" t="inlineStr">
        <is>
          <t>Bảo mật</t>
        </is>
      </c>
      <c r="F30" s="16" t="inlineStr">
        <is>
          <t>Cao</t>
        </is>
      </c>
      <c r="G30" s="17" t="inlineStr">
        <is>
          <t>Đã hoàn thiện</t>
        </is>
      </c>
      <c r="H30" s="17" t="inlineStr">
        <is>
          <t>Có</t>
        </is>
      </c>
      <c r="I30" s="15" t="inlineStr">
        <is>
          <t>Tài khoản vừa bị khóa tạm thời do vượt ngưỡng đăng nhập sai</t>
        </is>
      </c>
      <c r="J30" s="15" t="inlineStr">
        <is>
          <t>1. Đăng nhập sai đủ số lần để bị khóa tạm thời
2. Ngay sau đó đăng nhập lại với email/mật khẩu ĐÚNG</t>
        </is>
      </c>
      <c r="K30" s="15" t="inlineStr">
        <is>
          <t>-</t>
        </is>
      </c>
      <c r="L30" s="15" t="inlineStr">
        <is>
          <t>Vẫn bị từ chối đăng nhập với thông báo tài khoản đang tạm khóa, cho tới khi hết thời gian khóa</t>
        </is>
      </c>
      <c r="M30" s="15" t="inlineStr">
        <is>
          <t>Claude (Playwright automation)</t>
        </is>
      </c>
      <c r="N30" s="18" t="inlineStr">
        <is>
          <t>Pass</t>
        </is>
      </c>
      <c r="O30" s="19" t="inlineStr">
        <is>
          <t>Không có ảnh riêng (test bị bỏ qua) — trace đầy đủ: e2e/report/index.html (chỉ mở được khi tải file .xlsx và mở Excel local)</t>
        </is>
      </c>
      <c r="P30" s="15" t="inlineStr"/>
      <c r="Q30" s="18" t="inlineStr">
        <is>
          <t>Chưa test</t>
        </is>
      </c>
      <c r="R30" s="15" t="inlineStr"/>
    </row>
    <row r="31" ht="45" customHeight="1">
      <c r="A31" s="14" t="inlineStr">
        <is>
          <t>TC-AUTH-030</t>
        </is>
      </c>
      <c r="B31" s="15" t="inlineStr">
        <is>
          <t>Tài khoản &amp; Xác thực</t>
        </is>
      </c>
      <c r="C31" s="15" t="inlineStr">
        <is>
          <t>Đăng nhập</t>
        </is>
      </c>
      <c r="D31" s="15" t="inlineStr">
        <is>
          <t>Đăng nhập đồng thời trên nhiều thiết bị khác nhau không bị đá nhau</t>
        </is>
      </c>
      <c r="E31" s="15" t="inlineStr">
        <is>
          <t>Chức năng</t>
        </is>
      </c>
      <c r="F31" s="20" t="inlineStr">
        <is>
          <t>Trung bình</t>
        </is>
      </c>
      <c r="G31" s="17" t="inlineStr">
        <is>
          <t>Đã hoàn thiện</t>
        </is>
      </c>
      <c r="H31" s="17" t="inlineStr">
        <is>
          <t>Có</t>
        </is>
      </c>
      <c r="I31" s="15" t="inlineStr">
        <is>
          <t>-</t>
        </is>
      </c>
      <c r="J31" s="15" t="inlineStr">
        <is>
          <t>1. Đăng nhập tài khoản A trên trình duyệt 1
2. Đăng nhập cùng tài khoản A trên trình duyệt 2
3. Thao tác trên cả 2 trình duyệt</t>
        </is>
      </c>
      <c r="K31" s="15" t="inlineStr">
        <is>
          <t>-</t>
        </is>
      </c>
      <c r="L31" s="15" t="inlineStr">
        <is>
          <t>Cả 2 phiên đều hoạt động bình thường song song (trừ khi có yêu cầu nghiệp vụ giới hạn 1 thiết bị)</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c r="Q31" s="18" t="inlineStr">
        <is>
          <t>Chưa test</t>
        </is>
      </c>
      <c r="R31" s="15" t="inlineStr"/>
    </row>
    <row r="32" ht="45" customHeight="1">
      <c r="A32" s="14" t="inlineStr">
        <is>
          <t>TC-AUTH-031</t>
        </is>
      </c>
      <c r="B32" s="15" t="inlineStr">
        <is>
          <t>Tài khoản &amp; Xác thực</t>
        </is>
      </c>
      <c r="C32" s="15" t="inlineStr">
        <is>
          <t>Phiên đăng nhập</t>
        </is>
      </c>
      <c r="D32" s="15" t="inlineStr">
        <is>
          <t>Access token bị chỉnh sửa (tamper) bị từ chối</t>
        </is>
      </c>
      <c r="E32" s="15" t="inlineStr">
        <is>
          <t>Bảo mật</t>
        </is>
      </c>
      <c r="F32" s="16" t="inlineStr">
        <is>
          <t>Cao</t>
        </is>
      </c>
      <c r="G32" s="17" t="inlineStr">
        <is>
          <t>Đã hoàn thiện</t>
        </is>
      </c>
      <c r="H32" s="17" t="inlineStr">
        <is>
          <t>Có</t>
        </is>
      </c>
      <c r="I32" s="15" t="inlineStr">
        <is>
          <t>Có access token hợp lệ</t>
        </is>
      </c>
      <c r="J32" s="15" t="inlineStr">
        <is>
          <t>1. Lấy access token hợp lệ
2. Sửa đổi 1 ký tự bất kỳ trong token
3. Gọi API cần xác thực với token đã sửa</t>
        </is>
      </c>
      <c r="K32" s="15" t="inlineStr">
        <is>
          <t>-</t>
        </is>
      </c>
      <c r="L32" s="15" t="inlineStr">
        <is>
          <t>API trả về lỗi xác thực thất bại (401), không xử lý request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c r="Q32" s="18" t="inlineStr">
        <is>
          <t>Chưa test</t>
        </is>
      </c>
      <c r="R32" s="15" t="inlineStr"/>
    </row>
    <row r="33" ht="30" customHeight="1">
      <c r="A33" s="14" t="inlineStr">
        <is>
          <t>TC-AUTH-032</t>
        </is>
      </c>
      <c r="B33" s="15" t="inlineStr">
        <is>
          <t>Tài khoản &amp; Xác thực</t>
        </is>
      </c>
      <c r="C33" s="15" t="inlineStr">
        <is>
          <t>Phiên đăng nhập</t>
        </is>
      </c>
      <c r="D33" s="15" t="inlineStr">
        <is>
          <t>Refresh token hết hạn không dùng lại được</t>
        </is>
      </c>
      <c r="E33" s="15" t="inlineStr">
        <is>
          <t>Bảo mật</t>
        </is>
      </c>
      <c r="F33" s="16" t="inlineStr">
        <is>
          <t>Cao</t>
        </is>
      </c>
      <c r="G33" s="17" t="inlineStr">
        <is>
          <t>Đã hoàn thiện</t>
        </is>
      </c>
      <c r="H33" s="17" t="inlineStr">
        <is>
          <t>Có</t>
        </is>
      </c>
      <c r="I33" s="15" t="inlineStr">
        <is>
          <t>Có refresh token đã hết hạn theo cấu hình</t>
        </is>
      </c>
      <c r="J33" s="15" t="inlineStr">
        <is>
          <t>1. Chờ refresh token hết hạn (hoặc dùng token test đã hết hạn)
2. Gọi API làm mới access token bằng refresh token đó</t>
        </is>
      </c>
      <c r="K33" s="15" t="inlineStr">
        <is>
          <t>-</t>
        </is>
      </c>
      <c r="L33" s="15" t="inlineStr">
        <is>
          <t>Bị từ chối, yêu cầu đăng nhập lại từ đầu</t>
        </is>
      </c>
      <c r="M33" s="15" t="inlineStr">
        <is>
          <t>Claude (Playwright automation)</t>
        </is>
      </c>
      <c r="N33" s="18" t="inlineStr">
        <is>
          <t>N/A</t>
        </is>
      </c>
      <c r="O33" s="19" t="inlineStr">
        <is>
          <t>Không có ảnh riêng (test bị bỏ qua) — trace đầy đủ: e2e/report/index.html (chỉ mở được khi tải file .xlsx và mở Excel local)</t>
        </is>
      </c>
      <c r="P33" s="15" t="inlineStr"/>
      <c r="Q33" s="18" t="inlineStr">
        <is>
          <t>Chưa test</t>
        </is>
      </c>
      <c r="R33" s="15" t="inlineStr">
        <is>
          <t>BỎ QUA: REFRESH_TOKEN_TTL_DAYS=30 theo cấu hình — không thể chờ thật 30 ngày trong 1 lần chạy. Cần môi trường test riêng với TTL rút ngắn hoặc test-hook cấp sẵn refresh token hết hạn.</t>
        </is>
      </c>
    </row>
    <row r="34" ht="45" customHeight="1">
      <c r="A34" s="14" t="inlineStr">
        <is>
          <t>TC-AUTH-033</t>
        </is>
      </c>
      <c r="B34" s="15" t="inlineStr">
        <is>
          <t>Tài khoản &amp; Xác thực</t>
        </is>
      </c>
      <c r="C34" s="15" t="inlineStr">
        <is>
          <t>Phiên đăng nhập</t>
        </is>
      </c>
      <c r="D34" s="15" t="inlineStr">
        <is>
          <t>Dùng token của tài khoản khác để giả mạo truy cập dữ liệu</t>
        </is>
      </c>
      <c r="E34" s="15" t="inlineStr">
        <is>
          <t>Bảo mật</t>
        </is>
      </c>
      <c r="F34" s="16" t="inlineStr">
        <is>
          <t>Cao</t>
        </is>
      </c>
      <c r="G34" s="17" t="inlineStr">
        <is>
          <t>Đã hoàn thiện</t>
        </is>
      </c>
      <c r="H34" s="17" t="inlineStr">
        <is>
          <t>Có</t>
        </is>
      </c>
      <c r="I34" s="15" t="inlineStr">
        <is>
          <t>Có 2 tài khoản test A và B, có access token hợp lệ của B</t>
        </is>
      </c>
      <c r="J34" s="15" t="inlineStr">
        <is>
          <t>1. Đăng nhập tài khoản A trên trình duyệt
2. Thay access token trong request bằng token của B (qua DevTools/Postman)
3. Gọi API lấy dữ liệu cá nhân</t>
        </is>
      </c>
      <c r="K34" s="15" t="inlineStr">
        <is>
          <t>-</t>
        </is>
      </c>
      <c r="L34" s="15" t="inlineStr">
        <is>
          <t>Nếu token của B hợp lệ, hệ thống trả đúng dữ liệu của B — xác nhận hệ thống xác thực theo token chứ không nhầm lẫn theo session cũ, không rò rỉ chéo dữ liệu</t>
        </is>
      </c>
      <c r="M34" s="15" t="inlineStr">
        <is>
          <t>Claude (Playwright automation)</t>
        </is>
      </c>
      <c r="N34" s="18" t="inlineStr">
        <is>
          <t>Pass</t>
        </is>
      </c>
      <c r="O34" s="19" t="inlineStr">
        <is>
          <t>Không có ảnh riêng (test bị bỏ qua) — trace đầy đủ: e2e/report/index.html (chỉ mở được khi tải file .xlsx và mở Excel local)</t>
        </is>
      </c>
      <c r="P34" s="15" t="inlineStr"/>
      <c r="Q34" s="18" t="inlineStr">
        <is>
          <t>Chưa test</t>
        </is>
      </c>
      <c r="R34" s="15" t="inlineStr"/>
    </row>
    <row r="35" ht="30" customHeight="1">
      <c r="A35" s="14" t="inlineStr">
        <is>
          <t>TC-AUTH-034</t>
        </is>
      </c>
      <c r="B35" s="15" t="inlineStr">
        <is>
          <t>Tài khoản &amp; Xác thực</t>
        </is>
      </c>
      <c r="C35" s="15" t="inlineStr">
        <is>
          <t>Đăng nhập</t>
        </is>
      </c>
      <c r="D35" s="15" t="inlineStr">
        <is>
          <t>Giới hạn đăng nhập sai được tính theo tài khoản, không chặn nhầm người dùng khác cùng IP</t>
        </is>
      </c>
      <c r="E35" s="15" t="inlineStr">
        <is>
          <t>Bảo mật</t>
        </is>
      </c>
      <c r="F35" s="20" t="inlineStr">
        <is>
          <t>Trung bình</t>
        </is>
      </c>
      <c r="G35" s="17" t="inlineStr">
        <is>
          <t>Đã hoàn thiện</t>
        </is>
      </c>
      <c r="H35" s="17" t="inlineStr">
        <is>
          <t>Có</t>
        </is>
      </c>
      <c r="I35" s="15" t="inlineStr">
        <is>
          <t>Tài khoản B bị khóa tạm thời do đăng nhập sai nhiều lần</t>
        </is>
      </c>
      <c r="J35" s="15" t="inlineStr">
        <is>
          <t>1. Từ cùng 1 thiết bị/IP đã làm khóa tạm tài khoản B
2. Thử đăng nhập đúng thông tin tài khoản C (khác B) từ cùng thiết bị/IP</t>
        </is>
      </c>
      <c r="K35" s="15" t="inlineStr">
        <is>
          <t>-</t>
        </is>
      </c>
      <c r="L35" s="15" t="inlineStr">
        <is>
          <t>Tài khoản C vẫn đăng nhập được bình thường, không bị ảnh hưởng bởi việc khóa tài khoản B (trừ khi có rate-limit theo IP ở tầng khác — cần xác nhận rõ quy tắc)</t>
        </is>
      </c>
      <c r="M35" s="15" t="inlineStr">
        <is>
          <t>Claude (Playwright automation)</t>
        </is>
      </c>
      <c r="N35" s="18" t="inlineStr">
        <is>
          <t>Pass</t>
        </is>
      </c>
      <c r="O35" s="19" t="inlineStr">
        <is>
          <t>Không có ảnh riêng (test bị bỏ qua) — trace đầy đủ: e2e/report/index.html (chỉ mở được khi tải file .xlsx và mở Excel local)</t>
        </is>
      </c>
      <c r="P35" s="15" t="inlineStr"/>
      <c r="Q35" s="18" t="inlineStr">
        <is>
          <t>Chưa test</t>
        </is>
      </c>
      <c r="R35" s="15" t="inlineStr">
        <is>
          <t>GAP so với kỳ vọng test case gốc: rate-limit hiện tại là THEO IP (express-rate-limit keyGenerator mặc định), không phải theo tài khoản (xem backend/src/modules/auth/auth.routes.ts — loginLimiter không có keyGenerator riêng). Hệ quả: khi 1 tài khoản bị giới hạn do đăng nhập sai nhiều lần, MỌI tài khoản khác dùng chung IP/NAT (văn phòng, trường học, quán cà phê, symmetric NAT của ISP...) cũng bị chặn đăng nhập theo, kể cả với mật khẩu đúng 100%. Test case gốc kỳ vọng "không chặn nhầm người dùng khác cùng IP" — thực tế NGƯỢC LẠI.</t>
        </is>
      </c>
    </row>
    <row r="36" ht="45" customHeight="1">
      <c r="A36" s="14" t="inlineStr">
        <is>
          <t>TC-AUTH-035</t>
        </is>
      </c>
      <c r="B36" s="15" t="inlineStr">
        <is>
          <t>Tài khoản &amp; Xác thực</t>
        </is>
      </c>
      <c r="C36" s="15" t="inlineStr">
        <is>
          <t>Đăng ký</t>
        </is>
      </c>
      <c r="D36" s="15" t="inlineStr">
        <is>
          <t>Trường mật khẩu không hiển thị dạng plain text mặc định</t>
        </is>
      </c>
      <c r="E36" s="15" t="inlineStr">
        <is>
          <t>Giao diện</t>
        </is>
      </c>
      <c r="F36" s="17" t="inlineStr">
        <is>
          <t>Thấp</t>
        </is>
      </c>
      <c r="G36" s="17" t="inlineStr">
        <is>
          <t>Đã hoàn thiện</t>
        </is>
      </c>
      <c r="H36" s="17" t="inlineStr">
        <is>
          <t>Có</t>
        </is>
      </c>
      <c r="I36" s="15" t="inlineStr">
        <is>
          <t>-</t>
        </is>
      </c>
      <c r="J36" s="15" t="inlineStr">
        <is>
          <t>1. Vào trang đăng ký
2. Nhập mật khẩu
3. Quan sát ô mật khẩu</t>
        </is>
      </c>
      <c r="K36" s="15" t="inlineStr">
        <is>
          <t>-</t>
        </is>
      </c>
      <c r="L36" s="15" t="inlineStr">
        <is>
          <t>Mật khẩu hiển thị dạng ẩn (dấu chấm/sao) mặc định, có tùy chọn hiện rõ nếu có icon con mắt</t>
        </is>
      </c>
      <c r="M36" s="15" t="inlineStr">
        <is>
          <t>Claude (Playwright automation)</t>
        </is>
      </c>
      <c r="N36" s="18" t="inlineStr">
        <is>
          <t>Pass</t>
        </is>
      </c>
      <c r="O36" s="19" t="inlineStr">
        <is>
          <t>Không có ảnh riêng (test bị bỏ qua) — trace đầy đủ: e2e/report/index.html (chỉ mở được khi tải file .xlsx và mở Excel local)</t>
        </is>
      </c>
      <c r="P36" s="15" t="inlineStr"/>
      <c r="Q36" s="18" t="inlineStr">
        <is>
          <t>Chưa test</t>
        </is>
      </c>
      <c r="R36" s="15" t="inlineStr"/>
    </row>
    <row r="37" ht="45" customHeight="1">
      <c r="A37" s="14" t="inlineStr">
        <is>
          <t>TC-AUTH-036</t>
        </is>
      </c>
      <c r="B37" s="15" t="inlineStr">
        <is>
          <t>Tài khoản &amp; Xác thực</t>
        </is>
      </c>
      <c r="C37" s="15" t="inlineStr">
        <is>
          <t>Đăng xuất</t>
        </is>
      </c>
      <c r="D37" s="15" t="inlineStr">
        <is>
          <t>API từ chối request dùng access token cũ ngay sau khi đăng xuất</t>
        </is>
      </c>
      <c r="E37" s="15" t="inlineStr">
        <is>
          <t>Bảo mật</t>
        </is>
      </c>
      <c r="F37" s="16" t="inlineStr">
        <is>
          <t>Cao</t>
        </is>
      </c>
      <c r="G37" s="17" t="inlineStr">
        <is>
          <t>Đã hoàn thiện</t>
        </is>
      </c>
      <c r="H37" s="17" t="inlineStr">
        <is>
          <t>Có</t>
        </is>
      </c>
      <c r="I37" s="15" t="inlineStr">
        <is>
          <t>Đã đăng nhập, có access token còn hiệu lực</t>
        </is>
      </c>
      <c r="J37" s="15" t="inlineStr">
        <is>
          <t>1. Lấy access token hiện tại
2. Đăng xuất
3. Ngay lập tức gọi API cần xác thực bằng access token vừa lấy</t>
        </is>
      </c>
      <c r="K37" s="15" t="inlineStr">
        <is>
          <t>-</t>
        </is>
      </c>
      <c r="L37" s="15" t="inlineStr">
        <is>
          <t>API từ chối truy cập ngay, không cần chờ tới khi access token tự hết hạn</t>
        </is>
      </c>
      <c r="M37" s="15" t="inlineStr">
        <is>
          <t>Claude (Playwright automation)</t>
        </is>
      </c>
      <c r="N37" s="18" t="inlineStr">
        <is>
          <t>Fail</t>
        </is>
      </c>
      <c r="O37" s="19" t="inlineStr">
        <is>
          <t>Không có ảnh riêng (test bị bỏ qua) — trace đầy đủ: e2e/report/index.html (chỉ mở được khi tải file .xlsx và mở Excel local)</t>
        </is>
      </c>
      <c r="P37" s="15" t="inlineStr"/>
      <c r="Q37" s="18" t="inlineStr">
        <is>
          <t>Chưa test</t>
        </is>
      </c>
      <c r="R37" s="15"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8" ht="45" customHeight="1">
      <c r="A38" s="14" t="inlineStr">
        <is>
          <t>TC-AUTH-037</t>
        </is>
      </c>
      <c r="B38" s="15" t="inlineStr">
        <is>
          <t>Tài khoản &amp; Xác thực</t>
        </is>
      </c>
      <c r="C38" s="15" t="inlineStr">
        <is>
          <t>Đăng ký</t>
        </is>
      </c>
      <c r="D38" s="15" t="inlineStr">
        <is>
          <t>API đăng ký trả 200 kèm phiên, cookie refresh và user không lộ trường nội bộ</t>
        </is>
      </c>
      <c r="E38" s="15" t="inlineStr">
        <is>
          <t>Chức năng</t>
        </is>
      </c>
      <c r="F38" s="16" t="inlineStr">
        <is>
          <t>Cao</t>
        </is>
      </c>
      <c r="G38" s="17" t="inlineStr">
        <is>
          <t>Đã hoàn thiện</t>
        </is>
      </c>
      <c r="H38" s="17" t="inlineStr">
        <is>
          <t>Có</t>
        </is>
      </c>
      <c r="I38" s="15" t="inlineStr">
        <is>
          <t>Email chưa tồn tại, ví dụ qa.reg01@sofinhub.test</t>
        </is>
      </c>
      <c r="J38" s="15" t="inlineStr">
        <is>
          <t>1. POST /api/auth/register với payload bên dưới
2. Kiểm tra status, body và header Set-Cookie
3. Gọi GET /api/auth/me với accessToken vừa nhận</t>
        </is>
      </c>
      <c r="K38" s="15" t="inlineStr">
        <is>
          <t>{"firstName":"Lan","lastName":"Tran","email":"qa.reg01@sofinhub.test","password":"Matkhau@123"}</t>
        </is>
      </c>
      <c r="L38" s="15" t="inlineStr">
        <is>
          <t>HTTP 200 (không phải 201). Body {data:{user,accessToken}}; user có id, email, firstName='Lan', lastName='Tran', emailVerified=false, createdAt; KHÔNG có passwordHash, tokenVersion, isDemo, deletedAt. Set-Cookie refresh_token; HttpOnly; Path=/api/auth; SameSite=Lax; Max-Age=2592000 (30 ngày). GET /api/auth/me bằng accessToken trả 200 cùng user.</t>
        </is>
      </c>
      <c r="M38" s="15" t="inlineStr"/>
      <c r="N38" s="18" t="inlineStr">
        <is>
          <t>Chưa test</t>
        </is>
      </c>
      <c r="O38" s="15" t="inlineStr"/>
      <c r="P38" s="15" t="inlineStr"/>
      <c r="Q38" s="18" t="inlineStr">
        <is>
          <t>Chưa test</t>
        </is>
      </c>
      <c r="R38" s="15" t="inlineStr"/>
    </row>
    <row r="39" ht="30" customHeight="1">
      <c r="A39" s="14" t="inlineStr">
        <is>
          <t>TC-AUTH-038</t>
        </is>
      </c>
      <c r="B39" s="15" t="inlineStr">
        <is>
          <t>Tài khoản &amp; Xác thực</t>
        </is>
      </c>
      <c r="C39" s="15" t="inlineStr">
        <is>
          <t>Đăng ký</t>
        </is>
      </c>
      <c r="D39" s="15" t="inlineStr">
        <is>
          <t>Đăng ký trùng email seed khác hoa/thường và có khoảng trắng hai đầu</t>
        </is>
      </c>
      <c r="E39" s="15" t="inlineStr">
        <is>
          <t>Chức năng</t>
        </is>
      </c>
      <c r="F39" s="16" t="inlineStr">
        <is>
          <t>Cao</t>
        </is>
      </c>
      <c r="G39" s="17" t="inlineStr">
        <is>
          <t>Đã hoàn thiện</t>
        </is>
      </c>
      <c r="H39" s="17" t="inlineStr">
        <is>
          <t>Có</t>
        </is>
      </c>
      <c r="I39" s="15" t="inlineStr">
        <is>
          <t>Tài khoản seed member1@sofinhub.test đã tồn tại</t>
        </is>
      </c>
      <c r="J39" s="15" t="inlineStr">
        <is>
          <t>1. POST /api/auth/register với email viết hoa lẫn khoảng trắng đầu/cuối
2. Đăng nhập lại member1@sofinhub.test / Passw0rd!x để chắc chắn tài khoản cũ không bị đổi</t>
        </is>
      </c>
      <c r="K39" s="15" t="inlineStr">
        <is>
          <t>{"firstName":"Giả","lastName":"Mạo","email":"  MEMBER1@SofinHub.Test ","password":"Matkhau@123"}</t>
        </is>
      </c>
      <c r="L39" s="15" t="inlineStr">
        <is>
          <t>HTTP 409, error.code=CONFLICT, message 'Email này đã được đăng ký' (schema trim + lowercase email trước khi kiểm tra trùng). Không tạo tài khoản mới; đăng nhập member1 vẫn thành công.</t>
        </is>
      </c>
      <c r="M39" s="15" t="inlineStr"/>
      <c r="N39" s="18" t="inlineStr">
        <is>
          <t>Chưa test</t>
        </is>
      </c>
      <c r="O39" s="15" t="inlineStr"/>
      <c r="P39" s="15" t="inlineStr"/>
      <c r="Q39" s="18" t="inlineStr">
        <is>
          <t>Chưa test</t>
        </is>
      </c>
      <c r="R39" s="15" t="inlineStr"/>
    </row>
    <row r="40" ht="30" customHeight="1">
      <c r="A40" s="14" t="inlineStr">
        <is>
          <t>TC-AUTH-039</t>
        </is>
      </c>
      <c r="B40" s="15" t="inlineStr">
        <is>
          <t>Tài khoản &amp; Xác thực</t>
        </is>
      </c>
      <c r="C40" s="15" t="inlineStr">
        <is>
          <t>Đăng ký</t>
        </is>
      </c>
      <c r="D40" s="15" t="inlineStr">
        <is>
          <t>Đăng ký thiếu toàn bộ trường trả lỗi validate theo từng trường</t>
        </is>
      </c>
      <c r="E40" s="15" t="inlineStr">
        <is>
          <t>Chức năng</t>
        </is>
      </c>
      <c r="F40" s="20" t="inlineStr">
        <is>
          <t>Trung bình</t>
        </is>
      </c>
      <c r="G40" s="17" t="inlineStr">
        <is>
          <t>Đã hoàn thiện</t>
        </is>
      </c>
      <c r="H40" s="17" t="inlineStr">
        <is>
          <t>Có</t>
        </is>
      </c>
      <c r="I40" s="15" t="inlineStr">
        <is>
          <t>-</t>
        </is>
      </c>
      <c r="J40" s="15" t="inlineStr">
        <is>
          <t>1. POST /api/auth/register với body {}</t>
        </is>
      </c>
      <c r="K40" s="15" t="inlineStr">
        <is>
          <t>{}</t>
        </is>
      </c>
      <c r="L40" s="15" t="inlineStr">
        <is>
          <t>HTTP 400, error.code=VALIDATION_ERROR, message 'Tham số không hợp lệ', error.details.fieldErrors có đủ 4 khóa firstName, lastName, email, password.</t>
        </is>
      </c>
      <c r="M40" s="15" t="inlineStr"/>
      <c r="N40" s="18" t="inlineStr">
        <is>
          <t>Chưa test</t>
        </is>
      </c>
      <c r="O40" s="15" t="inlineStr"/>
      <c r="P40" s="15" t="inlineStr"/>
      <c r="Q40" s="18" t="inlineStr">
        <is>
          <t>Chưa test</t>
        </is>
      </c>
      <c r="R40" s="15" t="inlineStr"/>
    </row>
    <row r="41" ht="30" customHeight="1">
      <c r="A41" s="14" t="inlineStr">
        <is>
          <t>TC-AUTH-040</t>
        </is>
      </c>
      <c r="B41" s="15" t="inlineStr">
        <is>
          <t>Tài khoản &amp; Xác thực</t>
        </is>
      </c>
      <c r="C41" s="15" t="inlineStr">
        <is>
          <t>Đăng ký</t>
        </is>
      </c>
      <c r="D41" s="15" t="inlineStr">
        <is>
          <t>Tên/họ chỉ gồm khoảng trắng bị từ chối với thông điệp riêng từng trường</t>
        </is>
      </c>
      <c r="E41" s="15" t="inlineStr">
        <is>
          <t>Chức năng</t>
        </is>
      </c>
      <c r="F41" s="20" t="inlineStr">
        <is>
          <t>Trung bình</t>
        </is>
      </c>
      <c r="G41" s="17" t="inlineStr">
        <is>
          <t>Đã hoàn thiện</t>
        </is>
      </c>
      <c r="H41" s="17" t="inlineStr">
        <is>
          <t>Có</t>
        </is>
      </c>
      <c r="I41" s="15" t="inlineStr">
        <is>
          <t>-</t>
        </is>
      </c>
      <c r="J41" s="15" t="inlineStr">
        <is>
          <t>1. POST /api/auth/register với firstName và lastName chỉ là khoảng trắng</t>
        </is>
      </c>
      <c r="K41" s="15" t="inlineStr">
        <is>
          <t>{"firstName":"   ","lastName":"   ","email":"qa.reg02@sofinhub.test","password":"Matkhau@123"}</t>
        </is>
      </c>
      <c r="L41" s="15" t="inlineStr">
        <is>
          <t>HTTP 400 VALIDATION_ERROR; fieldErrors.firstName chứa 'Vui lòng nhập tên', fieldErrors.lastName chứa 'Vui lòng nhập họ' (trim trước khi kiểm min 1). Không tạo user.</t>
        </is>
      </c>
      <c r="M41" s="15" t="inlineStr"/>
      <c r="N41" s="18" t="inlineStr">
        <is>
          <t>Chưa test</t>
        </is>
      </c>
      <c r="O41" s="15" t="inlineStr"/>
      <c r="P41" s="15" t="inlineStr"/>
      <c r="Q41" s="18" t="inlineStr">
        <is>
          <t>Chưa test</t>
        </is>
      </c>
      <c r="R41" s="15" t="inlineStr"/>
    </row>
    <row r="42" ht="30" customHeight="1">
      <c r="A42" s="14" t="inlineStr">
        <is>
          <t>TC-AUTH-041</t>
        </is>
      </c>
      <c r="B42" s="15" t="inlineStr">
        <is>
          <t>Tài khoản &amp; Xác thực</t>
        </is>
      </c>
      <c r="C42" s="15" t="inlineStr">
        <is>
          <t>Đăng ký</t>
        </is>
      </c>
      <c r="D42" s="15" t="inlineStr">
        <is>
          <t>Biên độ dài tên: 80 ký tự được chấp nhận, 81 ký tự bị từ chối</t>
        </is>
      </c>
      <c r="E42" s="15" t="inlineStr">
        <is>
          <t>Chức năng</t>
        </is>
      </c>
      <c r="F42" s="17" t="inlineStr">
        <is>
          <t>Thấp</t>
        </is>
      </c>
      <c r="G42" s="17" t="inlineStr">
        <is>
          <t>Đã hoàn thiện</t>
        </is>
      </c>
      <c r="H42" s="17" t="inlineStr">
        <is>
          <t>Có</t>
        </is>
      </c>
      <c r="I42" s="15" t="inlineStr">
        <is>
          <t>-</t>
        </is>
      </c>
      <c r="J42" s="15" t="inlineStr">
        <is>
          <t>1. POST /api/auth/register với firstName = 'A' lặp 80 lần, email qa.reg03a@sofinhub.test
2. POST /api/auth/register với firstName = 'A' lặp 81 lần, email qa.reg03b@sofinhub.test</t>
        </is>
      </c>
      <c r="K42" s="15" t="inlineStr">
        <is>
          <t>firstName 80 và 81 ký tự; lastName='Bien'; password='Matkhau@123'</t>
        </is>
      </c>
      <c r="L42" s="15" t="inlineStr">
        <is>
          <t>Lần 1: HTTP 200, tên lưu nguyên 80 ký tự. Lần 2: HTTP 400 VALIDATION_ERROR (fieldErrors.firstName), email qa.reg03b chưa được tạo.</t>
        </is>
      </c>
      <c r="M42" s="15" t="inlineStr"/>
      <c r="N42" s="18" t="inlineStr">
        <is>
          <t>Chưa test</t>
        </is>
      </c>
      <c r="O42" s="15" t="inlineStr"/>
      <c r="P42" s="15" t="inlineStr"/>
      <c r="Q42" s="18" t="inlineStr">
        <is>
          <t>Chưa test</t>
        </is>
      </c>
      <c r="R42" s="15" t="inlineStr"/>
    </row>
    <row r="43" ht="30" customHeight="1">
      <c r="A43" s="14" t="inlineStr">
        <is>
          <t>TC-AUTH-042</t>
        </is>
      </c>
      <c r="B43" s="15" t="inlineStr">
        <is>
          <t>Tài khoản &amp; Xác thực</t>
        </is>
      </c>
      <c r="C43" s="15" t="inlineStr">
        <is>
          <t>Đăng ký</t>
        </is>
      </c>
      <c r="D43" s="15" t="inlineStr">
        <is>
          <t>Biên độ dài email 180 ký tự và mật khẩu 200 ký tự</t>
        </is>
      </c>
      <c r="E43" s="15" t="inlineStr">
        <is>
          <t>Chức năng</t>
        </is>
      </c>
      <c r="F43" s="17" t="inlineStr">
        <is>
          <t>Thấp</t>
        </is>
      </c>
      <c r="G43" s="17" t="inlineStr">
        <is>
          <t>Đã hoàn thiện</t>
        </is>
      </c>
      <c r="H43" s="17" t="inlineStr">
        <is>
          <t>Có</t>
        </is>
      </c>
      <c r="I43" s="15" t="inlineStr">
        <is>
          <t>-</t>
        </is>
      </c>
      <c r="J43" s="15" t="inlineStr">
        <is>
          <t>1. Đăng ký với email dài 181 ký tự (local-part 'a' lặp 160 + '@sofinhub.test' cho tổng &gt; 180)
2. Đăng ký với mật khẩu 201 ký tự: 'Aa@' + 'x' lặp 198</t>
        </is>
      </c>
      <c r="K43" s="15" t="inlineStr">
        <is>
          <t>email &gt;180 ký tự; password 201 ký tự</t>
        </is>
      </c>
      <c r="L43" s="15" t="inlineStr">
        <is>
          <t>Cả hai HTTP 400 VALIDATION_ERROR (email tối đa 180, mật khẩu tối đa 200). Mật khẩu đúng 200 ký tự thì được chấp nhận (200).</t>
        </is>
      </c>
      <c r="M43" s="15" t="inlineStr"/>
      <c r="N43" s="18" t="inlineStr">
        <is>
          <t>Chưa test</t>
        </is>
      </c>
      <c r="O43" s="15" t="inlineStr"/>
      <c r="P43" s="15" t="inlineStr"/>
      <c r="Q43" s="18" t="inlineStr">
        <is>
          <t>Chưa test</t>
        </is>
      </c>
      <c r="R43" s="15" t="inlineStr"/>
    </row>
    <row r="44" ht="30" customHeight="1">
      <c r="A44" s="14" t="inlineStr">
        <is>
          <t>TC-AUTH-043</t>
        </is>
      </c>
      <c r="B44" s="15" t="inlineStr">
        <is>
          <t>Tài khoản &amp; Xác thực</t>
        </is>
      </c>
      <c r="C44" s="15" t="inlineStr">
        <is>
          <t>Đăng ký</t>
        </is>
      </c>
      <c r="D44" s="15" t="inlineStr">
        <is>
          <t>Chữ hoa không phải ASCII (Đ, Ư) không thỏa quy tắc 'chữ in hoa'</t>
        </is>
      </c>
      <c r="E44" s="15" t="inlineStr">
        <is>
          <t>Chức năng</t>
        </is>
      </c>
      <c r="F44" s="20" t="inlineStr">
        <is>
          <t>Trung bình</t>
        </is>
      </c>
      <c r="G44" s="17" t="inlineStr">
        <is>
          <t>Đã hoàn thiện</t>
        </is>
      </c>
      <c r="H44" s="17" t="inlineStr">
        <is>
          <t>Có</t>
        </is>
      </c>
      <c r="I44" s="15" t="inlineStr">
        <is>
          <t>-</t>
        </is>
      </c>
      <c r="J44" s="15" t="inlineStr">
        <is>
          <t>1. POST /api/auth/register với mật khẩu chỉ có chữ hoa Unicode và ký tự đặc biệt</t>
        </is>
      </c>
      <c r="K44" s="15" t="inlineStr">
        <is>
          <t>{"email":"qa.reg04@sofinhub.test","password":"đặng@khoa1Đ"}, firstName/lastName hợp lệ</t>
        </is>
      </c>
      <c r="L44" s="15" t="inlineStr">
        <is>
          <t>HTTP 400 VALIDATION_ERROR; fieldErrors.password chứa 'Mật khẩu cần ít nhất 1 chữ in hoa' (regex /[A-Z]/ chỉ khớp A-Z).</t>
        </is>
      </c>
      <c r="M44" s="15" t="inlineStr"/>
      <c r="N44" s="18" t="inlineStr">
        <is>
          <t>Chưa test</t>
        </is>
      </c>
      <c r="O44" s="15" t="inlineStr"/>
      <c r="P44" s="15" t="inlineStr"/>
      <c r="Q44" s="18" t="inlineStr">
        <is>
          <t>Chưa test</t>
        </is>
      </c>
      <c r="R44" s="15" t="inlineStr"/>
    </row>
    <row r="45" ht="30" customHeight="1">
      <c r="A45" s="14" t="inlineStr">
        <is>
          <t>TC-AUTH-044</t>
        </is>
      </c>
      <c r="B45" s="15" t="inlineStr">
        <is>
          <t>Tài khoản &amp; Xác thực</t>
        </is>
      </c>
      <c r="C45" s="15" t="inlineStr">
        <is>
          <t>Đăng ký</t>
        </is>
      </c>
      <c r="D45" s="15" t="inlineStr">
        <is>
          <t>Mật khẩu không có chữ số vẫn hợp lệ (quy tắc chỉ cần &gt;=8, 1 hoa, 1 ký tự đặc biệt)</t>
        </is>
      </c>
      <c r="E45" s="15" t="inlineStr">
        <is>
          <t>Chức năng</t>
        </is>
      </c>
      <c r="F45" s="20" t="inlineStr">
        <is>
          <t>Trung bình</t>
        </is>
      </c>
      <c r="G45" s="17" t="inlineStr">
        <is>
          <t>Đã hoàn thiện</t>
        </is>
      </c>
      <c r="H45" s="17" t="inlineStr">
        <is>
          <t>Có</t>
        </is>
      </c>
      <c r="I45" s="15" t="inlineStr">
        <is>
          <t>Đối chiếu với cụm từ 'chữ hoa, thường, số' trong tài liệu cũ; code chỉ có 3 quy tắc</t>
        </is>
      </c>
      <c r="J45" s="15" t="inlineStr">
        <is>
          <t>1. POST /api/auth/register với mật khẩu 'Abcdefg@' (không có số)</t>
        </is>
      </c>
      <c r="K45" s="15" t="inlineStr">
        <is>
          <t>{"email":"qa.reg05@sofinhub.test","password":"Abcdefg@"}</t>
        </is>
      </c>
      <c r="L45" s="15" t="inlineStr">
        <is>
          <t>HTTP 200: mật khẩu được chấp nhận vì passwordRule không yêu cầu chữ số (cần xác nhận với sản phẩm nếu muốn siết - giá trị chưa chốt).</t>
        </is>
      </c>
      <c r="M45" s="15" t="inlineStr"/>
      <c r="N45" s="18" t="inlineStr">
        <is>
          <t>Chưa test</t>
        </is>
      </c>
      <c r="O45" s="15" t="inlineStr"/>
      <c r="P45" s="15" t="inlineStr"/>
      <c r="Q45" s="18" t="inlineStr">
        <is>
          <t>Chưa test</t>
        </is>
      </c>
      <c r="R45" s="15" t="inlineStr"/>
    </row>
    <row r="46" ht="30" customHeight="1">
      <c r="A46" s="14" t="inlineStr">
        <is>
          <t>TC-AUTH-045</t>
        </is>
      </c>
      <c r="B46" s="15" t="inlineStr">
        <is>
          <t>Tài khoản &amp; Xác thực</t>
        </is>
      </c>
      <c r="C46" s="15" t="inlineStr">
        <is>
          <t>Đăng ký</t>
        </is>
      </c>
      <c r="D46" s="15" t="inlineStr">
        <is>
          <t>Mật khẩu 'abc' trả đủ 3 thông điệp lỗi trong fieldErrors</t>
        </is>
      </c>
      <c r="E46" s="15" t="inlineStr">
        <is>
          <t>Chức năng</t>
        </is>
      </c>
      <c r="F46" s="20" t="inlineStr">
        <is>
          <t>Trung bình</t>
        </is>
      </c>
      <c r="G46" s="17" t="inlineStr">
        <is>
          <t>Đã hoàn thiện</t>
        </is>
      </c>
      <c r="H46" s="17" t="inlineStr">
        <is>
          <t>Có</t>
        </is>
      </c>
      <c r="I46" s="15" t="inlineStr">
        <is>
          <t>-</t>
        </is>
      </c>
      <c r="J46" s="15" t="inlineStr">
        <is>
          <t>1. POST /api/auth/register với password='abc'</t>
        </is>
      </c>
      <c r="K46" s="15" t="inlineStr">
        <is>
          <t>{"password":"abc", các trường khác hợp lệ}</t>
        </is>
      </c>
      <c r="L46" s="15" t="inlineStr">
        <is>
          <t>HTTP 400 VALIDATION_ERROR; fieldErrors.password gồm 'Mật khẩu cần ít nhất 8 ký tự', 'Mật khẩu cần ít nhất 1 chữ in hoa', 'Mật khẩu cần ít nhất 1 ký tự đặc biệt'.</t>
        </is>
      </c>
      <c r="M46" s="15" t="inlineStr"/>
      <c r="N46" s="18" t="inlineStr">
        <is>
          <t>Chưa test</t>
        </is>
      </c>
      <c r="O46" s="15" t="inlineStr"/>
      <c r="P46" s="15" t="inlineStr"/>
      <c r="Q46" s="18" t="inlineStr">
        <is>
          <t>Chưa test</t>
        </is>
      </c>
      <c r="R46" s="15" t="inlineStr"/>
    </row>
    <row r="47" ht="45" customHeight="1">
      <c r="A47" s="14" t="inlineStr">
        <is>
          <t>TC-AUTH-046</t>
        </is>
      </c>
      <c r="B47" s="15" t="inlineStr">
        <is>
          <t>Tài khoản &amp; Xác thực</t>
        </is>
      </c>
      <c r="C47" s="15" t="inlineStr">
        <is>
          <t>Đăng ký</t>
        </is>
      </c>
      <c r="D47" s="15" t="inlineStr">
        <is>
          <t>Mật khẩu có khoảng trắng ở giữa/đầu/cuối được giữ nguyên (không trim) khi đăng nhập</t>
        </is>
      </c>
      <c r="E47" s="15" t="inlineStr">
        <is>
          <t>Chức năng</t>
        </is>
      </c>
      <c r="F47" s="17" t="inlineStr">
        <is>
          <t>Thấp</t>
        </is>
      </c>
      <c r="G47" s="17" t="inlineStr">
        <is>
          <t>Đã hoàn thiện</t>
        </is>
      </c>
      <c r="H47" s="17" t="inlineStr">
        <is>
          <t>Có</t>
        </is>
      </c>
      <c r="I47" s="15" t="inlineStr">
        <is>
          <t>-</t>
        </is>
      </c>
      <c r="J47" s="15" t="inlineStr">
        <is>
          <t>1. Đăng ký với mật khẩu ' Ab c@123 ' (có space đầu và cuối)
2. Đăng nhập bằng đúng chuỗi ' Ab c@123 '
3. Đăng nhập bằng 'Ab c@123' (đã cắt space)</t>
        </is>
      </c>
      <c r="K47" s="15" t="inlineStr">
        <is>
          <t>password=' Ab c@123 '</t>
        </is>
      </c>
      <c r="L47" s="15" t="inlineStr">
        <is>
          <t>Đăng ký HTTP 200. Đăng nhập chuỗi đầy đủ: 200. Đăng nhập chuỗi đã cắt space: 401 'Email hoặc mật khẩu không đúng' (mật khẩu không bị trim).</t>
        </is>
      </c>
      <c r="M47" s="15" t="inlineStr"/>
      <c r="N47" s="18" t="inlineStr">
        <is>
          <t>Chưa test</t>
        </is>
      </c>
      <c r="O47" s="15" t="inlineStr"/>
      <c r="P47" s="15" t="inlineStr"/>
      <c r="Q47" s="18" t="inlineStr">
        <is>
          <t>Chưa test</t>
        </is>
      </c>
      <c r="R47" s="15" t="inlineStr"/>
    </row>
    <row r="48" ht="30" customHeight="1">
      <c r="A48" s="14" t="inlineStr">
        <is>
          <t>TC-AUTH-047</t>
        </is>
      </c>
      <c r="B48" s="15" t="inlineStr">
        <is>
          <t>Tài khoản &amp; Xác thực</t>
        </is>
      </c>
      <c r="C48" s="15" t="inlineStr">
        <is>
          <t>Đăng ký</t>
        </is>
      </c>
      <c r="D48" s="15" t="inlineStr">
        <is>
          <t>Hai request đăng ký song song cùng email: đúng 1 thành công</t>
        </is>
      </c>
      <c r="E48" s="15" t="inlineStr">
        <is>
          <t>Chức năng</t>
        </is>
      </c>
      <c r="F48" s="16" t="inlineStr">
        <is>
          <t>Cao</t>
        </is>
      </c>
      <c r="G48" s="17" t="inlineStr">
        <is>
          <t>Đã hoàn thiện</t>
        </is>
      </c>
      <c r="H48" s="17" t="inlineStr">
        <is>
          <t>Có</t>
        </is>
      </c>
      <c r="I48" s="15" t="inlineStr">
        <is>
          <t>Email qa.race01@sofinhub.test chưa tồn tại</t>
        </is>
      </c>
      <c r="J48" s="15" t="inlineStr">
        <is>
          <t>1. Dùng Promise.all bắn 2 POST /api/auth/register cùng payload</t>
        </is>
      </c>
      <c r="K48" s="15" t="inlineStr">
        <is>
          <t>Cùng email qa.race01@sofinhub.test, password 'Matkhau@123'</t>
        </is>
      </c>
      <c r="L48" s="15" t="inlineStr">
        <is>
          <t>Một request HTTP 200, request còn lại HTTP 409 CONFLICT 'Email này đã được đăng ký' (unique index chặn, P2002 được map về 409, không có 500). DB chỉ có 1 user với email đó.</t>
        </is>
      </c>
      <c r="M48" s="15" t="inlineStr"/>
      <c r="N48" s="18" t="inlineStr">
        <is>
          <t>Chưa test</t>
        </is>
      </c>
      <c r="O48" s="15" t="inlineStr"/>
      <c r="P48" s="15" t="inlineStr"/>
      <c r="Q48" s="18" t="inlineStr">
        <is>
          <t>Chưa test</t>
        </is>
      </c>
      <c r="R48" s="15" t="inlineStr"/>
    </row>
    <row r="49" ht="75" customHeight="1">
      <c r="A49" s="14" t="inlineStr">
        <is>
          <t>TC-AUTH-048</t>
        </is>
      </c>
      <c r="B49" s="15" t="inlineStr">
        <is>
          <t>Tài khoản &amp; Xác thực</t>
        </is>
      </c>
      <c r="C49" s="15" t="inlineStr">
        <is>
          <t>Đăng ký</t>
        </is>
      </c>
      <c r="D49" s="15" t="inlineStr">
        <is>
          <t>UI /register: đăng ký xong tự đăng nhập, Header hiện tên người dùng</t>
        </is>
      </c>
      <c r="E49" s="15" t="inlineStr">
        <is>
          <t>Chức năng</t>
        </is>
      </c>
      <c r="F49" s="16" t="inlineStr">
        <is>
          <t>Cao</t>
        </is>
      </c>
      <c r="G49" s="17" t="inlineStr">
        <is>
          <t>Đã hoàn thiện</t>
        </is>
      </c>
      <c r="H49" s="17" t="inlineStr">
        <is>
          <t>Có</t>
        </is>
      </c>
      <c r="I49" s="15" t="inlineStr">
        <is>
          <t>Email qa.ui01@sofinhub.test chưa tồn tại; FE :5173</t>
        </is>
      </c>
      <c r="J49" s="15" t="inlineStr">
        <is>
          <t>1. Mở /register
2. Nhập Tên 'Lan', Họ 'Tran', email, mật khẩu 'Matkhau@123'
3. Mở và cuộn hết Điều khoản + Chính sách bảo mật, tick đồng ý
4. Bấm nút đăng ký
5. Mở menu avatar ở Header</t>
        </is>
      </c>
      <c r="K49" s="15" t="inlineStr">
        <is>
          <t>qa.ui01@sofinhub.test / Matkhau@123</t>
        </is>
      </c>
      <c r="L49" s="15" t="inlineStr">
        <is>
          <t>Đăng ký thành công, chuyển khỏi /register, Header hiện menu avatar (Hồ sơ của tôi, Cộng đồng của tôi, Cài đặt tài khoản, Đăng xuất); /settings hiện banner 'Email chưa xác thực'.</t>
        </is>
      </c>
      <c r="M49" s="15" t="inlineStr"/>
      <c r="N49" s="18" t="inlineStr">
        <is>
          <t>Chưa test</t>
        </is>
      </c>
      <c r="O49" s="15" t="inlineStr"/>
      <c r="P49" s="15" t="inlineStr"/>
      <c r="Q49" s="18" t="inlineStr">
        <is>
          <t>Chưa test</t>
        </is>
      </c>
      <c r="R49" s="15" t="inlineStr"/>
    </row>
    <row r="50" ht="30" customHeight="1">
      <c r="A50" s="14" t="inlineStr">
        <is>
          <t>TC-AUTH-049</t>
        </is>
      </c>
      <c r="B50" s="15" t="inlineStr">
        <is>
          <t>Tài khoản &amp; Xác thực</t>
        </is>
      </c>
      <c r="C50" s="15" t="inlineStr">
        <is>
          <t>Đăng ký</t>
        </is>
      </c>
      <c r="D50" s="15" t="inlineStr">
        <is>
          <t>UI /register: email đã tồn tại hiển thị thông điệp lỗi từ BE, không mất dữ liệu đã nhập</t>
        </is>
      </c>
      <c r="E50" s="15" t="inlineStr">
        <is>
          <t>Giao diện</t>
        </is>
      </c>
      <c r="F50" s="20" t="inlineStr">
        <is>
          <t>Trung bình</t>
        </is>
      </c>
      <c r="G50" s="17" t="inlineStr">
        <is>
          <t>Đã hoàn thiện</t>
        </is>
      </c>
      <c r="H50" s="17" t="inlineStr">
        <is>
          <t>Có</t>
        </is>
      </c>
      <c r="I50" s="15" t="inlineStr">
        <is>
          <t>Tài khoản seed member1@sofinhub.test đã tồn tại</t>
        </is>
      </c>
      <c r="J50" s="15" t="inlineStr">
        <is>
          <t>1. Mở /register, điền form hợp lệ với email member1@sofinhub.test
2. Tick đồng ý điều khoản, bấm đăng ký</t>
        </is>
      </c>
      <c r="K50" s="15" t="inlineStr">
        <is>
          <t>member1@sofinhub.test / Matkhau@123</t>
        </is>
      </c>
      <c r="L50" s="15" t="inlineStr">
        <is>
          <t>Hiện lỗi 'Email này đã được đăng ký' (thông điệp BE 409); vẫn ở /register, các ô đã nhập được giữ, nút đăng ký bật lại.</t>
        </is>
      </c>
      <c r="M50" s="15" t="inlineStr"/>
      <c r="N50" s="18" t="inlineStr">
        <is>
          <t>Chưa test</t>
        </is>
      </c>
      <c r="O50" s="15" t="inlineStr"/>
      <c r="P50" s="15" t="inlineStr"/>
      <c r="Q50" s="18" t="inlineStr">
        <is>
          <t>Chưa test</t>
        </is>
      </c>
      <c r="R50" s="15" t="inlineStr"/>
    </row>
    <row r="51" ht="45" customHeight="1">
      <c r="A51" s="14" t="inlineStr">
        <is>
          <t>TC-AUTH-050</t>
        </is>
      </c>
      <c r="B51" s="15" t="inlineStr">
        <is>
          <t>Tài khoản &amp; Xác thực</t>
        </is>
      </c>
      <c r="C51" s="15" t="inlineStr">
        <is>
          <t>Đăng nhập tài khoản seed</t>
        </is>
      </c>
      <c r="D51" s="15" t="inlineStr">
        <is>
          <t>Đăng nhập bằng tài khoản seed admin@sofinhub.test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admin@sofinhub.test và mật khẩu Passw0rd!x
2. GET /api/auth/me bằng accessToken
3. GET /api/me/enrollments</t>
        </is>
      </c>
      <c r="K51" s="15" t="inlineStr">
        <is>
          <t>admin@sofinhub.test / Passw0rd!x</t>
        </is>
      </c>
      <c r="L51" s="15" t="inlineStr">
        <is>
          <t>HTTP 200; user.firstName='Platform', lastName='Admin', emailVerified=true (seed). Vai trò: Platform Admin, không thuộc cộng đồng nào; GET /api/me/enrollments trả [].</t>
        </is>
      </c>
      <c r="M51" s="15" t="inlineStr"/>
      <c r="N51" s="18" t="inlineStr">
        <is>
          <t>Chưa test</t>
        </is>
      </c>
      <c r="O51" s="15" t="inlineStr"/>
      <c r="P51" s="15" t="inlineStr"/>
      <c r="Q51" s="18" t="inlineStr">
        <is>
          <t>Chưa test</t>
        </is>
      </c>
      <c r="R51" s="15" t="inlineStr"/>
    </row>
    <row r="52" ht="45" customHeight="1">
      <c r="A52" s="14" t="inlineStr">
        <is>
          <t>TC-AUTH-051</t>
        </is>
      </c>
      <c r="B52" s="15" t="inlineStr">
        <is>
          <t>Tài khoản &amp; Xác thực</t>
        </is>
      </c>
      <c r="C52" s="15" t="inlineStr">
        <is>
          <t>Đăng nhập tài khoản seed</t>
        </is>
      </c>
      <c r="D52" s="15" t="inlineStr">
        <is>
          <t>Đăng nhập bằng tài khoản seed owner@sofinhub.test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owner@sofinhub.test và mật khẩu Passw0rd!x
2. GET /api/auth/me bằng accessToken
3. GET /api/me/enrollments</t>
        </is>
      </c>
      <c r="K52" s="15" t="inlineStr">
        <is>
          <t>owner@sofinhub.test / Passw0rd!x</t>
        </is>
      </c>
      <c r="L52" s="15" t="inlineStr">
        <is>
          <t>HTTP 200; user.firstName='Olivia', lastName='Owner', emailVerified=true (seed). Vai trò: owner của photo, yt, fin (và private-demo, paid-demo theo seed); /api/me/enrollments có role='owner'.</t>
        </is>
      </c>
      <c r="M52" s="15" t="inlineStr"/>
      <c r="N52" s="18" t="inlineStr">
        <is>
          <t>Chưa test</t>
        </is>
      </c>
      <c r="O52" s="15" t="inlineStr"/>
      <c r="P52" s="15" t="inlineStr"/>
      <c r="Q52" s="18" t="inlineStr">
        <is>
          <t>Chưa test</t>
        </is>
      </c>
      <c r="R52" s="15" t="inlineStr"/>
    </row>
    <row r="53" ht="45" customHeight="1">
      <c r="A53" s="14" t="inlineStr">
        <is>
          <t>TC-AUTH-052</t>
        </is>
      </c>
      <c r="B53" s="15" t="inlineStr">
        <is>
          <t>Tài khoản &amp; Xác thực</t>
        </is>
      </c>
      <c r="C53" s="15" t="inlineStr">
        <is>
          <t>Đăng nhập tài khoản seed</t>
        </is>
      </c>
      <c r="D53" s="15" t="inlineStr">
        <is>
          <t>Đăng nhập bằng tài khoản seed cadmin@sofinhub.test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cadmin@sofinhub.test và mật khẩu Passw0rd!x
2. GET /api/auth/me bằng accessToken
3. GET /api/me/enrollments</t>
        </is>
      </c>
      <c r="K53" s="15" t="inlineStr">
        <is>
          <t>cadmin@sofinhub.test / Passw0rd!x</t>
        </is>
      </c>
      <c r="L53" s="15" t="inlineStr">
        <is>
          <t>HTTP 200; user.firstName='Adam', lastName='CommunityAdmin', emailVerified=true (seed). Vai trò: admin của photo; /api/me/enrollments có photo với role='admin'.</t>
        </is>
      </c>
      <c r="M53" s="15" t="inlineStr"/>
      <c r="N53" s="18" t="inlineStr">
        <is>
          <t>Chưa test</t>
        </is>
      </c>
      <c r="O53" s="15" t="inlineStr"/>
      <c r="P53" s="15" t="inlineStr"/>
      <c r="Q53" s="18" t="inlineStr">
        <is>
          <t>Chưa test</t>
        </is>
      </c>
      <c r="R53" s="15" t="inlineStr"/>
    </row>
    <row r="54" ht="45" customHeight="1">
      <c r="A54" s="14" t="inlineStr">
        <is>
          <t>TC-AUTH-053</t>
        </is>
      </c>
      <c r="B54" s="15" t="inlineStr">
        <is>
          <t>Tài khoản &amp; Xác thực</t>
        </is>
      </c>
      <c r="C54" s="15" t="inlineStr">
        <is>
          <t>Đăng nhập tài khoản seed</t>
        </is>
      </c>
      <c r="D54" s="15" t="inlineStr">
        <is>
          <t>Đăng nhập bằng tài khoản seed mod@sofinhub.test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mod@sofinhub.test và mật khẩu Passw0rd!x
2. GET /api/auth/me bằng accessToken
3. GET /api/me/enrollments</t>
        </is>
      </c>
      <c r="K54" s="15" t="inlineStr">
        <is>
          <t>mod@sofinhub.test / Passw0rd!x</t>
        </is>
      </c>
      <c r="L54" s="15" t="inlineStr">
        <is>
          <t>HTTP 200; user.firstName='Mia', lastName='Moderator', emailVerified=true (seed). Vai trò: mod của photo; /api/me/enrollments có photo với role='mod'.</t>
        </is>
      </c>
      <c r="M54" s="15" t="inlineStr"/>
      <c r="N54" s="18" t="inlineStr">
        <is>
          <t>Chưa test</t>
        </is>
      </c>
      <c r="O54" s="15" t="inlineStr"/>
      <c r="P54" s="15" t="inlineStr"/>
      <c r="Q54" s="18" t="inlineStr">
        <is>
          <t>Chưa test</t>
        </is>
      </c>
      <c r="R54" s="15" t="inlineStr"/>
    </row>
    <row r="55" ht="45" customHeight="1">
      <c r="A55" s="14" t="inlineStr">
        <is>
          <t>TC-AUTH-054</t>
        </is>
      </c>
      <c r="B55" s="15" t="inlineStr">
        <is>
          <t>Tài khoản &amp; Xác thực</t>
        </is>
      </c>
      <c r="C55" s="15" t="inlineStr">
        <is>
          <t>Đăng nhập tài khoản seed</t>
        </is>
      </c>
      <c r="D55" s="15" t="inlineStr">
        <is>
          <t>Đăng nhập bằng tài khoản seed member1@sofinhub.test</t>
        </is>
      </c>
      <c r="E55" s="15" t="inlineStr">
        <is>
          <t>Chức năng</t>
        </is>
      </c>
      <c r="F55" s="16" t="inlineStr">
        <is>
          <t>Cao</t>
        </is>
      </c>
      <c r="G55" s="17" t="inlineStr">
        <is>
          <t>Đã hoàn thiện</t>
        </is>
      </c>
      <c r="H55" s="17" t="inlineStr">
        <is>
          <t>Có</t>
        </is>
      </c>
      <c r="I55"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email member1@sofinhub.test và mật khẩu Passw0rd!x
2. GET /api/auth/me bằng accessToken
3. GET /api/me/enrollments</t>
        </is>
      </c>
      <c r="K55" s="15" t="inlineStr">
        <is>
          <t>member1@sofinhub.test / Passw0rd!x</t>
        </is>
      </c>
      <c r="L55" s="15" t="inlineStr">
        <is>
          <t>HTTP 200; user.firstName='Minh', lastName='Member1', emailVerified=true (seed). Vai trò: member của photo, yt, fin; /api/me/enrollments có 3 mục role='member'.</t>
        </is>
      </c>
      <c r="M55" s="15" t="inlineStr"/>
      <c r="N55" s="18" t="inlineStr">
        <is>
          <t>Chưa test</t>
        </is>
      </c>
      <c r="O55" s="15" t="inlineStr"/>
      <c r="P55" s="15" t="inlineStr"/>
      <c r="Q55" s="18" t="inlineStr">
        <is>
          <t>Chưa test</t>
        </is>
      </c>
      <c r="R55" s="15" t="inlineStr"/>
    </row>
    <row r="56" ht="45" customHeight="1">
      <c r="A56" s="14" t="inlineStr">
        <is>
          <t>TC-AUTH-055</t>
        </is>
      </c>
      <c r="B56" s="15" t="inlineStr">
        <is>
          <t>Tài khoản &amp; Xác thực</t>
        </is>
      </c>
      <c r="C56" s="15" t="inlineStr">
        <is>
          <t>Đăng nhập tài khoản seed</t>
        </is>
      </c>
      <c r="D56" s="15" t="inlineStr">
        <is>
          <t>Đăng nhập bằng tài khoản seed member2@sofinhub.test</t>
        </is>
      </c>
      <c r="E56" s="15" t="inlineStr">
        <is>
          <t>Chức năng</t>
        </is>
      </c>
      <c r="F56" s="16" t="inlineStr">
        <is>
          <t>Cao</t>
        </is>
      </c>
      <c r="G56" s="17" t="inlineStr">
        <is>
          <t>Đã hoàn thiện</t>
        </is>
      </c>
      <c r="H56" s="17" t="inlineStr">
        <is>
          <t>Có</t>
        </is>
      </c>
      <c r="I56"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member2@sofinhub.test và mật khẩu Passw0rd!x
2. GET /api/auth/me bằng accessToken
3. GET /api/me/enrollments</t>
        </is>
      </c>
      <c r="K56" s="15" t="inlineStr">
        <is>
          <t>member2@sofinhub.test / Passw0rd!x</t>
        </is>
      </c>
      <c r="L56" s="15" t="inlineStr">
        <is>
          <t>HTTP 200; user.firstName='Mai', lastName='Member2', emailVerified=true (seed). Vai trò: member của photo; /api/me/enrollments có đúng 1 mục photo.</t>
        </is>
      </c>
      <c r="M56" s="15" t="inlineStr"/>
      <c r="N56" s="18" t="inlineStr">
        <is>
          <t>Chưa test</t>
        </is>
      </c>
      <c r="O56" s="15" t="inlineStr"/>
      <c r="P56" s="15" t="inlineStr"/>
      <c r="Q56" s="18" t="inlineStr">
        <is>
          <t>Chưa test</t>
        </is>
      </c>
      <c r="R56" s="15" t="inlineStr"/>
    </row>
    <row r="57" ht="45" customHeight="1">
      <c r="A57" s="14" t="inlineStr">
        <is>
          <t>TC-AUTH-056</t>
        </is>
      </c>
      <c r="B57" s="15" t="inlineStr">
        <is>
          <t>Tài khoản &amp; Xác thực</t>
        </is>
      </c>
      <c r="C57" s="15" t="inlineStr">
        <is>
          <t>Đăng nhập tài khoản seed</t>
        </is>
      </c>
      <c r="D57" s="15" t="inlineStr">
        <is>
          <t>Đăng nhập bằng tài khoản seed member3@sofinhub.test</t>
        </is>
      </c>
      <c r="E57" s="15" t="inlineStr">
        <is>
          <t>Chức năng</t>
        </is>
      </c>
      <c r="F57" s="16" t="inlineStr">
        <is>
          <t>Cao</t>
        </is>
      </c>
      <c r="G57" s="17" t="inlineStr">
        <is>
          <t>Đã hoàn thiện</t>
        </is>
      </c>
      <c r="H57" s="17" t="inlineStr">
        <is>
          <t>Có</t>
        </is>
      </c>
      <c r="I5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 member3@sofinhub.test và mật khẩu Passw0rd!x
2. GET /api/auth/me bằng accessToken
3. GET /api/me/enrollments</t>
        </is>
      </c>
      <c r="K57" s="15" t="inlineStr">
        <is>
          <t>member3@sofinhub.test / Passw0rd!x</t>
        </is>
      </c>
      <c r="L57" s="15" t="inlineStr">
        <is>
          <t>HTTP 200; user.firstName='Manh', lastName='Member3', emailVerified=true (seed). Vai trò: member của photo; /api/me/enrollments có đúng 1 mục photo.</t>
        </is>
      </c>
      <c r="M57" s="15" t="inlineStr"/>
      <c r="N57" s="18" t="inlineStr">
        <is>
          <t>Chưa test</t>
        </is>
      </c>
      <c r="O57" s="15" t="inlineStr"/>
      <c r="P57" s="15" t="inlineStr"/>
      <c r="Q57" s="18" t="inlineStr">
        <is>
          <t>Chưa test</t>
        </is>
      </c>
      <c r="R57" s="15" t="inlineStr"/>
    </row>
    <row r="58" ht="45" customHeight="1">
      <c r="A58" s="14" t="inlineStr">
        <is>
          <t>TC-AUTH-057</t>
        </is>
      </c>
      <c r="B58" s="15" t="inlineStr">
        <is>
          <t>Tài khoản &amp; Xác thực</t>
        </is>
      </c>
      <c r="C58" s="15" t="inlineStr">
        <is>
          <t>Đăng nhập tài khoản seed</t>
        </is>
      </c>
      <c r="D58" s="15" t="inlineStr">
        <is>
          <t>Đăng nhập bằng tài khoản seed newbie@sofinhub.test</t>
        </is>
      </c>
      <c r="E58" s="15" t="inlineStr">
        <is>
          <t>Chức năng</t>
        </is>
      </c>
      <c r="F58" s="16" t="inlineStr">
        <is>
          <t>Cao</t>
        </is>
      </c>
      <c r="G58" s="17" t="inlineStr">
        <is>
          <t>Đã hoàn thiện</t>
        </is>
      </c>
      <c r="H58" s="17" t="inlineStr">
        <is>
          <t>Có</t>
        </is>
      </c>
      <c r="I5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với email newbie@sofinhub.test và mật khẩu Passw0rd!x
2. GET /api/auth/me bằng accessToken
3. GET /api/me/enrollments</t>
        </is>
      </c>
      <c r="K58" s="15" t="inlineStr">
        <is>
          <t>newbie@sofinhub.test / Passw0rd!x</t>
        </is>
      </c>
      <c r="L58" s="15" t="inlineStr">
        <is>
          <t>HTTP 200; user.firstName='Nam', lastName='Newbie', emailVerified=true (seed). Vai trò: chưa ở cộng đồng nào; /api/me/enrollments trả [].</t>
        </is>
      </c>
      <c r="M58" s="15" t="inlineStr"/>
      <c r="N58" s="18" t="inlineStr">
        <is>
          <t>Chưa test</t>
        </is>
      </c>
      <c r="O58" s="15" t="inlineStr"/>
      <c r="P58" s="15" t="inlineStr"/>
      <c r="Q58" s="18" t="inlineStr">
        <is>
          <t>Chưa test</t>
        </is>
      </c>
      <c r="R58" s="15" t="inlineStr"/>
    </row>
    <row r="59" ht="45" customHeight="1">
      <c r="A59" s="14" t="inlineStr">
        <is>
          <t>TC-AUTH-058</t>
        </is>
      </c>
      <c r="B59" s="15" t="inlineStr">
        <is>
          <t>Tài khoản &amp; Xác thực</t>
        </is>
      </c>
      <c r="C59" s="15" t="inlineStr">
        <is>
          <t>Đăng nhập tài khoản seed</t>
        </is>
      </c>
      <c r="D59" s="15" t="inlineStr">
        <is>
          <t>Đăng nhập bằng tài khoản banned@sofinhub.test thành công (ban chỉ áp dụng ở cấp cộng đồng photo)</t>
        </is>
      </c>
      <c r="E59" s="15" t="inlineStr">
        <is>
          <t>Chức năng</t>
        </is>
      </c>
      <c r="F59" s="16" t="inlineStr">
        <is>
          <t>Cao</t>
        </is>
      </c>
      <c r="G59" s="17" t="inlineStr">
        <is>
          <t>Đã hoàn thiện</t>
        </is>
      </c>
      <c r="H59" s="17" t="inlineStr">
        <is>
          <t>Có</t>
        </is>
      </c>
      <c r="I59"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9" s="15" t="inlineStr">
        <is>
          <t>1. POST /api/auth/login với banned@sofinhub.test / Passw0rd!x
2. GET /api/me/enrollments
3. POST /api/courses/photo/enroll bằng accessToken</t>
        </is>
      </c>
      <c r="K59" s="15" t="inlineStr">
        <is>
          <t>banned@sofinhub.test / Passw0rd!x</t>
        </is>
      </c>
      <c r="L59" s="15" t="inlineStr">
        <is>
          <t>Login HTTP 200 (tài khoản không bị khóa toàn hệ thống). /api/me/enrollments KHÔNG chứa photo (người bị ban không được coi là thành viên). POST /api/courses/photo/enroll trả 403 FORBIDDEN 'Bạn đã bị cấm khỏi cộng đồng này'.</t>
        </is>
      </c>
      <c r="M59" s="15" t="inlineStr"/>
      <c r="N59" s="18" t="inlineStr">
        <is>
          <t>Chưa test</t>
        </is>
      </c>
      <c r="O59" s="15" t="inlineStr"/>
      <c r="P59" s="15" t="inlineStr"/>
      <c r="Q59" s="18" t="inlineStr">
        <is>
          <t>Chưa test</t>
        </is>
      </c>
      <c r="R59" s="15" t="inlineStr"/>
    </row>
    <row r="60" ht="30" customHeight="1">
      <c r="A60" s="14" t="inlineStr">
        <is>
          <t>TC-AUTH-059</t>
        </is>
      </c>
      <c r="B60" s="15" t="inlineStr">
        <is>
          <t>Tài khoản &amp; Xác thực</t>
        </is>
      </c>
      <c r="C60" s="15" t="inlineStr">
        <is>
          <t>Đăng nhập</t>
        </is>
      </c>
      <c r="D60" s="15" t="inlineStr">
        <is>
          <t>Đăng nhập chuẩn hóa email: viết hoa và khoảng trắng hai đầu vẫn vào được</t>
        </is>
      </c>
      <c r="E60" s="15" t="inlineStr">
        <is>
          <t>Chức năng</t>
        </is>
      </c>
      <c r="F60" s="20" t="inlineStr">
        <is>
          <t>Trung bình</t>
        </is>
      </c>
      <c r="G60" s="17" t="inlineStr">
        <is>
          <t>Đã hoàn thiện</t>
        </is>
      </c>
      <c r="H60" s="17" t="inlineStr">
        <is>
          <t>Có</t>
        </is>
      </c>
      <c r="I60"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60" s="15" t="inlineStr">
        <is>
          <t>1. POST /api/auth/login với email '  MEMBER1@SofinHub.Test ' và mật khẩu đúng</t>
        </is>
      </c>
      <c r="K60" s="15" t="inlineStr">
        <is>
          <t>email='  MEMBER1@SofinHub.Test ', password='Passw0rd!x'</t>
        </is>
      </c>
      <c r="L60" s="15" t="inlineStr">
        <is>
          <t>HTTP 200, user.email = 'member1@sofinhub.test' (đã lowercase + trim).</t>
        </is>
      </c>
      <c r="M60" s="15" t="inlineStr"/>
      <c r="N60" s="18" t="inlineStr">
        <is>
          <t>Chưa test</t>
        </is>
      </c>
      <c r="O60" s="15" t="inlineStr"/>
      <c r="P60" s="15" t="inlineStr"/>
      <c r="Q60" s="18" t="inlineStr">
        <is>
          <t>Chưa test</t>
        </is>
      </c>
      <c r="R60" s="15" t="inlineStr"/>
    </row>
    <row r="61" ht="30" customHeight="1">
      <c r="A61" s="14" t="inlineStr">
        <is>
          <t>TC-AUTH-060</t>
        </is>
      </c>
      <c r="B61" s="15" t="inlineStr">
        <is>
          <t>Tài khoản &amp; Xác thực</t>
        </is>
      </c>
      <c r="C61" s="15" t="inlineStr">
        <is>
          <t>Đăng nhập</t>
        </is>
      </c>
      <c r="D61" s="15" t="inlineStr">
        <is>
          <t>Đăng nhập thiếu/sai định dạng trường trả lỗi validate riêng, không phải 401</t>
        </is>
      </c>
      <c r="E61" s="15" t="inlineStr">
        <is>
          <t>Chức năng</t>
        </is>
      </c>
      <c r="F61" s="20" t="inlineStr">
        <is>
          <t>Trung bình</t>
        </is>
      </c>
      <c r="G61" s="17" t="inlineStr">
        <is>
          <t>Đã hoàn thiện</t>
        </is>
      </c>
      <c r="H61" s="17" t="inlineStr">
        <is>
          <t>Có</t>
        </is>
      </c>
      <c r="I61" s="15" t="inlineStr">
        <is>
          <t>Lưu ý: /auth/login giới hạn 10 lần đăng nhập THẤT BẠI / 15 phút / IP (đăng nhập đúng không bị đếm, skipSuccessfulRequests) - khởi động lại BE trước khi chạy nhóm case đăng nhập SAI hàng loạt.</t>
        </is>
      </c>
      <c r="J61" s="15" t="inlineStr">
        <is>
          <t>1. POST /api/auth/login với email='abc', password='x'
2. POST /api/auth/login với email hợp lệ, password=''</t>
        </is>
      </c>
      <c r="K61" s="15" t="inlineStr">
        <is>
          <t>(1) email='abc'; (2) password=''</t>
        </is>
      </c>
      <c r="L61" s="15" t="inlineStr">
        <is>
          <t>(1) HTTP 400 VALIDATION_ERROR, fieldErrors.email chứa 'Email không hợp lệ'. (2) HTTP 400, fieldErrors.password chứa 'Vui lòng nhập mật khẩu'. Không phải 401.</t>
        </is>
      </c>
      <c r="M61" s="15" t="inlineStr"/>
      <c r="N61" s="18" t="inlineStr">
        <is>
          <t>Chưa test</t>
        </is>
      </c>
      <c r="O61" s="15" t="inlineStr"/>
      <c r="P61" s="15" t="inlineStr"/>
      <c r="Q61" s="18" t="inlineStr">
        <is>
          <t>Chưa test</t>
        </is>
      </c>
      <c r="R61" s="15" t="inlineStr"/>
    </row>
    <row r="62" ht="45" customHeight="1">
      <c r="A62" s="14" t="inlineStr">
        <is>
          <t>TC-AUTH-061</t>
        </is>
      </c>
      <c r="B62" s="15" t="inlineStr">
        <is>
          <t>Tài khoản &amp; Xác thực</t>
        </is>
      </c>
      <c r="C62" s="15" t="inlineStr">
        <is>
          <t>Đăng nhập</t>
        </is>
      </c>
      <c r="D62" s="15" t="inlineStr">
        <is>
          <t>Thông điệp lỗi đăng nhập giống hệt nhau cho email không tồn tại và mật khẩu sai</t>
        </is>
      </c>
      <c r="E62" s="15" t="inlineStr">
        <is>
          <t>Bảo mật</t>
        </is>
      </c>
      <c r="F62" s="16" t="inlineStr">
        <is>
          <t>Cao</t>
        </is>
      </c>
      <c r="G62" s="17" t="inlineStr">
        <is>
          <t>Đã hoàn thiện</t>
        </is>
      </c>
      <c r="H62" s="17" t="inlineStr">
        <is>
          <t>Có</t>
        </is>
      </c>
      <c r="I62"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62" s="15" t="inlineStr">
        <is>
          <t>1. POST /api/auth/login: member1@sofinhub.test + mật khẩu sai 'Sai@12345'
2. POST /api/auth/login: ghost.user@sofinhub.test + 'Passw0rd!x'
3. So sánh status và body hai response</t>
        </is>
      </c>
      <c r="K62" s="15" t="inlineStr">
        <is>
          <t>Hai cặp thông tin như trên</t>
        </is>
      </c>
      <c r="L62" s="15" t="inlineStr">
        <is>
          <t>Cả hai HTTP 401, body giống hệt: error.code=UNAUTHORIZED, message 'Email hoặc mật khẩu không đúng' (không lộ email có tồn tại).</t>
        </is>
      </c>
      <c r="M62" s="15" t="inlineStr"/>
      <c r="N62" s="18" t="inlineStr">
        <is>
          <t>Chưa test</t>
        </is>
      </c>
      <c r="O62" s="15" t="inlineStr"/>
      <c r="P62" s="15" t="inlineStr"/>
      <c r="Q62" s="18" t="inlineStr">
        <is>
          <t>Chưa test</t>
        </is>
      </c>
      <c r="R62" s="15" t="inlineStr"/>
    </row>
    <row r="63" ht="30" customHeight="1">
      <c r="A63" s="14" t="inlineStr">
        <is>
          <t>TC-AUTH-062</t>
        </is>
      </c>
      <c r="B63" s="15" t="inlineStr">
        <is>
          <t>Tài khoản &amp; Xác thực</t>
        </is>
      </c>
      <c r="C63" s="15" t="inlineStr">
        <is>
          <t>Đăng nhập</t>
        </is>
      </c>
      <c r="D63" s="15" t="inlineStr">
        <is>
          <t>Thành viên minh họa (isDemo) không đăng nhập được dù dùng mật khẩu chung</t>
        </is>
      </c>
      <c r="E63" s="15" t="inlineStr">
        <is>
          <t>Bảo mật</t>
        </is>
      </c>
      <c r="F63" s="20" t="inlineStr">
        <is>
          <t>Trung bình</t>
        </is>
      </c>
      <c r="G63" s="17" t="inlineStr">
        <is>
          <t>Đã hoàn thiện</t>
        </is>
      </c>
      <c r="H63" s="17" t="inlineStr">
        <is>
          <t>Có</t>
        </is>
      </c>
      <c r="I63" s="15" t="inlineStr">
        <is>
          <t>Seed có thành viên minh họa email seed-photo-0@demo.sofinhub.invalid (id demo-photo-0)</t>
        </is>
      </c>
      <c r="J63" s="15" t="inlineStr">
        <is>
          <t>1. POST /api/auth/login với seed-photo-0@demo.sofinhub.invalid / Passw0rd!x</t>
        </is>
      </c>
      <c r="K63" s="15" t="inlineStr">
        <is>
          <t>seed-photo-0@demo.sofinhub.invalid / Passw0rd!x</t>
        </is>
      </c>
      <c r="L63" s="15" t="inlineStr">
        <is>
          <t>HTTP 401 'Email hoặc mật khẩu không đúng' (cờ isDemo chặn login), không có accessToken, không tạo Session.</t>
        </is>
      </c>
      <c r="M63" s="15" t="inlineStr"/>
      <c r="N63" s="18" t="inlineStr">
        <is>
          <t>Chưa test</t>
        </is>
      </c>
      <c r="O63" s="15" t="inlineStr"/>
      <c r="P63" s="15" t="inlineStr"/>
      <c r="Q63" s="18" t="inlineStr">
        <is>
          <t>Chưa test</t>
        </is>
      </c>
      <c r="R63" s="15" t="inlineStr"/>
    </row>
    <row r="64" ht="45" customHeight="1">
      <c r="A64" s="14" t="inlineStr">
        <is>
          <t>TC-AUTH-063</t>
        </is>
      </c>
      <c r="B64" s="15" t="inlineStr">
        <is>
          <t>Tài khoản &amp; Xác thực</t>
        </is>
      </c>
      <c r="C64" s="15" t="inlineStr">
        <is>
          <t>Rate limit</t>
        </is>
      </c>
      <c r="D64" s="15" t="inlineStr">
        <is>
          <t>Đăng nhập SAI vượt 10 lần/15 phút/IP trả 429</t>
        </is>
      </c>
      <c r="E64" s="15" t="inlineStr">
        <is>
          <t>Bảo mật</t>
        </is>
      </c>
      <c r="F64" s="16" t="inlineStr">
        <is>
          <t>Cao</t>
        </is>
      </c>
      <c r="G64" s="17" t="inlineStr">
        <is>
          <t>Đã hoàn thiện</t>
        </is>
      </c>
      <c r="H64" s="17" t="inlineStr">
        <is>
          <t>Có</t>
        </is>
      </c>
      <c r="I64" s="15" t="inlineStr">
        <is>
          <t>BE vừa khởi động lại (bộ đếm rate limit trong bộ nhớ); NODE_ENV không phải test (limit=10)</t>
        </is>
      </c>
      <c r="J64" s="15" t="inlineStr">
        <is>
          <t>1. Gửi 10 POST /api/auth/login sai mật khẩu liên tiếp với member2@sofinhub.test
2. Gửi request thứ 11 (lần này dùng ĐÚNG mật khẩu)
3. Xem header phản hồi</t>
        </is>
      </c>
      <c r="K64" s="15" t="inlineStr">
        <is>
          <t>member2@sofinhub.test, 10 lần 'Sai@12345' rồi 1 lần 'Passw0rd!x'</t>
        </is>
      </c>
      <c r="L64"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64" s="15" t="inlineStr"/>
      <c r="N64" s="18" t="inlineStr">
        <is>
          <t>Chưa test</t>
        </is>
      </c>
      <c r="O64" s="15" t="inlineStr"/>
      <c r="P64" s="15" t="inlineStr"/>
      <c r="Q64" s="18" t="inlineStr">
        <is>
          <t>Chưa test</t>
        </is>
      </c>
      <c r="R64" s="15" t="inlineStr"/>
    </row>
    <row r="65" ht="30" customHeight="1">
      <c r="A65" s="14" t="inlineStr">
        <is>
          <t>TC-AUTH-064</t>
        </is>
      </c>
      <c r="B65" s="15" t="inlineStr">
        <is>
          <t>Tài khoản &amp; Xác thực</t>
        </is>
      </c>
      <c r="C65" s="15" t="inlineStr">
        <is>
          <t>Rate limit</t>
        </is>
      </c>
      <c r="D65" s="15" t="inlineStr">
        <is>
          <t>Bộ đếm đăng nhập chỉ tính lần thất bại: đăng nhập đúng liên tiếp không bị 429</t>
        </is>
      </c>
      <c r="E65" s="15" t="inlineStr">
        <is>
          <t>Bảo mật</t>
        </is>
      </c>
      <c r="F65" s="20" t="inlineStr">
        <is>
          <t>Trung bình</t>
        </is>
      </c>
      <c r="G65" s="17" t="inlineStr">
        <is>
          <t>Đã hoàn thiện</t>
        </is>
      </c>
      <c r="H65" s="17" t="inlineStr">
        <is>
          <t>Có</t>
        </is>
      </c>
      <c r="I65" s="15" t="inlineStr">
        <is>
          <t>BE vừa khởi động lại; loginLimiter dùng skipSuccessfulRequests (đã sửa, trước đây đếm cả lần thành công)</t>
        </is>
      </c>
      <c r="J65" s="15" t="inlineStr">
        <is>
          <t>1. Đăng nhập ĐÚNG member3@sofinhub.test 11 lần liên tiếp
2. Sau đó đăng nhập SAI 10 lần rồi lần sai thứ 11</t>
        </is>
      </c>
      <c r="K65" s="15" t="inlineStr">
        <is>
          <t>member3@sofinhub.test / Passw0rd!x x11, rồi 11 lần mật khẩu sai</t>
        </is>
      </c>
      <c r="L65" s="15" t="inlineStr">
        <is>
          <t>11 lần đúng đều HTTP 200, không 429 (lần thành công không được đếm). Chỉ ở lần SAI thứ 11 mới HTTP 429 'Đăng nhập sai quá nhiều lần, vui lòng thử lại sau ít phút'.</t>
        </is>
      </c>
      <c r="M65" s="15" t="inlineStr"/>
      <c r="N65" s="18" t="inlineStr">
        <is>
          <t>Chưa test</t>
        </is>
      </c>
      <c r="O65" s="15" t="inlineStr"/>
      <c r="P65" s="15" t="inlineStr"/>
      <c r="Q65" s="18" t="inlineStr">
        <is>
          <t>Chưa test</t>
        </is>
      </c>
      <c r="R65" s="15" t="inlineStr"/>
    </row>
    <row r="66" ht="30" customHeight="1">
      <c r="A66" s="14" t="inlineStr">
        <is>
          <t>TC-AUTH-065</t>
        </is>
      </c>
      <c r="B66" s="15" t="inlineStr">
        <is>
          <t>Tài khoản &amp; Xác thực</t>
        </is>
      </c>
      <c r="C66" s="15" t="inlineStr">
        <is>
          <t>Rate limit</t>
        </is>
      </c>
      <c r="D66" s="15" t="inlineStr">
        <is>
          <t>Sau khi bị 429 đăng nhập, đăng ký và quên mật khẩu vẫn dùng được (bộ đếm tách riêng)</t>
        </is>
      </c>
      <c r="E66" s="15" t="inlineStr">
        <is>
          <t>Chức năng</t>
        </is>
      </c>
      <c r="F66" s="17" t="inlineStr">
        <is>
          <t>Thấp</t>
        </is>
      </c>
      <c r="G66" s="17" t="inlineStr">
        <is>
          <t>Đã hoàn thiện</t>
        </is>
      </c>
      <c r="H66" s="17" t="inlineStr">
        <is>
          <t>Có</t>
        </is>
      </c>
      <c r="I66" s="15" t="inlineStr">
        <is>
          <t>IP hiện tại đã bị 429 ở /auth/login</t>
        </is>
      </c>
      <c r="J66" s="15" t="inlineStr">
        <is>
          <t>1. POST /api/auth/register với email mới
2. POST /api/auth/forgot-password với email bất kỳ hợp lệ</t>
        </is>
      </c>
      <c r="K66" s="15" t="inlineStr">
        <is>
          <t>qa.rl01@sofinhub.test</t>
        </is>
      </c>
      <c r="L66" s="15" t="inlineStr">
        <is>
          <t>Register HTTP 200; forgot-password HTTP 200 (mỗi route có instance limiter riêng).</t>
        </is>
      </c>
      <c r="M66" s="15" t="inlineStr"/>
      <c r="N66" s="18" t="inlineStr">
        <is>
          <t>Chưa test</t>
        </is>
      </c>
      <c r="O66" s="15" t="inlineStr"/>
      <c r="P66" s="15" t="inlineStr"/>
      <c r="Q66" s="18" t="inlineStr">
        <is>
          <t>Chưa test</t>
        </is>
      </c>
      <c r="R66" s="15" t="inlineStr"/>
    </row>
    <row r="67" ht="45" customHeight="1">
      <c r="A67" s="14" t="inlineStr">
        <is>
          <t>TC-AUTH-066</t>
        </is>
      </c>
      <c r="B67" s="15" t="inlineStr">
        <is>
          <t>Tài khoản &amp; Xác thực</t>
        </is>
      </c>
      <c r="C67" s="15" t="inlineStr">
        <is>
          <t>Đăng nhập</t>
        </is>
      </c>
      <c r="D67" s="15" t="inlineStr">
        <is>
          <t>UI /login: sai mật khẩu hiện thông điệp BE, nút đăng nhập bật lại</t>
        </is>
      </c>
      <c r="E67" s="15" t="inlineStr">
        <is>
          <t>Giao diện</t>
        </is>
      </c>
      <c r="F67" s="16" t="inlineStr">
        <is>
          <t>Cao</t>
        </is>
      </c>
      <c r="G67" s="17" t="inlineStr">
        <is>
          <t>Đã hoàn thiện</t>
        </is>
      </c>
      <c r="H67" s="17" t="inlineStr">
        <is>
          <t>Có</t>
        </is>
      </c>
      <c r="I67" s="15" t="inlineStr">
        <is>
          <t>Chưa đăng nhập</t>
        </is>
      </c>
      <c r="J67" s="15" t="inlineStr">
        <is>
          <t>1. Mở /login
2. Nhập member1@sofinhub.test và mật khẩu sai 'Sai@12345'
3. Bấm 'Đăng nhập'</t>
        </is>
      </c>
      <c r="K67" s="15" t="inlineStr">
        <is>
          <t>member1@sofinhub.test / Sai@12345</t>
        </is>
      </c>
      <c r="L67" s="15" t="inlineStr">
        <is>
          <t>Hiện 'Email hoặc mật khẩu không đúng'; vẫn ở /login; nút quay lại 'Đăng nhập' sau trạng thái 'Đang đăng nhập…'; không có accessToken trong bộ nhớ.</t>
        </is>
      </c>
      <c r="M67" s="15" t="inlineStr"/>
      <c r="N67" s="18" t="inlineStr">
        <is>
          <t>Chưa test</t>
        </is>
      </c>
      <c r="O67" s="15" t="inlineStr"/>
      <c r="P67" s="15" t="inlineStr"/>
      <c r="Q67" s="18" t="inlineStr">
        <is>
          <t>Chưa test</t>
        </is>
      </c>
      <c r="R67" s="15" t="inlineStr"/>
    </row>
    <row r="68" ht="30" customHeight="1">
      <c r="A68" s="14" t="inlineStr">
        <is>
          <t>TC-AUTH-067</t>
        </is>
      </c>
      <c r="B68" s="15" t="inlineStr">
        <is>
          <t>Tài khoản &amp; Xác thực</t>
        </is>
      </c>
      <c r="C68" s="15" t="inlineStr">
        <is>
          <t>Đăng nhập</t>
        </is>
      </c>
      <c r="D68" s="15" t="inlineStr">
        <is>
          <t>UI /login: validate phía FE trước khi gọi API</t>
        </is>
      </c>
      <c r="E68" s="15" t="inlineStr">
        <is>
          <t>Giao diện</t>
        </is>
      </c>
      <c r="F68" s="20" t="inlineStr">
        <is>
          <t>Trung bình</t>
        </is>
      </c>
      <c r="G68" s="17" t="inlineStr">
        <is>
          <t>Đã hoàn thiện</t>
        </is>
      </c>
      <c r="H68" s="17" t="inlineStr">
        <is>
          <t>Có</t>
        </is>
      </c>
      <c r="I68" s="15" t="inlineStr">
        <is>
          <t>Chưa đăng nhập</t>
        </is>
      </c>
      <c r="J68" s="15" t="inlineStr">
        <is>
          <t>1. Mở /login, để trống cả hai ô, bấm 'Đăng nhập'
2. Nhập email 'abc' và mật khẩu bất kỳ, bấm lại</t>
        </is>
      </c>
      <c r="K68" s="15" t="inlineStr">
        <is>
          <t>email trống / 'abc'</t>
        </is>
      </c>
      <c r="L68" s="15" t="inlineStr">
        <is>
          <t>Hiện lỗi tại ô (email trống/không hợp lệ, mật khẩu trống) và KHÔNG có request POST /api/auth/login nào được gửi (kiểm tra tab Network).</t>
        </is>
      </c>
      <c r="M68" s="15" t="inlineStr"/>
      <c r="N68" s="18" t="inlineStr">
        <is>
          <t>Chưa test</t>
        </is>
      </c>
      <c r="O68" s="15" t="inlineStr"/>
      <c r="P68" s="15" t="inlineStr"/>
      <c r="Q68" s="18" t="inlineStr">
        <is>
          <t>Chưa test</t>
        </is>
      </c>
      <c r="R68" s="15" t="inlineStr"/>
    </row>
    <row r="69" ht="45" customHeight="1">
      <c r="A69" s="14" t="inlineStr">
        <is>
          <t>TC-AUTH-068</t>
        </is>
      </c>
      <c r="B69" s="15" t="inlineStr">
        <is>
          <t>Tài khoản &amp; Xác thực</t>
        </is>
      </c>
      <c r="C69" s="15" t="inlineStr">
        <is>
          <t>Đăng nhập</t>
        </is>
      </c>
      <c r="D69" s="15" t="inlineStr">
        <is>
          <t>Đăng nhập xong quay lại đúng trang đã bị chuyển hướng</t>
        </is>
      </c>
      <c r="E69" s="15" t="inlineStr">
        <is>
          <t>Chức năng</t>
        </is>
      </c>
      <c r="F69" s="16" t="inlineStr">
        <is>
          <t>Cao</t>
        </is>
      </c>
      <c r="G69" s="17" t="inlineStr">
        <is>
          <t>Đã hoàn thiện</t>
        </is>
      </c>
      <c r="H69" s="17" t="inlineStr">
        <is>
          <t>Có</t>
        </is>
      </c>
      <c r="I69" s="15" t="inlineStr">
        <is>
          <t>Chưa đăng nhập</t>
        </is>
      </c>
      <c r="J69" s="15" t="inlineStr">
        <is>
          <t>1. Truy cập trực tiếp /settings
2. Được chuyển sang /login
3. Đăng nhập bằng member1@sofinhub.test / Passw0rd!x</t>
        </is>
      </c>
      <c r="K69" s="15" t="inlineStr">
        <is>
          <t>member1@sofinhub.test</t>
        </is>
      </c>
      <c r="L69" s="15" t="inlineStr">
        <is>
          <t>Sau đăng nhập trình duyệt ở /settings (state.from), không về trang chủ. Làm tương tự với /me/communities và /users/&lt;id&gt; đều quay về đúng trang.</t>
        </is>
      </c>
      <c r="M69" s="15" t="inlineStr"/>
      <c r="N69" s="18" t="inlineStr">
        <is>
          <t>Chưa test</t>
        </is>
      </c>
      <c r="O69" s="15" t="inlineStr"/>
      <c r="P69" s="15" t="inlineStr"/>
      <c r="Q69" s="18" t="inlineStr">
        <is>
          <t>Chưa test</t>
        </is>
      </c>
      <c r="R69" s="15" t="inlineStr"/>
    </row>
    <row r="70" ht="60" customHeight="1">
      <c r="A70" s="14" t="inlineStr">
        <is>
          <t>TC-AUTH-069</t>
        </is>
      </c>
      <c r="B70" s="15" t="inlineStr">
        <is>
          <t>Tài khoản &amp; Xác thực</t>
        </is>
      </c>
      <c r="C70" s="15" t="inlineStr">
        <is>
          <t>Đăng nhập mạng xã hội</t>
        </is>
      </c>
      <c r="D70" s="15" t="inlineStr">
        <is>
          <t>Nút Google/Facebook ở /login chỉ hiện 'Tính năng sắp ra mắt' và không gọi API</t>
        </is>
      </c>
      <c r="E70" s="15" t="inlineStr">
        <is>
          <t>Giao diện</t>
        </is>
      </c>
      <c r="F70" s="17" t="inlineStr">
        <is>
          <t>Thấp</t>
        </is>
      </c>
      <c r="G70" s="17" t="inlineStr">
        <is>
          <t>Đã hoàn thiện</t>
        </is>
      </c>
      <c r="H70" s="17" t="inlineStr">
        <is>
          <t>Có</t>
        </is>
      </c>
      <c r="I70" s="15" t="inlineStr">
        <is>
          <t>Chưa đăng nhập</t>
        </is>
      </c>
      <c r="J70" s="15" t="inlineStr">
        <is>
          <t>1. Mở /login
2. Bấm nút 'Google'
3. Bấm nút 'Facebook'
4. Xem tab Network</t>
        </is>
      </c>
      <c r="K70" s="15" t="inlineStr">
        <is>
          <t>-</t>
        </is>
      </c>
      <c r="L70" s="15" t="inlineStr">
        <is>
          <t>Dưới mỗi nút hiện dòng 'Tính năng sắp ra mắt'; không điều hướng, không có request nào tới /api/auth; người dùng vẫn là khách.</t>
        </is>
      </c>
      <c r="M70" s="15" t="inlineStr"/>
      <c r="N70" s="18" t="inlineStr">
        <is>
          <t>Chưa test</t>
        </is>
      </c>
      <c r="O70" s="15" t="inlineStr"/>
      <c r="P70" s="15" t="inlineStr"/>
      <c r="Q70" s="18" t="inlineStr">
        <is>
          <t>Chưa test</t>
        </is>
      </c>
      <c r="R70" s="15" t="inlineStr"/>
    </row>
    <row r="71" ht="30" customHeight="1">
      <c r="A71" s="14" t="inlineStr">
        <is>
          <t>TC-AUTH-070</t>
        </is>
      </c>
      <c r="B71" s="15" t="inlineStr">
        <is>
          <t>Tài khoản &amp; Xác thực</t>
        </is>
      </c>
      <c r="C71" s="15" t="inlineStr">
        <is>
          <t>Đăng nhập mạng xã hội</t>
        </is>
      </c>
      <c r="D71" s="15" t="inlineStr">
        <is>
          <t>Liên kết tài khoản khi email Google/Facebook trùng tài khoản đã đăng ký</t>
        </is>
      </c>
      <c r="E71" s="15" t="inlineStr">
        <is>
          <t>Chức năng</t>
        </is>
      </c>
      <c r="F71" s="20" t="inlineStr">
        <is>
          <t>Trung bình</t>
        </is>
      </c>
      <c r="G71" s="20" t="inlineStr">
        <is>
          <t>Kế hoạch</t>
        </is>
      </c>
      <c r="H71" s="16" t="inlineStr">
        <is>
          <t>Không</t>
        </is>
      </c>
      <c r="I71" s="15" t="inlineStr">
        <is>
          <t>Chưa làm: OAuth Google/Facebook, chưa có bảng liên kết nhà cung cấp</t>
        </is>
      </c>
      <c r="J71" s="15" t="inlineStr">
        <is>
          <t>1. Có tài khoản email/mật khẩu member1@sofinhub.test
2. Đăng nhập bằng Google có cùng email</t>
        </is>
      </c>
      <c r="K71" s="15" t="inlineStr">
        <is>
          <t>-</t>
        </is>
      </c>
      <c r="L71" s="15" t="inlineStr">
        <is>
          <t>Hệ thống nhận diện trùng email, yêu cầu xác nhận hoặc liên kết vào tài khoản hiện có, không tạo tài khoản thứ hai.</t>
        </is>
      </c>
      <c r="M71" s="15" t="inlineStr"/>
      <c r="N71" s="18" t="inlineStr">
        <is>
          <t>Chưa test</t>
        </is>
      </c>
      <c r="O71" s="15" t="inlineStr"/>
      <c r="P71" s="15" t="inlineStr"/>
      <c r="Q71" s="18" t="inlineStr">
        <is>
          <t>Chưa test</t>
        </is>
      </c>
      <c r="R71" s="15" t="inlineStr"/>
    </row>
    <row r="72" ht="45" customHeight="1">
      <c r="A72" s="14" t="inlineStr">
        <is>
          <t>TC-AUTH-071</t>
        </is>
      </c>
      <c r="B72" s="15" t="inlineStr">
        <is>
          <t>Tài khoản &amp; Xác thực</t>
        </is>
      </c>
      <c r="C72" s="15" t="inlineStr">
        <is>
          <t>Xác thực 2 lớp (2FA)</t>
        </is>
      </c>
      <c r="D72" s="15" t="inlineStr">
        <is>
          <t>Đăng nhập tài khoản đã bật 2FA phải nhập mã OTP, sai mã bị từ chối</t>
        </is>
      </c>
      <c r="E72" s="15" t="inlineStr">
        <is>
          <t>Bảo mật</t>
        </is>
      </c>
      <c r="F72" s="20" t="inlineStr">
        <is>
          <t>Trung bình</t>
        </is>
      </c>
      <c r="G72" s="20" t="inlineStr">
        <is>
          <t>Kế hoạch</t>
        </is>
      </c>
      <c r="H72" s="16" t="inlineStr">
        <is>
          <t>Không</t>
        </is>
      </c>
      <c r="I72" s="15" t="inlineStr">
        <is>
          <t>Chưa làm: 2FA (TOTP), mã khôi phục</t>
        </is>
      </c>
      <c r="J72" s="15" t="inlineStr">
        <is>
          <t>1. Bật 2FA cho owner@sofinhub.test
2. Đăng xuất, đăng nhập lại bằng mật khẩu
3. Nhập mã OTP sai rồi mã đúng</t>
        </is>
      </c>
      <c r="K72" s="15" t="inlineStr">
        <is>
          <t>-</t>
        </is>
      </c>
      <c r="L72" s="15" t="inlineStr">
        <is>
          <t>Sau mật khẩu đúng chưa cấp phiên mà yêu cầu OTP; mã sai bị từ chối, mã đúng cấp phiên; có giới hạn số lần thử.</t>
        </is>
      </c>
      <c r="M72" s="15" t="inlineStr"/>
      <c r="N72" s="18" t="inlineStr">
        <is>
          <t>Chưa test</t>
        </is>
      </c>
      <c r="O72" s="15" t="inlineStr"/>
      <c r="P72" s="15" t="inlineStr"/>
      <c r="Q72" s="18" t="inlineStr">
        <is>
          <t>Chưa test</t>
        </is>
      </c>
      <c r="R72" s="15" t="inlineStr"/>
    </row>
    <row r="73" ht="30" customHeight="1">
      <c r="A73" s="14" t="inlineStr">
        <is>
          <t>TC-AUTH-072</t>
        </is>
      </c>
      <c r="B73" s="15" t="inlineStr">
        <is>
          <t>Tài khoản &amp; Xác thực</t>
        </is>
      </c>
      <c r="C73" s="15" t="inlineStr">
        <is>
          <t>Đổi email</t>
        </is>
      </c>
      <c r="D73" s="15" t="inlineStr">
        <is>
          <t>Đổi email cần xác thực lại email mới, email cũ vẫn dùng đến khi xác nhận</t>
        </is>
      </c>
      <c r="E73" s="15" t="inlineStr">
        <is>
          <t>Chức năng</t>
        </is>
      </c>
      <c r="F73" s="20" t="inlineStr">
        <is>
          <t>Trung bình</t>
        </is>
      </c>
      <c r="G73" s="20" t="inlineStr">
        <is>
          <t>Kế hoạch</t>
        </is>
      </c>
      <c r="H73" s="16" t="inlineStr">
        <is>
          <t>Không</t>
        </is>
      </c>
      <c r="I73" s="15" t="inlineStr">
        <is>
          <t>Chưa làm: đổi email (identity.md mục 'Chưa làm')</t>
        </is>
      </c>
      <c r="J73" s="15" t="inlineStr">
        <is>
          <t>1. Vào /settings, đổi email sang địa chỉ mới
2. Mở liên kết xác thực gửi tới email mới</t>
        </is>
      </c>
      <c r="K73" s="15" t="inlineStr">
        <is>
          <t>-</t>
        </is>
      </c>
      <c r="L73" s="15" t="inlineStr">
        <is>
          <t>Email chỉ đổi sau khi xác thực email mới, các phiên cũ được xử lý theo chính sách; email cũ nhận thông báo.</t>
        </is>
      </c>
      <c r="M73" s="15" t="inlineStr"/>
      <c r="N73" s="18" t="inlineStr">
        <is>
          <t>Chưa test</t>
        </is>
      </c>
      <c r="O73" s="15" t="inlineStr"/>
      <c r="P73" s="15" t="inlineStr"/>
      <c r="Q73" s="18" t="inlineStr">
        <is>
          <t>Chưa test</t>
        </is>
      </c>
      <c r="R73" s="15" t="inlineStr"/>
    </row>
    <row r="74" ht="30" customHeight="1">
      <c r="A74" s="14" t="inlineStr">
        <is>
          <t>TC-AUTH-073</t>
        </is>
      </c>
      <c r="B74" s="15" t="inlineStr">
        <is>
          <t>Tài khoản &amp; Xác thực</t>
        </is>
      </c>
      <c r="C74" s="15" t="inlineStr">
        <is>
          <t>Đổi email</t>
        </is>
      </c>
      <c r="D74" s="15" t="inlineStr">
        <is>
          <t>Hiện tại PATCH /auth/me bỏ qua trường email (không đổi được email qua API hồ sơ)</t>
        </is>
      </c>
      <c r="E74" s="15" t="inlineStr">
        <is>
          <t>Bảo mật</t>
        </is>
      </c>
      <c r="F74" s="20" t="inlineStr">
        <is>
          <t>Trung bình</t>
        </is>
      </c>
      <c r="G74" s="17" t="inlineStr">
        <is>
          <t>Đã hoàn thiện</t>
        </is>
      </c>
      <c r="H74" s="17" t="inlineStr">
        <is>
          <t>Có</t>
        </is>
      </c>
      <c r="I74" s="15" t="inlineStr">
        <is>
          <t>Đăng nhập bằng newbie@sofinhub.test (chỉ đọc, không phá seed)</t>
        </is>
      </c>
      <c r="J74" s="15" t="inlineStr">
        <is>
          <t>1. PATCH /api/auth/me với body {"email":"hacker@evil.test","firstName":"Nam"}
2. GET /api/auth/me</t>
        </is>
      </c>
      <c r="K74" s="15" t="inlineStr">
        <is>
          <t>{"email":"hacker@evil.test","firstName":"Nam"}</t>
        </is>
      </c>
      <c r="L74" s="15" t="inlineStr">
        <is>
          <t>HTTP 200 nhưng email trong response vẫn 'newbie@sofinhub.test' (schema zod loại khóa lạ); đăng nhập bằng newbie@sofinhub.test vẫn được, hacker@evil.test không đăng nhập được.</t>
        </is>
      </c>
      <c r="M74" s="15" t="inlineStr"/>
      <c r="N74" s="18" t="inlineStr">
        <is>
          <t>Chưa test</t>
        </is>
      </c>
      <c r="O74" s="15" t="inlineStr"/>
      <c r="P74" s="15" t="inlineStr"/>
      <c r="Q74" s="18" t="inlineStr">
        <is>
          <t>Chưa test</t>
        </is>
      </c>
      <c r="R74" s="15" t="inlineStr"/>
    </row>
    <row r="75" ht="30" customHeight="1">
      <c r="A75" s="14" t="inlineStr">
        <is>
          <t>TC-AUTH-074</t>
        </is>
      </c>
      <c r="B75" s="15" t="inlineStr">
        <is>
          <t>Tài khoản &amp; Xác thực</t>
        </is>
      </c>
      <c r="C75" s="15" t="inlineStr">
        <is>
          <t>Hồ sơ cá nhân</t>
        </is>
      </c>
      <c r="D75" s="15" t="inlineStr">
        <is>
          <t>GET /auth/me của member1 trả đủ trường hồ sơ và emailVerified=true</t>
        </is>
      </c>
      <c r="E75" s="15" t="inlineStr">
        <is>
          <t>Chức năng</t>
        </is>
      </c>
      <c r="F75" s="20" t="inlineStr">
        <is>
          <t>Trung bình</t>
        </is>
      </c>
      <c r="G75" s="17" t="inlineStr">
        <is>
          <t>Đã hoàn thiện</t>
        </is>
      </c>
      <c r="H75" s="17" t="inlineStr">
        <is>
          <t>Có</t>
        </is>
      </c>
      <c r="I75" s="15" t="inlineStr">
        <is>
          <t>Đăng nhập member1@sofinhub.test</t>
        </is>
      </c>
      <c r="J75" s="15" t="inlineStr">
        <is>
          <t>1. GET /api/auth/me</t>
        </is>
      </c>
      <c r="K75" s="15" t="inlineStr">
        <is>
          <t>-</t>
        </is>
      </c>
      <c r="L75" s="15" t="inlineStr">
        <is>
          <t>HTTP 200; data gồm id, email='member1@sofinhub.test', firstName='Minh', lastName='Member1', createdAt, emailVerified=true; không có passwordHash/tokenVersion/isDemo/deletedAt.</t>
        </is>
      </c>
      <c r="M75" s="15" t="inlineStr"/>
      <c r="N75" s="18" t="inlineStr">
        <is>
          <t>Chưa test</t>
        </is>
      </c>
      <c r="O75" s="15" t="inlineStr"/>
      <c r="P75" s="15" t="inlineStr"/>
      <c r="Q75" s="18" t="inlineStr">
        <is>
          <t>Chưa test</t>
        </is>
      </c>
      <c r="R75" s="15" t="inlineStr"/>
    </row>
    <row r="76" ht="60" customHeight="1">
      <c r="A76" s="14" t="inlineStr">
        <is>
          <t>TC-AUTH-075</t>
        </is>
      </c>
      <c r="B76" s="15" t="inlineStr">
        <is>
          <t>Tài khoản &amp; Xác thực</t>
        </is>
      </c>
      <c r="C76" s="15" t="inlineStr">
        <is>
          <t>Hồ sơ cá nhân</t>
        </is>
      </c>
      <c r="D76" s="15" t="inlineStr">
        <is>
          <t>GET /auth/me với header Authorization sai dạng đều trả 401</t>
        </is>
      </c>
      <c r="E76" s="15" t="inlineStr">
        <is>
          <t>Bảo mật</t>
        </is>
      </c>
      <c r="F76" s="20" t="inlineStr">
        <is>
          <t>Trung bình</t>
        </is>
      </c>
      <c r="G76" s="17" t="inlineStr">
        <is>
          <t>Đã hoàn thiện</t>
        </is>
      </c>
      <c r="H76" s="17" t="inlineStr">
        <is>
          <t>Có</t>
        </is>
      </c>
      <c r="I76" s="15" t="inlineStr">
        <is>
          <t>Có access token hợp lệ của member1</t>
        </is>
      </c>
      <c r="J76" s="15" t="inlineStr">
        <is>
          <t>1. GET /api/auth/me không có Authorization
2. Dùng 'Authorization: Basic &lt;token&gt;'
3. Dùng 'Authorization: bearer &lt;token&gt;' (chữ thường)
4. Dùng 'Authorization: Bearer ' (rỗng)</t>
        </is>
      </c>
      <c r="K76" s="15" t="inlineStr">
        <is>
          <t>token hợp lệ nhưng sai scheme</t>
        </is>
      </c>
      <c r="L76" s="15" t="inlineStr">
        <is>
          <t>Cả 4 request HTTP 401, error.code=UNAUTHORIZED, message 'Vui lòng đăng nhập để tiếp tục' (middleware so sánh chính xác tiền tố 'Bearer ').</t>
        </is>
      </c>
      <c r="M76" s="15" t="inlineStr"/>
      <c r="N76" s="18" t="inlineStr">
        <is>
          <t>Chưa test</t>
        </is>
      </c>
      <c r="O76" s="15" t="inlineStr"/>
      <c r="P76" s="15" t="inlineStr"/>
      <c r="Q76" s="18" t="inlineStr">
        <is>
          <t>Chưa test</t>
        </is>
      </c>
      <c r="R76" s="15" t="inlineStr"/>
    </row>
    <row r="77" ht="75" customHeight="1">
      <c r="A77" s="14" t="inlineStr">
        <is>
          <t>TC-AUTH-076</t>
        </is>
      </c>
      <c r="B77" s="15" t="inlineStr">
        <is>
          <t>Tài khoản &amp; Xác thực</t>
        </is>
      </c>
      <c r="C77" s="15" t="inlineStr">
        <is>
          <t>Hồ sơ cá nhân</t>
        </is>
      </c>
      <c r="D77" s="15" t="inlineStr">
        <is>
          <t>UI /settings tab Hồ sơ: sửa đủ trường, lưu và giữ sau F5</t>
        </is>
      </c>
      <c r="E77" s="15" t="inlineStr">
        <is>
          <t>Chức năng</t>
        </is>
      </c>
      <c r="F77" s="16" t="inlineStr">
        <is>
          <t>Cao</t>
        </is>
      </c>
      <c r="G77" s="17" t="inlineStr">
        <is>
          <t>Đã hoàn thiện</t>
        </is>
      </c>
      <c r="H77" s="17" t="inlineStr">
        <is>
          <t>Có</t>
        </is>
      </c>
      <c r="I77" s="15" t="inlineStr">
        <is>
          <t>Đăng nhập bằng tài khoản mới đăng ký qa.prof01@sofinhub.test</t>
        </is>
      </c>
      <c r="J77" s="15" t="inlineStr">
        <is>
          <t>1. Mở /settings, tab 'Hồ sơ'
2. Sửa Tên 'An', Họ 'Nguyễn', Giới thiệu, Vị trí 'Hà Nội', Website 'https://example.com'
3. Bấm 'Lưu thay đổi'
4. Nhấn F5
5. Mở 'Hồ sơ của tôi' từ menu avatar</t>
        </is>
      </c>
      <c r="K77" s="15" t="inlineStr">
        <is>
          <t>bio='Xin chào SofinHub', location='Hà Nội', website='https://example.com'</t>
        </is>
      </c>
      <c r="L77" s="15" t="inlineStr">
        <is>
          <t>Hiện 'Đã lưu hồ sơ.'; Header đổi tên ngay thành 'An Nguyễn'; sau F5 giá trị vẫn giữ; trang /users/&lt;id&gt; hiển thị tên, bio, vị trí, website (mở tab mới, rel=noopener).</t>
        </is>
      </c>
      <c r="M77" s="15" t="inlineStr"/>
      <c r="N77" s="18" t="inlineStr">
        <is>
          <t>Chưa test</t>
        </is>
      </c>
      <c r="O77" s="15" t="inlineStr"/>
      <c r="P77" s="15" t="inlineStr"/>
      <c r="Q77" s="18" t="inlineStr">
        <is>
          <t>Chưa test</t>
        </is>
      </c>
      <c r="R77" s="15" t="inlineStr"/>
    </row>
    <row r="78" ht="30" customHeight="1">
      <c r="A78" s="14" t="inlineStr">
        <is>
          <t>TC-AUTH-077</t>
        </is>
      </c>
      <c r="B78" s="15" t="inlineStr">
        <is>
          <t>Tài khoản &amp; Xác thực</t>
        </is>
      </c>
      <c r="C78" s="15" t="inlineStr">
        <is>
          <t>Hồ sơ cá nhân</t>
        </is>
      </c>
      <c r="D78" s="15" t="inlineStr">
        <is>
          <t>Biên độ dài bio: 500 ký tự lưu được, 501 ký tự bị từ chối</t>
        </is>
      </c>
      <c r="E78" s="15" t="inlineStr">
        <is>
          <t>Chức năng</t>
        </is>
      </c>
      <c r="F78" s="20" t="inlineStr">
        <is>
          <t>Trung bình</t>
        </is>
      </c>
      <c r="G78" s="17" t="inlineStr">
        <is>
          <t>Đã hoàn thiện</t>
        </is>
      </c>
      <c r="H78" s="17" t="inlineStr">
        <is>
          <t>Có</t>
        </is>
      </c>
      <c r="I78" s="15" t="inlineStr">
        <is>
          <t>Đăng nhập bằng user mới đăng ký</t>
        </is>
      </c>
      <c r="J78" s="15" t="inlineStr">
        <is>
          <t>1. PATCH /api/auth/me với bio = 'x' lặp 500
2. PATCH /api/auth/me với bio = 'x' lặp 501</t>
        </is>
      </c>
      <c r="K78" s="15" t="inlineStr">
        <is>
          <t>bio 500 và 501 ký tự</t>
        </is>
      </c>
      <c r="L78" s="15" t="inlineStr">
        <is>
          <t>Lần 1 HTTP 200 (bio dài 500). Lần 2 HTTP 400 VALIDATION_ERROR, fieldErrors.bio chứa 'Giới thiệu tối đa 500 ký tự'; bio cũ không đổi.</t>
        </is>
      </c>
      <c r="M78" s="15" t="inlineStr"/>
      <c r="N78" s="18" t="inlineStr">
        <is>
          <t>Chưa test</t>
        </is>
      </c>
      <c r="O78" s="15" t="inlineStr"/>
      <c r="P78" s="15" t="inlineStr"/>
      <c r="Q78" s="18" t="inlineStr">
        <is>
          <t>Chưa test</t>
        </is>
      </c>
      <c r="R78" s="15" t="inlineStr"/>
    </row>
    <row r="79" ht="30" customHeight="1">
      <c r="A79" s="14" t="inlineStr">
        <is>
          <t>TC-AUTH-078</t>
        </is>
      </c>
      <c r="B79" s="15" t="inlineStr">
        <is>
          <t>Tài khoản &amp; Xác thực</t>
        </is>
      </c>
      <c r="C79" s="15" t="inlineStr">
        <is>
          <t>Hồ sơ cá nhân</t>
        </is>
      </c>
      <c r="D79" s="15" t="inlineStr">
        <is>
          <t>Biên độ dài vị trí: 120 ký tự OK, 121 ký tự bị từ chối</t>
        </is>
      </c>
      <c r="E79" s="15" t="inlineStr">
        <is>
          <t>Chức năng</t>
        </is>
      </c>
      <c r="F79" s="17" t="inlineStr">
        <is>
          <t>Thấp</t>
        </is>
      </c>
      <c r="G79" s="17" t="inlineStr">
        <is>
          <t>Đã hoàn thiện</t>
        </is>
      </c>
      <c r="H79" s="17" t="inlineStr">
        <is>
          <t>Có</t>
        </is>
      </c>
      <c r="I79" s="15" t="inlineStr">
        <is>
          <t>Đăng nhập bằng user mới đăng ký</t>
        </is>
      </c>
      <c r="J79" s="15" t="inlineStr">
        <is>
          <t>1. PATCH /api/auth/me với location 120 ký tự
2. PATCH /api/auth/me với location 121 ký tự</t>
        </is>
      </c>
      <c r="K79" s="15" t="inlineStr">
        <is>
          <t>location 120/121 ký tự</t>
        </is>
      </c>
      <c r="L79" s="15" t="inlineStr">
        <is>
          <t>Lần 1 HTTP 200; lần 2 HTTP 400 với 'Địa điểm tối đa 120 ký tự'.</t>
        </is>
      </c>
      <c r="M79" s="15" t="inlineStr"/>
      <c r="N79" s="18" t="inlineStr">
        <is>
          <t>Chưa test</t>
        </is>
      </c>
      <c r="O79" s="15" t="inlineStr"/>
      <c r="P79" s="15" t="inlineStr"/>
      <c r="Q79" s="18" t="inlineStr">
        <is>
          <t>Chưa test</t>
        </is>
      </c>
      <c r="R79" s="15" t="inlineStr"/>
    </row>
    <row r="80" ht="30" customHeight="1">
      <c r="A80" s="14" t="inlineStr">
        <is>
          <t>TC-AUTH-079</t>
        </is>
      </c>
      <c r="B80" s="15" t="inlineStr">
        <is>
          <t>Tài khoản &amp; Xác thực</t>
        </is>
      </c>
      <c r="C80" s="15" t="inlineStr">
        <is>
          <t>Hồ sơ cá nhân</t>
        </is>
      </c>
      <c r="D80" s="15" t="inlineStr">
        <is>
          <t>Website chỉ nhận URL http/https hợp lệ</t>
        </is>
      </c>
      <c r="E80" s="15" t="inlineStr">
        <is>
          <t>Chức năng</t>
        </is>
      </c>
      <c r="F80" s="20" t="inlineStr">
        <is>
          <t>Trung bình</t>
        </is>
      </c>
      <c r="G80" s="17" t="inlineStr">
        <is>
          <t>Đã hoàn thiện</t>
        </is>
      </c>
      <c r="H80" s="17" t="inlineStr">
        <is>
          <t>Có</t>
        </is>
      </c>
      <c r="I80" s="15" t="inlineStr">
        <is>
          <t>Đăng nhập bằng user mới đăng ký</t>
        </is>
      </c>
      <c r="J80" s="15" t="inlineStr">
        <is>
          <t>1. PATCH /api/auth/me lần lượt với website: 'ftp://example.com', 'example.com', 'javascript:alert(1)', 'http://example.com'</t>
        </is>
      </c>
      <c r="K80" s="15" t="inlineStr">
        <is>
          <t>4 giá trị website như trên</t>
        </is>
      </c>
      <c r="L80" s="15" t="inlineStr">
        <is>
          <t>3 giá trị đầu HTTP 400, fieldErrors.website chứa 'Website phải là URL http/https hợp lệ'; 'http://example.com' HTTP 200 và được lưu.</t>
        </is>
      </c>
      <c r="M80" s="15" t="inlineStr"/>
      <c r="N80" s="18" t="inlineStr">
        <is>
          <t>Chưa test</t>
        </is>
      </c>
      <c r="O80" s="15" t="inlineStr"/>
      <c r="P80" s="15" t="inlineStr"/>
      <c r="Q80" s="18" t="inlineStr">
        <is>
          <t>Chưa test</t>
        </is>
      </c>
      <c r="R80" s="15" t="inlineStr"/>
    </row>
    <row r="81" ht="30" customHeight="1">
      <c r="A81" s="14" t="inlineStr">
        <is>
          <t>TC-AUTH-080</t>
        </is>
      </c>
      <c r="B81" s="15" t="inlineStr">
        <is>
          <t>Tài khoản &amp; Xác thực</t>
        </is>
      </c>
      <c r="C81" s="15" t="inlineStr">
        <is>
          <t>Hồ sơ cá nhân</t>
        </is>
      </c>
      <c r="D81" s="15" t="inlineStr">
        <is>
          <t>avatarUrl chặn các scheme nguy hiểm và đường dẫn thoát thư mục</t>
        </is>
      </c>
      <c r="E81" s="15" t="inlineStr">
        <is>
          <t>Bảo mật</t>
        </is>
      </c>
      <c r="F81" s="16" t="inlineStr">
        <is>
          <t>Cao</t>
        </is>
      </c>
      <c r="G81" s="17" t="inlineStr">
        <is>
          <t>Đã hoàn thiện</t>
        </is>
      </c>
      <c r="H81" s="17" t="inlineStr">
        <is>
          <t>Có</t>
        </is>
      </c>
      <c r="I81" s="15" t="inlineStr">
        <is>
          <t>Đăng nhập bằng user mới đăng ký</t>
        </is>
      </c>
      <c r="J81" s="15" t="inlineStr">
        <is>
          <t>1. PATCH /api/auth/me lần lượt avatarUrl: 'javascript:alert(1)', 'data:image/png;base64,AAAA', '//evil.test/a.png', '/files/../secret', 'Javascript:alert(1)'</t>
        </is>
      </c>
      <c r="K81" s="15" t="inlineStr">
        <is>
          <t>5 giá trị avatarUrl như trên</t>
        </is>
      </c>
      <c r="L81" s="15" t="inlineStr">
        <is>
          <t>Cả 5 HTTP 400, thông điệp 'Ảnh đại diện phải là URL http/https hoặc đường dẫn /files/...'; avatarUrl hiện tại không đổi.</t>
        </is>
      </c>
      <c r="M81" s="15" t="inlineStr"/>
      <c r="N81" s="18" t="inlineStr">
        <is>
          <t>Chưa test</t>
        </is>
      </c>
      <c r="O81" s="15" t="inlineStr"/>
      <c r="P81" s="15" t="inlineStr"/>
      <c r="Q81" s="18" t="inlineStr">
        <is>
          <t>Chưa test</t>
        </is>
      </c>
      <c r="R81" s="15" t="inlineStr"/>
    </row>
    <row r="82" ht="30" customHeight="1">
      <c r="A82" s="14" t="inlineStr">
        <is>
          <t>TC-AUTH-081</t>
        </is>
      </c>
      <c r="B82" s="15" t="inlineStr">
        <is>
          <t>Tài khoản &amp; Xác thực</t>
        </is>
      </c>
      <c r="C82" s="15" t="inlineStr">
        <is>
          <t>Hồ sơ cá nhân</t>
        </is>
      </c>
      <c r="D82" s="15" t="inlineStr">
        <is>
          <t>avatarUrl chấp nhận đường dẫn /files/... và URL https</t>
        </is>
      </c>
      <c r="E82" s="15" t="inlineStr">
        <is>
          <t>Chức năng</t>
        </is>
      </c>
      <c r="F82" s="20" t="inlineStr">
        <is>
          <t>Trung bình</t>
        </is>
      </c>
      <c r="G82" s="17" t="inlineStr">
        <is>
          <t>Đã hoàn thiện</t>
        </is>
      </c>
      <c r="H82" s="17" t="inlineStr">
        <is>
          <t>Có</t>
        </is>
      </c>
      <c r="I82" s="15" t="inlineStr">
        <is>
          <t>Đăng nhập bằng user mới đăng ký</t>
        </is>
      </c>
      <c r="J82" s="15" t="inlineStr">
        <is>
          <t>1. PATCH /api/auth/me avatarUrl='/files/avatars/a.png'
2. PATCH /api/auth/me avatarUrl='https://cdn.example.com/a.png'</t>
        </is>
      </c>
      <c r="K82" s="15" t="inlineStr">
        <is>
          <t>2 giá trị hợp lệ</t>
        </is>
      </c>
      <c r="L82" s="15" t="inlineStr">
        <is>
          <t>Cả hai HTTP 200; GET /api/auth/me và GET /api/users/&lt;id&gt; trả đúng avatarUrl vừa lưu.</t>
        </is>
      </c>
      <c r="M82" s="15" t="inlineStr"/>
      <c r="N82" s="18" t="inlineStr">
        <is>
          <t>Chưa test</t>
        </is>
      </c>
      <c r="O82" s="15" t="inlineStr"/>
      <c r="P82" s="15" t="inlineStr"/>
      <c r="Q82" s="18" t="inlineStr">
        <is>
          <t>Chưa test</t>
        </is>
      </c>
      <c r="R82" s="15" t="inlineStr"/>
    </row>
    <row r="83" ht="45" customHeight="1">
      <c r="A83" s="14" t="inlineStr">
        <is>
          <t>TC-AUTH-082</t>
        </is>
      </c>
      <c r="B83" s="15" t="inlineStr">
        <is>
          <t>Tài khoản &amp; Xác thực</t>
        </is>
      </c>
      <c r="C83" s="15" t="inlineStr">
        <is>
          <t>Hồ sơ cá nhân</t>
        </is>
      </c>
      <c r="D83" s="15" t="inlineStr">
        <is>
          <t>Đường dẫn ảnh upload /api/files/&lt;key&gt; được PATCH avatarUrl chấp nhận (đã sửa lệch giữa module upload và hồ sơ)</t>
        </is>
      </c>
      <c r="E83" s="15" t="inlineStr">
        <is>
          <t>Tích hợp</t>
        </is>
      </c>
      <c r="F83" s="20" t="inlineStr">
        <is>
          <t>Trung bình</t>
        </is>
      </c>
      <c r="G83" s="17" t="inlineStr">
        <is>
          <t>Đã hoàn thiện</t>
        </is>
      </c>
      <c r="H83" s="17" t="inlineStr">
        <is>
          <t>Có</t>
        </is>
      </c>
      <c r="I83" s="15" t="inlineStr">
        <is>
          <t>Đăng nhập bằng user mới; có ảnh PNG hợp lệ &lt; 3MB</t>
        </is>
      </c>
      <c r="J83" s="15" t="inlineStr">
        <is>
          <t>1. POST /api/uploads/presign với purpose='avatar', contentType 'image/png', size hợp lệ
2. Tải ảnh lên uploadUrl trả về
3. PATCH /api/auth/me với avatarUrl = fileUrl trả về (dạng '/api/files/&lt;key&gt;')</t>
        </is>
      </c>
      <c r="K83" s="15" t="inlineStr">
        <is>
          <t>fileUrl = '/api/files/&lt;key&gt;'</t>
        </is>
      </c>
      <c r="L83"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83" s="15" t="inlineStr"/>
      <c r="N83" s="18" t="inlineStr">
        <is>
          <t>Chưa test</t>
        </is>
      </c>
      <c r="O83" s="15" t="inlineStr"/>
      <c r="P83" s="15" t="inlineStr"/>
      <c r="Q83" s="18" t="inlineStr">
        <is>
          <t>Chưa test</t>
        </is>
      </c>
      <c r="R83" s="15" t="inlineStr"/>
    </row>
    <row r="84" ht="45" customHeight="1">
      <c r="A84" s="14" t="inlineStr">
        <is>
          <t>TC-AUTH-083</t>
        </is>
      </c>
      <c r="B84" s="15" t="inlineStr">
        <is>
          <t>Tài khoản &amp; Xác thực</t>
        </is>
      </c>
      <c r="C84" s="15" t="inlineStr">
        <is>
          <t>Hồ sơ cá nhân</t>
        </is>
      </c>
      <c r="D84" s="15" t="inlineStr">
        <is>
          <t>Chuỗi rỗng hoặc null xóa trường hồ sơ; tên không xóa được</t>
        </is>
      </c>
      <c r="E84" s="15" t="inlineStr">
        <is>
          <t>Chức năng</t>
        </is>
      </c>
      <c r="F84" s="20" t="inlineStr">
        <is>
          <t>Trung bình</t>
        </is>
      </c>
      <c r="G84" s="17" t="inlineStr">
        <is>
          <t>Đã hoàn thiện</t>
        </is>
      </c>
      <c r="H84" s="17" t="inlineStr">
        <is>
          <t>Có</t>
        </is>
      </c>
      <c r="I84" s="15" t="inlineStr">
        <is>
          <t>User có bio, location, website đã lưu</t>
        </is>
      </c>
      <c r="J84" s="15" t="inlineStr">
        <is>
          <t>1. PATCH /api/auth/me {"bio":"","website":null}
2. GET /api/auth/me
3. PATCH /api/auth/me {"firstName":""}</t>
        </is>
      </c>
      <c r="K84" s="15" t="inlineStr">
        <is>
          <t>{"bio":"","website":null} rồi {"firstName":""}</t>
        </is>
      </c>
      <c r="L84" s="15" t="inlineStr">
        <is>
          <t>Lần 1 HTTP 200, response không còn bio và website (location giữ nguyên). Lần 3 HTTP 400 với 'Vui lòng nhập tên' và tên cũ không đổi.</t>
        </is>
      </c>
      <c r="M84" s="15" t="inlineStr"/>
      <c r="N84" s="18" t="inlineStr">
        <is>
          <t>Chưa test</t>
        </is>
      </c>
      <c r="O84" s="15" t="inlineStr"/>
      <c r="P84" s="15" t="inlineStr"/>
      <c r="Q84" s="18" t="inlineStr">
        <is>
          <t>Chưa test</t>
        </is>
      </c>
      <c r="R84" s="15" t="inlineStr"/>
    </row>
    <row r="85" ht="30" customHeight="1">
      <c r="A85" s="14" t="inlineStr">
        <is>
          <t>TC-AUTH-084</t>
        </is>
      </c>
      <c r="B85" s="15" t="inlineStr">
        <is>
          <t>Tài khoản &amp; Xác thực</t>
        </is>
      </c>
      <c r="C85" s="15" t="inlineStr">
        <is>
          <t>Hồ sơ cá nhân</t>
        </is>
      </c>
      <c r="D85" s="15" t="inlineStr">
        <is>
          <t>PATCH body rỗng {} giữ nguyên hồ sơ</t>
        </is>
      </c>
      <c r="E85" s="15" t="inlineStr">
        <is>
          <t>Chức năng</t>
        </is>
      </c>
      <c r="F85" s="17" t="inlineStr">
        <is>
          <t>Thấp</t>
        </is>
      </c>
      <c r="G85" s="17" t="inlineStr">
        <is>
          <t>Đã hoàn thiện</t>
        </is>
      </c>
      <c r="H85" s="17" t="inlineStr">
        <is>
          <t>Có</t>
        </is>
      </c>
      <c r="I85" s="15" t="inlineStr">
        <is>
          <t>User có hồ sơ đã điền</t>
        </is>
      </c>
      <c r="J85" s="15" t="inlineStr">
        <is>
          <t>1. PATCH /api/auth/me với body {}
2. So sánh với GET /api/auth/me trước đó</t>
        </is>
      </c>
      <c r="K85" s="15" t="inlineStr">
        <is>
          <t>{}</t>
        </is>
      </c>
      <c r="L85" s="15" t="inlineStr">
        <is>
          <t>HTTP 200, dữ liệu trả về y hệt trước khi gọi; không trường nào bị xóa.</t>
        </is>
      </c>
      <c r="M85" s="15" t="inlineStr"/>
      <c r="N85" s="18" t="inlineStr">
        <is>
          <t>Chưa test</t>
        </is>
      </c>
      <c r="O85" s="15" t="inlineStr"/>
      <c r="P85" s="15" t="inlineStr"/>
      <c r="Q85" s="18" t="inlineStr">
        <is>
          <t>Chưa test</t>
        </is>
      </c>
      <c r="R85" s="15" t="inlineStr"/>
    </row>
    <row r="86" ht="30" customHeight="1">
      <c r="A86" s="14" t="inlineStr">
        <is>
          <t>TC-AUTH-085</t>
        </is>
      </c>
      <c r="B86" s="15" t="inlineStr">
        <is>
          <t>Tài khoản &amp; Xác thực</t>
        </is>
      </c>
      <c r="C86" s="15" t="inlineStr">
        <is>
          <t>Hồ sơ cá nhân</t>
        </is>
      </c>
      <c r="D86" s="15" t="inlineStr">
        <is>
          <t>Bio chỉ gồm khoảng trắng: hành vi thực tế sau khi trim</t>
        </is>
      </c>
      <c r="E86" s="15" t="inlineStr">
        <is>
          <t>Chức năng</t>
        </is>
      </c>
      <c r="F86" s="17" t="inlineStr">
        <is>
          <t>Thấp</t>
        </is>
      </c>
      <c r="G86" s="17" t="inlineStr">
        <is>
          <t>Đã hoàn thiện</t>
        </is>
      </c>
      <c r="H86" s="17" t="inlineStr">
        <is>
          <t>Có</t>
        </is>
      </c>
      <c r="I86" s="15" t="inlineStr">
        <is>
          <t>Đăng nhập bằng user mới; bio đang có giá trị</t>
        </is>
      </c>
      <c r="J86" s="15" t="inlineStr">
        <is>
          <t>1. PATCH /api/auth/me với bio = '   ' (3 dấu cách)
2. GET /api/auth/me và mở /users/&lt;id&gt;</t>
        </is>
      </c>
      <c r="K86" s="15" t="inlineStr">
        <is>
          <t>bio='   '</t>
        </is>
      </c>
      <c r="L86"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6" s="15" t="inlineStr"/>
      <c r="N86" s="18" t="inlineStr">
        <is>
          <t>Chưa test</t>
        </is>
      </c>
      <c r="O86" s="15" t="inlineStr"/>
      <c r="P86" s="15" t="inlineStr"/>
      <c r="Q86" s="18" t="inlineStr">
        <is>
          <t>Chưa test</t>
        </is>
      </c>
      <c r="R86" s="15" t="inlineStr"/>
    </row>
    <row r="87" ht="30" customHeight="1">
      <c r="A87" s="14" t="inlineStr">
        <is>
          <t>TC-AUTH-086</t>
        </is>
      </c>
      <c r="B87" s="15" t="inlineStr">
        <is>
          <t>Tài khoản &amp; Xác thực</t>
        </is>
      </c>
      <c r="C87" s="15" t="inlineStr">
        <is>
          <t>Hồ sơ cá nhân</t>
        </is>
      </c>
      <c r="D87" s="15" t="inlineStr">
        <is>
          <t>Bio chứa HTML/script được lưu nguyên và hiển thị dạng văn bản, không thực thi</t>
        </is>
      </c>
      <c r="E87" s="15" t="inlineStr">
        <is>
          <t>Bảo mật</t>
        </is>
      </c>
      <c r="F87" s="16" t="inlineStr">
        <is>
          <t>Cao</t>
        </is>
      </c>
      <c r="G87" s="17" t="inlineStr">
        <is>
          <t>Đã hoàn thiện</t>
        </is>
      </c>
      <c r="H87" s="17" t="inlineStr">
        <is>
          <t>Có</t>
        </is>
      </c>
      <c r="I87" s="15" t="inlineStr">
        <is>
          <t>Đăng nhập bằng user mới đăng ký; member1 để xem hồ sơ</t>
        </is>
      </c>
      <c r="J87" s="15" t="inlineStr">
        <is>
          <t>1. PATCH /api/auth/me bio='&lt;img src=x onerror=alert(1)&gt;&lt;script&gt;alert(2)&lt;/script&gt;'
2. Đăng nhập member1, mở /users/&lt;id của user trên&gt;</t>
        </is>
      </c>
      <c r="K87" s="15" t="inlineStr">
        <is>
          <t>bio chứa thẻ img onerror và script</t>
        </is>
      </c>
      <c r="L87" s="15" t="inlineStr">
        <is>
          <t>PATCH HTTP 200. Trang /users/&lt;id&gt; hiển thị đúng chuỗi thẻ dưới dạng chữ; không có dialog alert, không có phần tử img/script được chèn vào DOM.</t>
        </is>
      </c>
      <c r="M87" s="15" t="inlineStr"/>
      <c r="N87" s="18" t="inlineStr">
        <is>
          <t>Chưa test</t>
        </is>
      </c>
      <c r="O87" s="15" t="inlineStr"/>
      <c r="P87" s="15" t="inlineStr"/>
      <c r="Q87" s="18" t="inlineStr">
        <is>
          <t>Chưa test</t>
        </is>
      </c>
      <c r="R87" s="15" t="inlineStr"/>
    </row>
    <row r="88" ht="30" customHeight="1">
      <c r="A88" s="14" t="inlineStr">
        <is>
          <t>TC-AUTH-087</t>
        </is>
      </c>
      <c r="B88" s="15" t="inlineStr">
        <is>
          <t>Tài khoản &amp; Xác thực</t>
        </is>
      </c>
      <c r="C88" s="15" t="inlineStr">
        <is>
          <t>Hồ sơ cá nhân</t>
        </is>
      </c>
      <c r="D88" s="15" t="inlineStr">
        <is>
          <t>Đổi tên hiển thị được phản ánh ở bài viết cũ của chính user</t>
        </is>
      </c>
      <c r="E88" s="15" t="inlineStr">
        <is>
          <t>Tích hợp</t>
        </is>
      </c>
      <c r="F88" s="20" t="inlineStr">
        <is>
          <t>Trung bình</t>
        </is>
      </c>
      <c r="G88" s="17" t="inlineStr">
        <is>
          <t>Đã hoàn thiện</t>
        </is>
      </c>
      <c r="H88" s="17" t="inlineStr">
        <is>
          <t>Có</t>
        </is>
      </c>
      <c r="I88" s="15" t="inlineStr">
        <is>
          <t>User mới đã tham gia photo (POST /api/courses/photo/enroll) và đăng 1 bài</t>
        </is>
      </c>
      <c r="J88" s="15" t="inlineStr">
        <is>
          <t>1. PATCH /api/auth/me firstName='Đổi'
2. GET /api/posts/&lt;id bài đã đăng&gt; bằng token của member1</t>
        </is>
      </c>
      <c r="K88" s="15" t="inlineStr">
        <is>
          <t>firstName='Đổi'</t>
        </is>
      </c>
      <c r="L88" s="15" t="inlineStr">
        <is>
          <t>post.author.name bắt đầu bằng 'Đổi' (tên lấy động từ bảng User, không lưu cứng vào bài).</t>
        </is>
      </c>
      <c r="M88" s="15" t="inlineStr"/>
      <c r="N88" s="18" t="inlineStr">
        <is>
          <t>Chưa test</t>
        </is>
      </c>
      <c r="O88" s="15" t="inlineStr"/>
      <c r="P88" s="15" t="inlineStr"/>
      <c r="Q88" s="18" t="inlineStr">
        <is>
          <t>Chưa test</t>
        </is>
      </c>
      <c r="R88" s="15" t="inlineStr"/>
    </row>
    <row r="89" ht="45" customHeight="1">
      <c r="A89" s="14" t="inlineStr">
        <is>
          <t>TC-AUTH-088</t>
        </is>
      </c>
      <c r="B89" s="15" t="inlineStr">
        <is>
          <t>Tài khoản &amp; Xác thực</t>
        </is>
      </c>
      <c r="C89" s="15" t="inlineStr">
        <is>
          <t>Hồ sơ cá nhân</t>
        </is>
      </c>
      <c r="D89" s="15" t="inlineStr">
        <is>
          <t>UI tab Hồ sơ: xóa trống Tên/Họ hoặc nhập website/avatar sai báo lỗi tại ô</t>
        </is>
      </c>
      <c r="E89" s="15" t="inlineStr">
        <is>
          <t>Giao diện</t>
        </is>
      </c>
      <c r="F89" s="20" t="inlineStr">
        <is>
          <t>Trung bình</t>
        </is>
      </c>
      <c r="G89" s="17" t="inlineStr">
        <is>
          <t>Đã hoàn thiện</t>
        </is>
      </c>
      <c r="H89" s="17" t="inlineStr">
        <is>
          <t>Có</t>
        </is>
      </c>
      <c r="I89" s="15" t="inlineStr">
        <is>
          <t>Đăng nhập, mở /settings</t>
        </is>
      </c>
      <c r="J89" s="15" t="inlineStr">
        <is>
          <t>1. Xóa trống ô Tên, bấm 'Lưu thay đổi'
2. Nhập Website 'abc', lưu
3. Nhập URL ảnh đại diện 'javascript:alert(1)', lưu</t>
        </is>
      </c>
      <c r="K89" s="15" t="inlineStr">
        <is>
          <t>Tên trống; website='abc'; avatar='javascript:alert(1)'</t>
        </is>
      </c>
      <c r="L89" s="15" t="inlineStr">
        <is>
          <t>Mỗi trường báo lỗi ngay dưới ô (website: phải bắt đầu bằng http://; avatar: phải là http(s) hoặc /files/...), hồ sơ không được lưu, không hiện 'Đã lưu hồ sơ.'.</t>
        </is>
      </c>
      <c r="M89" s="15" t="inlineStr"/>
      <c r="N89" s="18" t="inlineStr">
        <is>
          <t>Chưa test</t>
        </is>
      </c>
      <c r="O89" s="15" t="inlineStr"/>
      <c r="P89" s="15" t="inlineStr"/>
      <c r="Q89" s="18" t="inlineStr">
        <is>
          <t>Chưa test</t>
        </is>
      </c>
      <c r="R89" s="15" t="inlineStr"/>
    </row>
    <row r="90" ht="30" customHeight="1">
      <c r="A90" s="14" t="inlineStr">
        <is>
          <t>TC-AUTH-089</t>
        </is>
      </c>
      <c r="B90" s="15" t="inlineStr">
        <is>
          <t>Tài khoản &amp; Xác thực</t>
        </is>
      </c>
      <c r="C90" s="15" t="inlineStr">
        <is>
          <t>Hồ sơ công khai</t>
        </is>
      </c>
      <c r="D90" s="15" t="inlineStr">
        <is>
          <t>GET /users/:id không có email và chỉ liệt kê cộng đồng công khai (owner)</t>
        </is>
      </c>
      <c r="E90" s="15" t="inlineStr">
        <is>
          <t>Chức năng</t>
        </is>
      </c>
      <c r="F90" s="16" t="inlineStr">
        <is>
          <t>Cao</t>
        </is>
      </c>
      <c r="G90" s="17" t="inlineStr">
        <is>
          <t>Đã hoàn thiện</t>
        </is>
      </c>
      <c r="H90" s="17" t="inlineStr">
        <is>
          <t>Có</t>
        </is>
      </c>
      <c r="I90" s="15" t="inlineStr">
        <is>
          <t>Đăng nhập member1; biết id của owner@sofinhub.test (lấy từ GET /api/courses/photo hoặc danh sách thành viên)</t>
        </is>
      </c>
      <c r="J90" s="15" t="inlineStr">
        <is>
          <t>1. GET /api/users/&lt;ownerId&gt;
2. Rà soát toàn bộ JSON</t>
        </is>
      </c>
      <c r="K90" s="15" t="inlineStr">
        <is>
          <t>id của owner@sofinhub.test</t>
        </is>
      </c>
      <c r="L90" s="15" t="inlineStr">
        <is>
          <t>HTTP 200; data có id, name='Olivia Owner', bio, location, website, avatarUrl, joinedAt, communities[], totalPoints; KHÔNG có email/passwordHash. communities có photo, yt, fin, paid-demo (role='owner') nhưng KHÔNG có private-demo (visibility riêng tư bị ẩn).</t>
        </is>
      </c>
      <c r="M90" s="15" t="inlineStr"/>
      <c r="N90" s="18" t="inlineStr">
        <is>
          <t>Chưa test</t>
        </is>
      </c>
      <c r="O90" s="15" t="inlineStr"/>
      <c r="P90" s="15" t="inlineStr"/>
      <c r="Q90" s="18" t="inlineStr">
        <is>
          <t>Chưa test</t>
        </is>
      </c>
      <c r="R90" s="15" t="inlineStr"/>
    </row>
    <row r="91" ht="30" customHeight="1">
      <c r="A91" s="14" t="inlineStr">
        <is>
          <t>TC-AUTH-090</t>
        </is>
      </c>
      <c r="B91" s="15" t="inlineStr">
        <is>
          <t>Tài khoản &amp; Xác thực</t>
        </is>
      </c>
      <c r="C91" s="15" t="inlineStr">
        <is>
          <t>Hồ sơ công khai</t>
        </is>
      </c>
      <c r="D91" s="15" t="inlineStr">
        <is>
          <t>Người bị ban khỏi photo không thấy photo trong hồ sơ công khai của họ</t>
        </is>
      </c>
      <c r="E91" s="15" t="inlineStr">
        <is>
          <t>Chức năng</t>
        </is>
      </c>
      <c r="F91" s="20" t="inlineStr">
        <is>
          <t>Trung bình</t>
        </is>
      </c>
      <c r="G91" s="17" t="inlineStr">
        <is>
          <t>Đã hoàn thiện</t>
        </is>
      </c>
      <c r="H91" s="17" t="inlineStr">
        <is>
          <t>Có</t>
        </is>
      </c>
      <c r="I91" s="15" t="inlineStr">
        <is>
          <t>Đăng nhập member1; biết id của banned@sofinhub.test</t>
        </is>
      </c>
      <c r="J91" s="15" t="inlineStr">
        <is>
          <t>1. GET /api/users/&lt;bannedId&gt;</t>
        </is>
      </c>
      <c r="K91" s="15" t="inlineStr">
        <is>
          <t>id của banned@sofinhub.test</t>
        </is>
      </c>
      <c r="L91" s="15" t="inlineStr">
        <is>
          <t>HTTP 200, name='Bao Banned', communities KHÔNG chứa photo (listByUser loại người bị ban).</t>
        </is>
      </c>
      <c r="M91" s="15" t="inlineStr"/>
      <c r="N91" s="18" t="inlineStr">
        <is>
          <t>Chưa test</t>
        </is>
      </c>
      <c r="O91" s="15" t="inlineStr"/>
      <c r="P91" s="15" t="inlineStr"/>
      <c r="Q91" s="18" t="inlineStr">
        <is>
          <t>Chưa test</t>
        </is>
      </c>
      <c r="R91" s="15" t="inlineStr"/>
    </row>
    <row r="92" ht="30" customHeight="1">
      <c r="A92" s="14" t="inlineStr">
        <is>
          <t>TC-AUTH-091</t>
        </is>
      </c>
      <c r="B92" s="15" t="inlineStr">
        <is>
          <t>Tài khoản &amp; Xác thực</t>
        </is>
      </c>
      <c r="C92" s="15" t="inlineStr">
        <is>
          <t>Hồ sơ công khai</t>
        </is>
      </c>
      <c r="D92" s="15" t="inlineStr">
        <is>
          <t>Hồ sơ công khai yêu cầu đăng nhập; id lạ trả 404</t>
        </is>
      </c>
      <c r="E92" s="15" t="inlineStr">
        <is>
          <t>Chức năng</t>
        </is>
      </c>
      <c r="F92" s="20" t="inlineStr">
        <is>
          <t>Trung bình</t>
        </is>
      </c>
      <c r="G92" s="17" t="inlineStr">
        <is>
          <t>Đã hoàn thiện</t>
        </is>
      </c>
      <c r="H92" s="17" t="inlineStr">
        <is>
          <t>Có</t>
        </is>
      </c>
      <c r="I92" s="15" t="inlineStr">
        <is>
          <t>Có id hợp lệ của owner</t>
        </is>
      </c>
      <c r="J92" s="15" t="inlineStr">
        <is>
          <t>1. GET /api/users/&lt;ownerId&gt; không có Authorization
2. Đăng nhập member1, GET /api/users/khong-ton-tai</t>
        </is>
      </c>
      <c r="K92" s="15" t="inlineStr">
        <is>
          <t>id='khong-ton-tai'</t>
        </is>
      </c>
      <c r="L92" s="15" t="inlineStr">
        <is>
          <t>Lần 1 HTTP 401 UNAUTHORIZED. Lần 2 HTTP 404 NOT_FOUND, message 'Không tìm thấy người dùng'.</t>
        </is>
      </c>
      <c r="M92" s="15" t="inlineStr"/>
      <c r="N92" s="18" t="inlineStr">
        <is>
          <t>Chưa test</t>
        </is>
      </c>
      <c r="O92" s="15" t="inlineStr"/>
      <c r="P92" s="15" t="inlineStr"/>
      <c r="Q92" s="18" t="inlineStr">
        <is>
          <t>Chưa test</t>
        </is>
      </c>
      <c r="R92" s="15" t="inlineStr"/>
    </row>
    <row r="93" ht="30" customHeight="1">
      <c r="A93" s="14" t="inlineStr">
        <is>
          <t>TC-AUTH-092</t>
        </is>
      </c>
      <c r="B93" s="15" t="inlineStr">
        <is>
          <t>Tài khoản &amp; Xác thực</t>
        </is>
      </c>
      <c r="C93" s="15" t="inlineStr">
        <is>
          <t>Hồ sơ công khai</t>
        </is>
      </c>
      <c r="D93" s="15" t="inlineStr">
        <is>
          <t>UI /users/:id: khách bị đưa về /login; id lạ hiện trang 404 thân thiện</t>
        </is>
      </c>
      <c r="E93" s="15" t="inlineStr">
        <is>
          <t>Giao diện</t>
        </is>
      </c>
      <c r="F93" s="20" t="inlineStr">
        <is>
          <t>Trung bình</t>
        </is>
      </c>
      <c r="G93" s="17" t="inlineStr">
        <is>
          <t>Đã hoàn thiện</t>
        </is>
      </c>
      <c r="H93" s="17" t="inlineStr">
        <is>
          <t>Có</t>
        </is>
      </c>
      <c r="I93" s="15" t="inlineStr">
        <is>
          <t>Có id hợp lệ</t>
        </is>
      </c>
      <c r="J93" s="15" t="inlineStr">
        <is>
          <t>1. Chưa đăng nhập, mở /users/&lt;ownerId&gt;
2. Đăng nhập member1 rồi mở /users/khong-ton-tai</t>
        </is>
      </c>
      <c r="K93" s="15" t="inlineStr">
        <is>
          <t>-</t>
        </is>
      </c>
      <c r="L93" s="15" t="inlineStr">
        <is>
          <t>Lần 1 chuyển về /login, đăng nhập xong quay lại hồ sơ. Lần 2 hiện NotFound với nút về trang chủ.</t>
        </is>
      </c>
      <c r="M93" s="15" t="inlineStr"/>
      <c r="N93" s="18" t="inlineStr">
        <is>
          <t>Chưa test</t>
        </is>
      </c>
      <c r="O93" s="15" t="inlineStr"/>
      <c r="P93" s="15" t="inlineStr"/>
      <c r="Q93" s="18" t="inlineStr">
        <is>
          <t>Chưa test</t>
        </is>
      </c>
      <c r="R93" s="15" t="inlineStr"/>
    </row>
    <row r="94" ht="30" customHeight="1">
      <c r="A94" s="14" t="inlineStr">
        <is>
          <t>TC-AUTH-093</t>
        </is>
      </c>
      <c r="B94" s="15" t="inlineStr">
        <is>
          <t>Tài khoản &amp; Xác thực</t>
        </is>
      </c>
      <c r="C94" s="15" t="inlineStr">
        <is>
          <t>Hồ sơ công khai</t>
        </is>
      </c>
      <c r="D94" s="15" t="inlineStr">
        <is>
          <t>Nút 'Chỉnh sửa hồ sơ' chỉ có ở hồ sơ của chính mình</t>
        </is>
      </c>
      <c r="E94" s="15" t="inlineStr">
        <is>
          <t>Giao diện</t>
        </is>
      </c>
      <c r="F94" s="17" t="inlineStr">
        <is>
          <t>Thấp</t>
        </is>
      </c>
      <c r="G94" s="17" t="inlineStr">
        <is>
          <t>Đã hoàn thiện</t>
        </is>
      </c>
      <c r="H94" s="17" t="inlineStr">
        <is>
          <t>Có</t>
        </is>
      </c>
      <c r="I94" s="15" t="inlineStr">
        <is>
          <t>Đăng nhập member1</t>
        </is>
      </c>
      <c r="J94" s="15" t="inlineStr">
        <is>
          <t>1. Menu avatar &gt; 'Hồ sơ của tôi'
2. Mở hồ sơ của owner (bấm tên owner ở bảng tin/thành viên)</t>
        </is>
      </c>
      <c r="K94" s="15" t="inlineStr">
        <is>
          <t>-</t>
        </is>
      </c>
      <c r="L94" s="15" t="inlineStr">
        <is>
          <t>Hồ sơ của mình có nút 'Chỉnh sửa hồ sơ' dẫn tới /settings; hồ sơ owner không có nút.</t>
        </is>
      </c>
      <c r="M94" s="15" t="inlineStr"/>
      <c r="N94" s="18" t="inlineStr">
        <is>
          <t>Chưa test</t>
        </is>
      </c>
      <c r="O94" s="15" t="inlineStr"/>
      <c r="P94" s="15" t="inlineStr"/>
      <c r="Q94" s="18" t="inlineStr">
        <is>
          <t>Chưa test</t>
        </is>
      </c>
      <c r="R94" s="15" t="inlineStr"/>
    </row>
    <row r="95" ht="30" customHeight="1">
      <c r="A95" s="14" t="inlineStr">
        <is>
          <t>TC-AUTH-094</t>
        </is>
      </c>
      <c r="B95" s="15" t="inlineStr">
        <is>
          <t>Tài khoản &amp; Xác thực</t>
        </is>
      </c>
      <c r="C95" s="15" t="inlineStr">
        <is>
          <t>Hồ sơ công khai</t>
        </is>
      </c>
      <c r="D95" s="15" t="inlineStr">
        <is>
          <t>totalPoints của hồ sơ công khai khớp tổng điểm ở /me/points</t>
        </is>
      </c>
      <c r="E95" s="15" t="inlineStr">
        <is>
          <t>Chức năng</t>
        </is>
      </c>
      <c r="F95" s="20" t="inlineStr">
        <is>
          <t>Trung bình</t>
        </is>
      </c>
      <c r="G95" s="17" t="inlineStr">
        <is>
          <t>Đã hoàn thiện</t>
        </is>
      </c>
      <c r="H95" s="17" t="inlineStr">
        <is>
          <t>Có</t>
        </is>
      </c>
      <c r="I95" s="15" t="inlineStr">
        <is>
          <t>Đăng nhập member1 (có điểm từ seed)</t>
        </is>
      </c>
      <c r="J95" s="15" t="inlineStr">
        <is>
          <t>1. GET /api/me/points
2. GET /api/users/&lt;id member1&gt;</t>
        </is>
      </c>
      <c r="K95" s="15" t="inlineStr">
        <is>
          <t>-</t>
        </is>
      </c>
      <c r="L95" s="15" t="inlineStr">
        <is>
          <t>data.total của /me/points bằng totalPoints của hồ sơ công khai; total = tổng points của byCourse.</t>
        </is>
      </c>
      <c r="M95" s="15" t="inlineStr"/>
      <c r="N95" s="18" t="inlineStr">
        <is>
          <t>Chưa test</t>
        </is>
      </c>
      <c r="O95" s="15" t="inlineStr"/>
      <c r="P95" s="15" t="inlineStr"/>
      <c r="Q95" s="18" t="inlineStr">
        <is>
          <t>Chưa test</t>
        </is>
      </c>
      <c r="R95" s="15" t="inlineStr"/>
    </row>
    <row r="96" ht="30" customHeight="1">
      <c r="A96" s="14" t="inlineStr">
        <is>
          <t>TC-AUTH-095</t>
        </is>
      </c>
      <c r="B96" s="15" t="inlineStr">
        <is>
          <t>Tài khoản &amp; Xác thực</t>
        </is>
      </c>
      <c r="C96" s="15" t="inlineStr">
        <is>
          <t>Cộng đồng của tôi</t>
        </is>
      </c>
      <c r="D96" s="15" t="inlineStr">
        <is>
          <t>GET /me/enrollments của member1: 3 cộng đồng, vai trò member, progressPct nguyên 0-100</t>
        </is>
      </c>
      <c r="E96" s="15" t="inlineStr">
        <is>
          <t>Chức năng</t>
        </is>
      </c>
      <c r="F96" s="16" t="inlineStr">
        <is>
          <t>Cao</t>
        </is>
      </c>
      <c r="G96" s="17" t="inlineStr">
        <is>
          <t>Đã hoàn thiện</t>
        </is>
      </c>
      <c r="H96" s="17" t="inlineStr">
        <is>
          <t>Có</t>
        </is>
      </c>
      <c r="I96" s="15" t="inlineStr">
        <is>
          <t>Đăng nhập member1@sofinhub.test</t>
        </is>
      </c>
      <c r="J96" s="15" t="inlineStr">
        <is>
          <t>1. GET /api/me/enrollments</t>
        </is>
      </c>
      <c r="K96" s="15" t="inlineStr">
        <is>
          <t>-</t>
        </is>
      </c>
      <c r="L96" s="15" t="inlineStr">
        <is>
          <t>HTTP 200, mảng chứa photo, yt, fin; mỗi phần tử có course{id,title,thumbnail,category,visibility}, role='member', enrolledAt, progressPct là số nguyên 0..100 (làm tròn bài hoàn thành / tổng bài classroom).</t>
        </is>
      </c>
      <c r="M96" s="15" t="inlineStr"/>
      <c r="N96" s="18" t="inlineStr">
        <is>
          <t>Chưa test</t>
        </is>
      </c>
      <c r="O96" s="15" t="inlineStr"/>
      <c r="P96" s="15" t="inlineStr"/>
      <c r="Q96" s="18" t="inlineStr">
        <is>
          <t>Chưa test</t>
        </is>
      </c>
      <c r="R96" s="15" t="inlineStr"/>
    </row>
    <row r="97" ht="30" customHeight="1">
      <c r="A97" s="14" t="inlineStr">
        <is>
          <t>TC-AUTH-096</t>
        </is>
      </c>
      <c r="B97" s="15" t="inlineStr">
        <is>
          <t>Tài khoản &amp; Xác thực</t>
        </is>
      </c>
      <c r="C97" s="15" t="inlineStr">
        <is>
          <t>Cộng đồng của tôi</t>
        </is>
      </c>
      <c r="D97" s="15" t="inlineStr">
        <is>
          <t>Tài khoản chưa tham gia cộng đồng: API trả mảng rỗng, UI hiện trạng thái rỗng</t>
        </is>
      </c>
      <c r="E97" s="15" t="inlineStr">
        <is>
          <t>Giao diện</t>
        </is>
      </c>
      <c r="F97" s="20" t="inlineStr">
        <is>
          <t>Trung bình</t>
        </is>
      </c>
      <c r="G97" s="17" t="inlineStr">
        <is>
          <t>Đã hoàn thiện</t>
        </is>
      </c>
      <c r="H97" s="17" t="inlineStr">
        <is>
          <t>Có</t>
        </is>
      </c>
      <c r="I97" s="15" t="inlineStr">
        <is>
          <t>Đăng nhập newbie@sofinhub.test</t>
        </is>
      </c>
      <c r="J97" s="15" t="inlineStr">
        <is>
          <t>1. GET /api/me/enrollments
2. Mở /me/communities</t>
        </is>
      </c>
      <c r="K97" s="15" t="inlineStr">
        <is>
          <t>-</t>
        </is>
      </c>
      <c r="L97" s="15" t="inlineStr">
        <is>
          <t>API HTTP 200 data=[]. Trang hiện trạng thái rỗng và nút 'Khám phá cộng đồng' dẫn về trang chủ.</t>
        </is>
      </c>
      <c r="M97" s="15" t="inlineStr"/>
      <c r="N97" s="18" t="inlineStr">
        <is>
          <t>Chưa test</t>
        </is>
      </c>
      <c r="O97" s="15" t="inlineStr"/>
      <c r="P97" s="15" t="inlineStr"/>
      <c r="Q97" s="18" t="inlineStr">
        <is>
          <t>Chưa test</t>
        </is>
      </c>
      <c r="R97" s="15" t="inlineStr"/>
    </row>
    <row r="98" ht="30" customHeight="1">
      <c r="A98" s="14" t="inlineStr">
        <is>
          <t>TC-AUTH-097</t>
        </is>
      </c>
      <c r="B98" s="15" t="inlineStr">
        <is>
          <t>Tài khoản &amp; Xác thực</t>
        </is>
      </c>
      <c r="C98" s="15" t="inlineStr">
        <is>
          <t>Cộng đồng của tôi</t>
        </is>
      </c>
      <c r="D98" s="15" t="inlineStr">
        <is>
          <t>UI /me/communities hiển thị thẻ cộng đồng với vai trò, ngày tham gia và tiến độ</t>
        </is>
      </c>
      <c r="E98" s="15" t="inlineStr">
        <is>
          <t>Giao diện</t>
        </is>
      </c>
      <c r="F98" s="20" t="inlineStr">
        <is>
          <t>Trung bình</t>
        </is>
      </c>
      <c r="G98" s="17" t="inlineStr">
        <is>
          <t>Đã hoàn thiện</t>
        </is>
      </c>
      <c r="H98" s="17" t="inlineStr">
        <is>
          <t>Có</t>
        </is>
      </c>
      <c r="I98" s="15" t="inlineStr">
        <is>
          <t>Đăng nhập member1@sofinhub.test</t>
        </is>
      </c>
      <c r="J98" s="15" t="inlineStr">
        <is>
          <t>1. Mở /me/communities
2. Bấm 'Vào cộng đồng' ở thẻ photo</t>
        </is>
      </c>
      <c r="K98" s="15" t="inlineStr">
        <is>
          <t>-</t>
        </is>
      </c>
      <c r="L98" s="15" t="inlineStr">
        <is>
          <t>3 thẻ photo, yt, fin, mỗi thẻ có ảnh, tên, vai trò 'member', ngày tham gia, thanh % tiến độ khớp progressPct của API; nút dẫn tới /courses/photo/community.</t>
        </is>
      </c>
      <c r="M98" s="15" t="inlineStr"/>
      <c r="N98" s="18" t="inlineStr">
        <is>
          <t>Chưa test</t>
        </is>
      </c>
      <c r="O98" s="15" t="inlineStr"/>
      <c r="P98" s="15" t="inlineStr"/>
      <c r="Q98" s="18" t="inlineStr">
        <is>
          <t>Chưa test</t>
        </is>
      </c>
      <c r="R98" s="15" t="inlineStr"/>
    </row>
    <row r="99" ht="30" customHeight="1">
      <c r="A99" s="14" t="inlineStr">
        <is>
          <t>TC-AUTH-098</t>
        </is>
      </c>
      <c r="B99" s="15" t="inlineStr">
        <is>
          <t>Tài khoản &amp; Xác thực</t>
        </is>
      </c>
      <c r="C99" s="15" t="inlineStr">
        <is>
          <t>Cộng đồng của tôi</t>
        </is>
      </c>
      <c r="D99" s="15" t="inlineStr">
        <is>
          <t>Chủ cộng đồng thấy role='owner' ở mọi cộng đồng sở hữu</t>
        </is>
      </c>
      <c r="E99" s="15" t="inlineStr">
        <is>
          <t>Chức năng</t>
        </is>
      </c>
      <c r="F99" s="20" t="inlineStr">
        <is>
          <t>Trung bình</t>
        </is>
      </c>
      <c r="G99" s="17" t="inlineStr">
        <is>
          <t>Đã hoàn thiện</t>
        </is>
      </c>
      <c r="H99" s="17" t="inlineStr">
        <is>
          <t>Có</t>
        </is>
      </c>
      <c r="I99" s="15" t="inlineStr">
        <is>
          <t>Đăng nhập owner@sofinhub.test</t>
        </is>
      </c>
      <c r="J99" s="15" t="inlineStr">
        <is>
          <t>1. GET /api/me/enrollments</t>
        </is>
      </c>
      <c r="K99" s="15" t="inlineStr">
        <is>
          <t>-</t>
        </is>
      </c>
      <c r="L99" s="15" t="inlineStr">
        <is>
          <t>Có các mục photo, yt, fin, private-demo, paid-demo với role='owner' (theo seed).</t>
        </is>
      </c>
      <c r="M99" s="15" t="inlineStr"/>
      <c r="N99" s="18" t="inlineStr">
        <is>
          <t>Chưa test</t>
        </is>
      </c>
      <c r="O99" s="15" t="inlineStr"/>
      <c r="P99" s="15" t="inlineStr"/>
      <c r="Q99" s="18" t="inlineStr">
        <is>
          <t>Chưa test</t>
        </is>
      </c>
      <c r="R99" s="15" t="inlineStr"/>
    </row>
    <row r="100" ht="30" customHeight="1">
      <c r="A100" s="14" t="inlineStr">
        <is>
          <t>TC-AUTH-099</t>
        </is>
      </c>
      <c r="B100" s="15" t="inlineStr">
        <is>
          <t>Tài khoản &amp; Xác thực</t>
        </is>
      </c>
      <c r="C100" s="15" t="inlineStr">
        <is>
          <t>Điểm của tôi</t>
        </is>
      </c>
      <c r="D100" s="15" t="inlineStr">
        <is>
          <t>GET /me/points trả cấu trúc tổng, theo cộng đồng và tối đa 20 hoạt động gần nhất</t>
        </is>
      </c>
      <c r="E100" s="15" t="inlineStr">
        <is>
          <t>Chức năng</t>
        </is>
      </c>
      <c r="F100" s="20" t="inlineStr">
        <is>
          <t>Trung bình</t>
        </is>
      </c>
      <c r="G100" s="17" t="inlineStr">
        <is>
          <t>Đã hoàn thiện</t>
        </is>
      </c>
      <c r="H100" s="17" t="inlineStr">
        <is>
          <t>Có</t>
        </is>
      </c>
      <c r="I100" s="15" t="inlineStr">
        <is>
          <t>Đăng nhập member1 (có PointEvent từ seed photo)</t>
        </is>
      </c>
      <c r="J100" s="15" t="inlineStr">
        <is>
          <t>1. GET /api/me/points
2. Kiểm tra cấu trúc và độ dài mảng recent</t>
        </is>
      </c>
      <c r="K100" s="15" t="inlineStr">
        <is>
          <t>-</t>
        </is>
      </c>
      <c r="L100" s="15" t="inlineStr">
        <is>
          <t>HTTP 200 {total, byCourse:[{course:{id,...}, points}], recent}. recent có tối đa 20 phần tử sắp mới -&gt; cũ; total bằng tổng byCourse[].points.</t>
        </is>
      </c>
      <c r="M100" s="15" t="inlineStr"/>
      <c r="N100" s="18" t="inlineStr">
        <is>
          <t>Chưa test</t>
        </is>
      </c>
      <c r="O100" s="15" t="inlineStr"/>
      <c r="P100" s="15" t="inlineStr"/>
      <c r="Q100" s="18" t="inlineStr">
        <is>
          <t>Chưa test</t>
        </is>
      </c>
      <c r="R100" s="15" t="inlineStr"/>
    </row>
    <row r="101" ht="30" customHeight="1">
      <c r="A101" s="14" t="inlineStr">
        <is>
          <t>TC-AUTH-100</t>
        </is>
      </c>
      <c r="B101" s="15" t="inlineStr">
        <is>
          <t>Tài khoản &amp; Xác thực</t>
        </is>
      </c>
      <c r="C101" s="15" t="inlineStr">
        <is>
          <t>Điểm của tôi</t>
        </is>
      </c>
      <c r="D101" s="15" t="inlineStr">
        <is>
          <t>Tài khoản chưa có điểm trả total=0 và mảng rỗng</t>
        </is>
      </c>
      <c r="E101" s="15" t="inlineStr">
        <is>
          <t>Chức năng</t>
        </is>
      </c>
      <c r="F101" s="17" t="inlineStr">
        <is>
          <t>Thấp</t>
        </is>
      </c>
      <c r="G101" s="17" t="inlineStr">
        <is>
          <t>Đã hoàn thiện</t>
        </is>
      </c>
      <c r="H101" s="17" t="inlineStr">
        <is>
          <t>Có</t>
        </is>
      </c>
      <c r="I101" s="15" t="inlineStr">
        <is>
          <t>Đăng nhập newbie@sofinhub.test (chưa có PointEvent)</t>
        </is>
      </c>
      <c r="J101" s="15" t="inlineStr">
        <is>
          <t>1. GET /api/me/points</t>
        </is>
      </c>
      <c r="K101" s="15" t="inlineStr">
        <is>
          <t>-</t>
        </is>
      </c>
      <c r="L101" s="15" t="inlineStr">
        <is>
          <t>HTTP 200 {total:0, byCourse:[], recent:[]}.</t>
        </is>
      </c>
      <c r="M101" s="15" t="inlineStr"/>
      <c r="N101" s="18" t="inlineStr">
        <is>
          <t>Chưa test</t>
        </is>
      </c>
      <c r="O101" s="15" t="inlineStr"/>
      <c r="P101" s="15" t="inlineStr"/>
      <c r="Q101" s="18" t="inlineStr">
        <is>
          <t>Chưa test</t>
        </is>
      </c>
      <c r="R101" s="15" t="inlineStr"/>
    </row>
    <row r="102" ht="60" customHeight="1">
      <c r="A102" s="14" t="inlineStr">
        <is>
          <t>TC-AUTH-101</t>
        </is>
      </c>
      <c r="B102" s="15" t="inlineStr">
        <is>
          <t>Tài khoản &amp; Xác thực</t>
        </is>
      </c>
      <c r="C102" s="15" t="inlineStr">
        <is>
          <t>Điểm của tôi</t>
        </is>
      </c>
      <c r="D102" s="15" t="inlineStr">
        <is>
          <t>Đăng bài trong cộng đồng cộng 5 điểm và hiện ở khối 'Điểm của tôi'</t>
        </is>
      </c>
      <c r="E102" s="15" t="inlineStr">
        <is>
          <t>Tích hợp</t>
        </is>
      </c>
      <c r="F102" s="20" t="inlineStr">
        <is>
          <t>Trung bình</t>
        </is>
      </c>
      <c r="G102" s="17" t="inlineStr">
        <is>
          <t>Đã hoàn thiện</t>
        </is>
      </c>
      <c r="H102" s="17" t="inlineStr">
        <is>
          <t>Có</t>
        </is>
      </c>
      <c r="I102" s="15" t="inlineStr">
        <is>
          <t>Đăng nhập member2@sofinhub.test (thành viên photo). Ghi lại total trước khi thao tác</t>
        </is>
      </c>
      <c r="J102" s="15" t="inlineStr">
        <is>
          <t>1. GET /api/me/points lấy total_trước
2. POST /api/courses/photo/posts {"content":"Bài QA điểm"}
3. GET /api/me/points lần nữa
4. Mở /me/communities và xem khối 'Điểm của tôi'</t>
        </is>
      </c>
      <c r="K102" s="15" t="inlineStr">
        <is>
          <t>content='Bài QA điểm'</t>
        </is>
      </c>
      <c r="L102" s="15" t="inlineStr">
        <is>
          <t>total tăng đúng 5 (đăng bài +5), byCourse của photo tăng 5, recent[0] là sự kiện mới nhất; UI hiển thị số điểm mới sau khi tải lại.</t>
        </is>
      </c>
      <c r="M102" s="15" t="inlineStr"/>
      <c r="N102" s="18" t="inlineStr">
        <is>
          <t>Chưa test</t>
        </is>
      </c>
      <c r="O102" s="15" t="inlineStr"/>
      <c r="P102" s="15" t="inlineStr"/>
      <c r="Q102" s="18" t="inlineStr">
        <is>
          <t>Chưa test</t>
        </is>
      </c>
      <c r="R102" s="15" t="inlineStr"/>
    </row>
    <row r="103" ht="30" customHeight="1">
      <c r="A103" s="14" t="inlineStr">
        <is>
          <t>TC-AUTH-102</t>
        </is>
      </c>
      <c r="B103" s="15" t="inlineStr">
        <is>
          <t>Tài khoản &amp; Xác thực</t>
        </is>
      </c>
      <c r="C103" s="15" t="inlineStr">
        <is>
          <t>Quên mật khẩu</t>
        </is>
      </c>
      <c r="D103" s="15" t="inlineStr">
        <is>
          <t>Gửi yêu cầu quên mật khẩu: thư vào outbox với link 30 phút và token không lộ trong response</t>
        </is>
      </c>
      <c r="E103" s="15" t="inlineStr">
        <is>
          <t>Chức năng</t>
        </is>
      </c>
      <c r="F103" s="16" t="inlineStr">
        <is>
          <t>Cao</t>
        </is>
      </c>
      <c r="G103" s="17" t="inlineStr">
        <is>
          <t>Đã hoàn thiện</t>
        </is>
      </c>
      <c r="H103" s="17" t="inlineStr">
        <is>
          <t>Có</t>
        </is>
      </c>
      <c r="I103" s="15" t="inlineStr">
        <is>
          <t>Tài khoản mới đăng ký qa.fp01@sofinhub.test; NODE_ENV != production</t>
        </is>
      </c>
      <c r="J103" s="15" t="inlineStr">
        <is>
          <t>1. POST /api/auth/forgot-password {"email":"qa.fp01@sofinhub.test"}
2. GET /api/dev/outbox?to=qa.fp01@sofinhub.test</t>
        </is>
      </c>
      <c r="K103" s="15" t="inlineStr">
        <is>
          <t>email=qa.fp01@sofinhub.test</t>
        </is>
      </c>
      <c r="L103"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103" s="15" t="inlineStr"/>
      <c r="N103" s="18" t="inlineStr">
        <is>
          <t>Chưa test</t>
        </is>
      </c>
      <c r="O103" s="15" t="inlineStr"/>
      <c r="P103" s="15" t="inlineStr"/>
      <c r="Q103" s="18" t="inlineStr">
        <is>
          <t>Chưa test</t>
        </is>
      </c>
      <c r="R103" s="15" t="inlineStr"/>
    </row>
    <row r="104" ht="60" customHeight="1">
      <c r="A104" s="14" t="inlineStr">
        <is>
          <t>TC-AUTH-103</t>
        </is>
      </c>
      <c r="B104" s="15" t="inlineStr">
        <is>
          <t>Tài khoản &amp; Xác thực</t>
        </is>
      </c>
      <c r="C104" s="15" t="inlineStr">
        <is>
          <t>Quên mật khẩu</t>
        </is>
      </c>
      <c r="D104" s="15" t="inlineStr">
        <is>
          <t>Email không tồn tại trả đúng cùng response và không sinh thư</t>
        </is>
      </c>
      <c r="E104" s="15" t="inlineStr">
        <is>
          <t>Bảo mật</t>
        </is>
      </c>
      <c r="F104" s="16" t="inlineStr">
        <is>
          <t>Cao</t>
        </is>
      </c>
      <c r="G104" s="17" t="inlineStr">
        <is>
          <t>Đã hoàn thiện</t>
        </is>
      </c>
      <c r="H104" s="17" t="inlineStr">
        <is>
          <t>Có</t>
        </is>
      </c>
      <c r="I104" s="15" t="inlineStr">
        <is>
          <t>ghost.fp@sofinhub.test chưa đăng ký</t>
        </is>
      </c>
      <c r="J104" s="15" t="inlineStr">
        <is>
          <t>1. POST /api/auth/forgot-password với email tồn tại (member2@sofinhub.test)
2. POST với ghost.fp@sofinhub.test
3. So sánh hai body
4. GET /api/dev/outbox?to=ghost.fp@sofinhub.test</t>
        </is>
      </c>
      <c r="K104" s="15" t="inlineStr">
        <is>
          <t>2 email như trên</t>
        </is>
      </c>
      <c r="L104" s="15" t="inlineStr">
        <is>
          <t>Hai response cùng HTTP 200 và body giống hệt; outbox của ghost.fp@sofinhub.test rỗng (không lộ tài khoản có tồn tại).</t>
        </is>
      </c>
      <c r="M104" s="15" t="inlineStr"/>
      <c r="N104" s="18" t="inlineStr">
        <is>
          <t>Chưa test</t>
        </is>
      </c>
      <c r="O104" s="15" t="inlineStr"/>
      <c r="P104" s="15" t="inlineStr"/>
      <c r="Q104" s="18" t="inlineStr">
        <is>
          <t>Chưa test</t>
        </is>
      </c>
      <c r="R104" s="15" t="inlineStr"/>
    </row>
    <row r="105" ht="45" customHeight="1">
      <c r="A105" s="14" t="inlineStr">
        <is>
          <t>TC-AUTH-104</t>
        </is>
      </c>
      <c r="B105" s="15" t="inlineStr">
        <is>
          <t>Tài khoản &amp; Xác thực</t>
        </is>
      </c>
      <c r="C105" s="15" t="inlineStr">
        <is>
          <t>Quên mật khẩu</t>
        </is>
      </c>
      <c r="D105" s="15" t="inlineStr">
        <is>
          <t>Email sai định dạng hoặc rỗng trả 400</t>
        </is>
      </c>
      <c r="E105" s="15" t="inlineStr">
        <is>
          <t>Chức năng</t>
        </is>
      </c>
      <c r="F105" s="20" t="inlineStr">
        <is>
          <t>Trung bình</t>
        </is>
      </c>
      <c r="G105" s="17" t="inlineStr">
        <is>
          <t>Đã hoàn thiện</t>
        </is>
      </c>
      <c r="H105" s="17" t="inlineStr">
        <is>
          <t>Có</t>
        </is>
      </c>
      <c r="I105" s="15" t="inlineStr">
        <is>
          <t>-</t>
        </is>
      </c>
      <c r="J105" s="15" t="inlineStr">
        <is>
          <t>1. POST /api/auth/forgot-password {"email":"abc"}
2. POST với {"email":""}
3. POST với {}</t>
        </is>
      </c>
      <c r="K105" s="15" t="inlineStr">
        <is>
          <t>abc / '' / thiếu</t>
        </is>
      </c>
      <c r="L105" s="15" t="inlineStr">
        <is>
          <t>Cả ba HTTP 400 VALIDATION_ERROR (fieldErrors.email); không có thư nào được gửi.</t>
        </is>
      </c>
      <c r="M105" s="15" t="inlineStr"/>
      <c r="N105" s="18" t="inlineStr">
        <is>
          <t>Chưa test</t>
        </is>
      </c>
      <c r="O105" s="15" t="inlineStr"/>
      <c r="P105" s="15" t="inlineStr"/>
      <c r="Q105" s="18" t="inlineStr">
        <is>
          <t>Chưa test</t>
        </is>
      </c>
      <c r="R105" s="15" t="inlineStr"/>
    </row>
    <row r="106" ht="30" customHeight="1">
      <c r="A106" s="14" t="inlineStr">
        <is>
          <t>TC-AUTH-105</t>
        </is>
      </c>
      <c r="B106" s="15" t="inlineStr">
        <is>
          <t>Tài khoản &amp; Xác thực</t>
        </is>
      </c>
      <c r="C106" s="15" t="inlineStr">
        <is>
          <t>Quên mật khẩu</t>
        </is>
      </c>
      <c r="D106" s="15" t="inlineStr">
        <is>
          <t>Email nhập chữ hoa vẫn gửi thư tới địa chỉ chuẩn hóa</t>
        </is>
      </c>
      <c r="E106" s="15" t="inlineStr">
        <is>
          <t>Chức năng</t>
        </is>
      </c>
      <c r="F106" s="17" t="inlineStr">
        <is>
          <t>Thấp</t>
        </is>
      </c>
      <c r="G106" s="17" t="inlineStr">
        <is>
          <t>Đã hoàn thiện</t>
        </is>
      </c>
      <c r="H106" s="17" t="inlineStr">
        <is>
          <t>Có</t>
        </is>
      </c>
      <c r="I106" s="15" t="inlineStr">
        <is>
          <t>Seed member3@sofinhub.test</t>
        </is>
      </c>
      <c r="J106" s="15" t="inlineStr">
        <is>
          <t>1. POST /api/auth/forgot-password {"email":" MEMBER3@SOFINHUB.TEST "}
2. GET /api/dev/outbox?to=member3@sofinhub.test</t>
        </is>
      </c>
      <c r="K106" s="15" t="inlineStr">
        <is>
          <t>email=' MEMBER3@SOFINHUB.TEST '</t>
        </is>
      </c>
      <c r="L106" s="15" t="inlineStr">
        <is>
          <t>Outbox của member3@sofinhub.test có thêm 1 thư 'Đặt lại mật khẩu SofinHub' (email đã trim + lowercase).</t>
        </is>
      </c>
      <c r="M106" s="15" t="inlineStr"/>
      <c r="N106" s="18" t="inlineStr">
        <is>
          <t>Chưa test</t>
        </is>
      </c>
      <c r="O106" s="15" t="inlineStr"/>
      <c r="P106" s="15" t="inlineStr"/>
      <c r="Q106" s="18" t="inlineStr">
        <is>
          <t>Chưa test</t>
        </is>
      </c>
      <c r="R106" s="15" t="inlineStr"/>
    </row>
    <row r="107" ht="45" customHeight="1">
      <c r="A107" s="14" t="inlineStr">
        <is>
          <t>TC-AUTH-106</t>
        </is>
      </c>
      <c r="B107" s="15" t="inlineStr">
        <is>
          <t>Tài khoản &amp; Xác thực</t>
        </is>
      </c>
      <c r="C107" s="15" t="inlineStr">
        <is>
          <t>Quên mật khẩu</t>
        </is>
      </c>
      <c r="D107" s="15" t="inlineStr">
        <is>
          <t>Yêu cầu lần 2 làm vô hiệu link đã gửi lần 1</t>
        </is>
      </c>
      <c r="E107" s="15" t="inlineStr">
        <is>
          <t>Bảo mật</t>
        </is>
      </c>
      <c r="F107" s="16" t="inlineStr">
        <is>
          <t>Cao</t>
        </is>
      </c>
      <c r="G107" s="17" t="inlineStr">
        <is>
          <t>Đã hoàn thiện</t>
        </is>
      </c>
      <c r="H107" s="17" t="inlineStr">
        <is>
          <t>Có</t>
        </is>
      </c>
      <c r="I107" s="15" t="inlineStr">
        <is>
          <t>Tài khoản mới qa.fp02@sofinhub.test</t>
        </is>
      </c>
      <c r="J107" s="15" t="inlineStr">
        <is>
          <t>1. Gửi forgot-password 2 lần cho qa.fp02@sofinhub.test, lấy token1 (thư đầu) và token2 (thư sau) từ outbox
2. POST /api/auth/reset-password với token1 và mật khẩu mới 'NewPass1!'
3. POST /api/auth/reset-password với token2</t>
        </is>
      </c>
      <c r="K107" s="15" t="inlineStr">
        <is>
          <t>token1, token2, password 'NewPass1!'</t>
        </is>
      </c>
      <c r="L107" s="15" t="inlineStr">
        <is>
          <t>token1: HTTP 400 BAD_REQUEST 'Liên kết đặt lại mật khẩu không hợp lệ hoặc đã hết hạn' (upsert unique (userId,purpose) ghi đè). token2: HTTP 200.</t>
        </is>
      </c>
      <c r="M107" s="15" t="inlineStr"/>
      <c r="N107" s="18" t="inlineStr">
        <is>
          <t>Chưa test</t>
        </is>
      </c>
      <c r="O107" s="15" t="inlineStr"/>
      <c r="P107" s="15" t="inlineStr"/>
      <c r="Q107" s="18" t="inlineStr">
        <is>
          <t>Chưa test</t>
        </is>
      </c>
      <c r="R107" s="15" t="inlineStr"/>
    </row>
    <row r="108" ht="30" customHeight="1">
      <c r="A108" s="14" t="inlineStr">
        <is>
          <t>TC-AUTH-107</t>
        </is>
      </c>
      <c r="B108" s="15" t="inlineStr">
        <is>
          <t>Tài khoản &amp; Xác thực</t>
        </is>
      </c>
      <c r="C108" s="15" t="inlineStr">
        <is>
          <t>Rate limit</t>
        </is>
      </c>
      <c r="D108" s="15" t="inlineStr">
        <is>
          <t>Quên mật khẩu vượt 5 request/15 phút/IP trả 429</t>
        </is>
      </c>
      <c r="E108" s="15" t="inlineStr">
        <is>
          <t>Bảo mật</t>
        </is>
      </c>
      <c r="F108" s="16" t="inlineStr">
        <is>
          <t>Cao</t>
        </is>
      </c>
      <c r="G108" s="17" t="inlineStr">
        <is>
          <t>Đã hoàn thiện</t>
        </is>
      </c>
      <c r="H108" s="17" t="inlineStr">
        <is>
          <t>Có</t>
        </is>
      </c>
      <c r="I108" s="15" t="inlineStr">
        <is>
          <t>BE vừa khởi động lại; NODE_ENV != test</t>
        </is>
      </c>
      <c r="J108" s="15" t="inlineStr">
        <is>
          <t>1. Gửi 5 POST /api/auth/forgot-password (bất kỳ email hợp lệ, có thể khác nhau)
2. Gửi request thứ 6</t>
        </is>
      </c>
      <c r="K108" s="15" t="inlineStr">
        <is>
          <t>5 email khác nhau rồi 1 email thứ 6</t>
        </is>
      </c>
      <c r="L108" s="15" t="inlineStr">
        <is>
          <t>5 request đầu HTTP 200; request thứ 6 HTTP 429 TOO_MANY_REQUESTS, message 'Bạn yêu cầu quá nhiều lần, vui lòng thử lại sau ít phút'. Bộ đếm theo IP, không theo email.</t>
        </is>
      </c>
      <c r="M108" s="15" t="inlineStr"/>
      <c r="N108" s="18" t="inlineStr">
        <is>
          <t>Chưa test</t>
        </is>
      </c>
      <c r="O108" s="15" t="inlineStr"/>
      <c r="P108" s="15" t="inlineStr"/>
      <c r="Q108" s="18" t="inlineStr">
        <is>
          <t>Chưa test</t>
        </is>
      </c>
      <c r="R108" s="15" t="inlineStr"/>
    </row>
    <row r="109" ht="60" customHeight="1">
      <c r="A109" s="14" t="inlineStr">
        <is>
          <t>TC-AUTH-108</t>
        </is>
      </c>
      <c r="B109" s="15" t="inlineStr">
        <is>
          <t>Tài khoản &amp; Xác thực</t>
        </is>
      </c>
      <c r="C109" s="15" t="inlineStr">
        <is>
          <t>Đặt lại mật khẩu</t>
        </is>
      </c>
      <c r="D109" s="15" t="inlineStr">
        <is>
          <t>Đặt lại thành công: đăng nhập mật khẩu mới được, mật khẩu cũ bị từ chối, cookie refresh bị xóa</t>
        </is>
      </c>
      <c r="E109" s="15" t="inlineStr">
        <is>
          <t>Chức năng</t>
        </is>
      </c>
      <c r="F109" s="16" t="inlineStr">
        <is>
          <t>Cao</t>
        </is>
      </c>
      <c r="G109" s="17" t="inlineStr">
        <is>
          <t>Đã hoàn thiện</t>
        </is>
      </c>
      <c r="H109" s="17" t="inlineStr">
        <is>
          <t>Có</t>
        </is>
      </c>
      <c r="I109" s="15" t="inlineStr">
        <is>
          <t>Tài khoản qa.rp01@sofinhub.test (mật khẩu 'Matkhau@123') đã yêu cầu forgot-password, có token</t>
        </is>
      </c>
      <c r="J109" s="15" t="inlineStr">
        <is>
          <t>1. POST /api/auth/reset-password {token, password:'Reset1234!'}
2. Xem header Set-Cookie
3. Đăng nhập bằng mật khẩu cũ
4. Đăng nhập bằng mật khẩu mới</t>
        </is>
      </c>
      <c r="K109" s="15" t="inlineStr">
        <is>
          <t>password mới 'Reset1234!'</t>
        </is>
      </c>
      <c r="L109" s="15" t="inlineStr">
        <is>
          <t>Reset HTTP 200 message 'Đặt lại mật khẩu thành công, vui lòng đăng nhập lại' và Set-Cookie xóa refresh_token. Đăng nhập mật khẩu cũ 401; mật khẩu mới 200.</t>
        </is>
      </c>
      <c r="M109" s="15" t="inlineStr"/>
      <c r="N109" s="18" t="inlineStr">
        <is>
          <t>Chưa test</t>
        </is>
      </c>
      <c r="O109" s="15" t="inlineStr"/>
      <c r="P109" s="15" t="inlineStr"/>
      <c r="Q109" s="18" t="inlineStr">
        <is>
          <t>Chưa test</t>
        </is>
      </c>
      <c r="R109" s="15" t="inlineStr"/>
    </row>
    <row r="110" ht="30" customHeight="1">
      <c r="A110" s="14" t="inlineStr">
        <is>
          <t>TC-AUTH-109</t>
        </is>
      </c>
      <c r="B110" s="15" t="inlineStr">
        <is>
          <t>Tài khoản &amp; Xác thực</t>
        </is>
      </c>
      <c r="C110" s="15" t="inlineStr">
        <is>
          <t>Đặt lại mật khẩu</t>
        </is>
      </c>
      <c r="D110" s="15" t="inlineStr">
        <is>
          <t>Token đã dùng rồi không dùng lại được</t>
        </is>
      </c>
      <c r="E110" s="15" t="inlineStr">
        <is>
          <t>Bảo mật</t>
        </is>
      </c>
      <c r="F110" s="16" t="inlineStr">
        <is>
          <t>Cao</t>
        </is>
      </c>
      <c r="G110" s="17" t="inlineStr">
        <is>
          <t>Đã hoàn thiện</t>
        </is>
      </c>
      <c r="H110" s="17" t="inlineStr">
        <is>
          <t>Có</t>
        </is>
      </c>
      <c r="I110" s="15" t="inlineStr">
        <is>
          <t>Đã reset thành công bằng token T ở case trước</t>
        </is>
      </c>
      <c r="J110" s="15" t="inlineStr">
        <is>
          <t>1. POST /api/auth/reset-password lần 2 với cùng token T và mật khẩu khác 'Another1!'</t>
        </is>
      </c>
      <c r="K110" s="15" t="inlineStr">
        <is>
          <t>token T đã dùng</t>
        </is>
      </c>
      <c r="L110" s="15" t="inlineStr">
        <is>
          <t>HTTP 400 BAD_REQUEST 'Liên kết đặt lại mật khẩu không hợp lệ hoặc đã hết hạn'; mật khẩu vẫn là 'Reset1234!'.</t>
        </is>
      </c>
      <c r="M110" s="15" t="inlineStr"/>
      <c r="N110" s="18" t="inlineStr">
        <is>
          <t>Chưa test</t>
        </is>
      </c>
      <c r="O110" s="15" t="inlineStr"/>
      <c r="P110" s="15" t="inlineStr"/>
      <c r="Q110" s="18" t="inlineStr">
        <is>
          <t>Chưa test</t>
        </is>
      </c>
      <c r="R110" s="15" t="inlineStr"/>
    </row>
    <row r="111" ht="45" customHeight="1">
      <c r="A111" s="14" t="inlineStr">
        <is>
          <t>TC-AUTH-110</t>
        </is>
      </c>
      <c r="B111" s="15" t="inlineStr">
        <is>
          <t>Tài khoản &amp; Xác thực</t>
        </is>
      </c>
      <c r="C111" s="15" t="inlineStr">
        <is>
          <t>Đặt lại mật khẩu</t>
        </is>
      </c>
      <c r="D111" s="15" t="inlineStr">
        <is>
          <t>Token giả, rỗng hoặc quá dài bị từ chối với mã lỗi khác nhau</t>
        </is>
      </c>
      <c r="E111" s="15" t="inlineStr">
        <is>
          <t>Bảo mật</t>
        </is>
      </c>
      <c r="F111" s="20" t="inlineStr">
        <is>
          <t>Trung bình</t>
        </is>
      </c>
      <c r="G111" s="17" t="inlineStr">
        <is>
          <t>Đã hoàn thiện</t>
        </is>
      </c>
      <c r="H111" s="17" t="inlineStr">
        <is>
          <t>Có</t>
        </is>
      </c>
      <c r="I111" s="15" t="inlineStr">
        <is>
          <t>-</t>
        </is>
      </c>
      <c r="J111" s="15" t="inlineStr">
        <is>
          <t>1. POST /api/auth/reset-password token='fake'
2. POST với token=''
3. POST với token là chuỗi 201 ký tự</t>
        </is>
      </c>
      <c r="K111" s="15" t="inlineStr">
        <is>
          <t>fake / '' / 'a'*201, password 'Reset1234!'</t>
        </is>
      </c>
      <c r="L111" s="15" t="inlineStr">
        <is>
          <t>'fake': HTTP 400 BAD_REQUEST 'Liên kết đặt lại mật khẩu không hợp lệ hoặc đã hết hạn'. '': HTTP 400 VALIDATION_ERROR (Thiếu mã đặt lại mật khẩu). 201 ký tự: HTTP 400 VALIDATION_ERROR (max 200).</t>
        </is>
      </c>
      <c r="M111" s="15" t="inlineStr"/>
      <c r="N111" s="18" t="inlineStr">
        <is>
          <t>Chưa test</t>
        </is>
      </c>
      <c r="O111" s="15" t="inlineStr"/>
      <c r="P111" s="15" t="inlineStr"/>
      <c r="Q111" s="18" t="inlineStr">
        <is>
          <t>Chưa test</t>
        </is>
      </c>
      <c r="R111" s="15" t="inlineStr"/>
    </row>
    <row r="112" ht="30" customHeight="1">
      <c r="A112" s="14" t="inlineStr">
        <is>
          <t>TC-AUTH-111</t>
        </is>
      </c>
      <c r="B112" s="15" t="inlineStr">
        <is>
          <t>Tài khoản &amp; Xác thực</t>
        </is>
      </c>
      <c r="C112" s="15" t="inlineStr">
        <is>
          <t>Đặt lại mật khẩu</t>
        </is>
      </c>
      <c r="D112" s="15" t="inlineStr">
        <is>
          <t>Mật khẩu yếu bị từ chối và KHÔNG làm cháy token; dùng lại token với mật khẩu mạnh thành công</t>
        </is>
      </c>
      <c r="E112" s="15" t="inlineStr">
        <is>
          <t>Chức năng</t>
        </is>
      </c>
      <c r="F112" s="16" t="inlineStr">
        <is>
          <t>Cao</t>
        </is>
      </c>
      <c r="G112" s="17" t="inlineStr">
        <is>
          <t>Đã hoàn thiện</t>
        </is>
      </c>
      <c r="H112" s="17" t="inlineStr">
        <is>
          <t>Có</t>
        </is>
      </c>
      <c r="I112" s="15" t="inlineStr">
        <is>
          <t>Tài khoản qa.rp02@sofinhub.test có token reset còn hạn</t>
        </is>
      </c>
      <c r="J112" s="15" t="inlineStr">
        <is>
          <t>1. POST /api/auth/reset-password token + password='yeu'
2. POST lại cùng token + password='Manh@1234'</t>
        </is>
      </c>
      <c r="K112" s="15" t="inlineStr">
        <is>
          <t>'yeu' rồi 'Manh@1234'</t>
        </is>
      </c>
      <c r="L112" s="15" t="inlineStr">
        <is>
          <t>Lần 1 HTTP 400 VALIDATION_ERROR (validate trước khi tiêu thụ token). Lần 2 HTTP 200.</t>
        </is>
      </c>
      <c r="M112" s="15" t="inlineStr"/>
      <c r="N112" s="18" t="inlineStr">
        <is>
          <t>Chưa test</t>
        </is>
      </c>
      <c r="O112" s="15" t="inlineStr"/>
      <c r="P112" s="15" t="inlineStr"/>
      <c r="Q112" s="18" t="inlineStr">
        <is>
          <t>Chưa test</t>
        </is>
      </c>
      <c r="R112" s="15" t="inlineStr"/>
    </row>
    <row r="113" ht="30" customHeight="1">
      <c r="A113" s="14" t="inlineStr">
        <is>
          <t>TC-AUTH-112</t>
        </is>
      </c>
      <c r="B113" s="15" t="inlineStr">
        <is>
          <t>Tài khoản &amp; Xác thực</t>
        </is>
      </c>
      <c r="C113" s="15" t="inlineStr">
        <is>
          <t>Đặt lại mật khẩu</t>
        </is>
      </c>
      <c r="D113" s="15" t="inlineStr">
        <is>
          <t>Token xác thực email dùng nhầm ở /reset-password bị từ chối và bị tiêu hủy</t>
        </is>
      </c>
      <c r="E113" s="15" t="inlineStr">
        <is>
          <t>Bảo mật</t>
        </is>
      </c>
      <c r="F113" s="20" t="inlineStr">
        <is>
          <t>Trung bình</t>
        </is>
      </c>
      <c r="G113" s="17" t="inlineStr">
        <is>
          <t>Đã hoàn thiện</t>
        </is>
      </c>
      <c r="H113" s="17" t="inlineStr">
        <is>
          <t>Có</t>
        </is>
      </c>
      <c r="I113" s="15" t="inlineStr">
        <is>
          <t>Tài khoản mới qa.rp03@sofinhub.test đã POST /auth/send-verification, có token verify V trong outbox</t>
        </is>
      </c>
      <c r="J113" s="15" t="inlineStr">
        <is>
          <t>1. POST /api/auth/reset-password token=V, password 'Reset1234!'
2. POST /api/auth/verify-email token=V</t>
        </is>
      </c>
      <c r="K113" s="15" t="inlineStr">
        <is>
          <t>token verify-email V</t>
        </is>
      </c>
      <c r="L113"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13" s="15" t="inlineStr"/>
      <c r="N113" s="18" t="inlineStr">
        <is>
          <t>Chưa test</t>
        </is>
      </c>
      <c r="O113" s="15" t="inlineStr"/>
      <c r="P113" s="15" t="inlineStr"/>
      <c r="Q113" s="18" t="inlineStr">
        <is>
          <t>Chưa test</t>
        </is>
      </c>
      <c r="R113" s="15" t="inlineStr"/>
    </row>
    <row r="114" ht="45" customHeight="1">
      <c r="A114" s="14" t="inlineStr">
        <is>
          <t>TC-AUTH-113</t>
        </is>
      </c>
      <c r="B114" s="15" t="inlineStr">
        <is>
          <t>Tài khoản &amp; Xác thực</t>
        </is>
      </c>
      <c r="C114" s="15" t="inlineStr">
        <is>
          <t>Đặt lại mật khẩu</t>
        </is>
      </c>
      <c r="D114" s="15" t="inlineStr">
        <is>
          <t>Token reset hết hạn sau 30 phút bị từ chối</t>
        </is>
      </c>
      <c r="E114" s="15" t="inlineStr">
        <is>
          <t>Bảo mật</t>
        </is>
      </c>
      <c r="F114" s="16" t="inlineStr">
        <is>
          <t>Cao</t>
        </is>
      </c>
      <c r="G114" s="17" t="inlineStr">
        <is>
          <t>Đã hoàn thiện</t>
        </is>
      </c>
      <c r="H114" s="16" t="inlineStr">
        <is>
          <t>Không</t>
        </is>
      </c>
      <c r="I114" s="15" t="inlineStr">
        <is>
          <t>Có token reset; quyền sửa DB test hoặc chỉnh đồng hồ máy chủ</t>
        </is>
      </c>
      <c r="J114" s="15" t="inlineStr">
        <is>
          <t>1. Yêu cầu forgot-password cho qa.rp04@sofinhub.test
2. UPDATE "OneTimeToken" SET "expiresAt" = now() - interval '1 minute' WHERE purpose = reset của user đó (hoặc chờ &gt;30 phút)
3. POST /api/auth/reset-password với token</t>
        </is>
      </c>
      <c r="K114" s="15" t="inlineStr">
        <is>
          <t>TTL reset = 30 phút</t>
        </is>
      </c>
      <c r="L114" s="15" t="inlineStr">
        <is>
          <t>HTTP 400 'Liên kết đặt lại mật khẩu không hợp lệ hoặc đã hết hạn'; mật khẩu cũ vẫn dùng được. Token hết hạn cũng bị xóa khỏi bảng.</t>
        </is>
      </c>
      <c r="M114" s="15" t="inlineStr"/>
      <c r="N114" s="18" t="inlineStr">
        <is>
          <t>Chưa test</t>
        </is>
      </c>
      <c r="O114" s="15" t="inlineStr"/>
      <c r="P114" s="15" t="inlineStr"/>
      <c r="Q114" s="18" t="inlineStr">
        <is>
          <t>Chưa test</t>
        </is>
      </c>
      <c r="R114" s="15" t="inlineStr"/>
    </row>
    <row r="115" ht="60" customHeight="1">
      <c r="A115" s="14" t="inlineStr">
        <is>
          <t>TC-AUTH-114</t>
        </is>
      </c>
      <c r="B115" s="15" t="inlineStr">
        <is>
          <t>Tài khoản &amp; Xác thực</t>
        </is>
      </c>
      <c r="C115" s="15" t="inlineStr">
        <is>
          <t>Đặt lại mật khẩu</t>
        </is>
      </c>
      <c r="D115" s="15" t="inlineStr">
        <is>
          <t>UI /reset-password: mật khẩu yếu/không khớp báo lỗi, thành công thì token dùng lại ra trang 'Liên kết không hợp lệ'</t>
        </is>
      </c>
      <c r="E115" s="15" t="inlineStr">
        <is>
          <t>Giao diện</t>
        </is>
      </c>
      <c r="F115" s="16" t="inlineStr">
        <is>
          <t>Cao</t>
        </is>
      </c>
      <c r="G115" s="17" t="inlineStr">
        <is>
          <t>Đã hoàn thiện</t>
        </is>
      </c>
      <c r="H115" s="17" t="inlineStr">
        <is>
          <t>Có</t>
        </is>
      </c>
      <c r="I115" s="15" t="inlineStr">
        <is>
          <t>Có link reset lấy từ /api/dev/outbox?to=qa.rp05@sofinhub.test</t>
        </is>
      </c>
      <c r="J115" s="15" t="inlineStr">
        <is>
          <t>1. Mở link reset
2. Nhập mật khẩu yếu 'abc', rồi nhập mật khẩu mạnh nhưng ô xác nhận khác
3. Nhập 'Matkhau@123' + xác nhận đúng, bấm gửi
4. Mở lại đúng link cũ</t>
        </is>
      </c>
      <c r="K115" s="15" t="inlineStr">
        <is>
          <t>Matkhau@123</t>
        </is>
      </c>
      <c r="L115"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15" s="15" t="inlineStr"/>
      <c r="N115" s="18" t="inlineStr">
        <is>
          <t>Chưa test</t>
        </is>
      </c>
      <c r="O115" s="15" t="inlineStr"/>
      <c r="P115" s="15" t="inlineStr"/>
      <c r="Q115" s="18" t="inlineStr">
        <is>
          <t>Chưa test</t>
        </is>
      </c>
      <c r="R115" s="15" t="inlineStr"/>
    </row>
    <row r="116" ht="75" customHeight="1">
      <c r="A116" s="14" t="inlineStr">
        <is>
          <t>TC-AUTH-115</t>
        </is>
      </c>
      <c r="B116" s="15" t="inlineStr">
        <is>
          <t>Tài khoản &amp; Xác thực</t>
        </is>
      </c>
      <c r="C116" s="15" t="inlineStr">
        <is>
          <t>Quên mật khẩu</t>
        </is>
      </c>
      <c r="D116" s="15" t="inlineStr">
        <is>
          <t>UI /forgot-password: validate email và thông điệp thành công</t>
        </is>
      </c>
      <c r="E116" s="15" t="inlineStr">
        <is>
          <t>Giao diện</t>
        </is>
      </c>
      <c r="F116" s="20" t="inlineStr">
        <is>
          <t>Trung bình</t>
        </is>
      </c>
      <c r="G116" s="17" t="inlineStr">
        <is>
          <t>Đã hoàn thiện</t>
        </is>
      </c>
      <c r="H116" s="17" t="inlineStr">
        <is>
          <t>Có</t>
        </is>
      </c>
      <c r="I116" s="15" t="inlineStr">
        <is>
          <t>Chưa đăng nhập</t>
        </is>
      </c>
      <c r="J116" s="15" t="inlineStr">
        <is>
          <t>1. Từ /login bấm 'Quên mật khẩu?'
2. Bấm gửi khi để trống
3. Nhập 'abc' rồi gửi
4. Nhập member2@sofinhub.test rồi gửi
5. Lặp lại với email không tồn tại</t>
        </is>
      </c>
      <c r="K116" s="15" t="inlineStr">
        <is>
          <t>trống / abc / member2@sofinhub.test / ghost@sofinhub.test</t>
        </is>
      </c>
      <c r="L116" s="15" t="inlineStr">
        <is>
          <t>Trống: 'Vui lòng nhập email'. 'abc': 'Email không hợp lệ'. Hai trường hợp email hợp lệ hiện cùng một thông điệp thành công.</t>
        </is>
      </c>
      <c r="M116" s="15" t="inlineStr"/>
      <c r="N116" s="18" t="inlineStr">
        <is>
          <t>Chưa test</t>
        </is>
      </c>
      <c r="O116" s="15" t="inlineStr"/>
      <c r="P116" s="15" t="inlineStr"/>
      <c r="Q116" s="18" t="inlineStr">
        <is>
          <t>Chưa test</t>
        </is>
      </c>
      <c r="R116" s="15" t="inlineStr"/>
    </row>
    <row r="117" ht="30" customHeight="1">
      <c r="A117" s="14" t="inlineStr">
        <is>
          <t>TC-AUTH-116</t>
        </is>
      </c>
      <c r="B117" s="15" t="inlineStr">
        <is>
          <t>Tài khoản &amp; Xác thực</t>
        </is>
      </c>
      <c r="C117" s="15" t="inlineStr">
        <is>
          <t>Đổi mật khẩu</t>
        </is>
      </c>
      <c r="D117" s="15" t="inlineStr">
        <is>
          <t>Đổi mật khẩu cần đăng nhập: thiếu token trả 401</t>
        </is>
      </c>
      <c r="E117" s="15" t="inlineStr">
        <is>
          <t>Bảo mật</t>
        </is>
      </c>
      <c r="F117" s="20" t="inlineStr">
        <is>
          <t>Trung bình</t>
        </is>
      </c>
      <c r="G117" s="17" t="inlineStr">
        <is>
          <t>Đã hoàn thiện</t>
        </is>
      </c>
      <c r="H117" s="17" t="inlineStr">
        <is>
          <t>Có</t>
        </is>
      </c>
      <c r="I117" s="15" t="inlineStr">
        <is>
          <t>-</t>
        </is>
      </c>
      <c r="J117" s="15" t="inlineStr">
        <is>
          <t>1. POST /api/auth/change-password không có Authorization</t>
        </is>
      </c>
      <c r="K117" s="15" t="inlineStr">
        <is>
          <t>{"currentPassword":"a","newPassword":"NewPass1!"}</t>
        </is>
      </c>
      <c r="L117" s="15" t="inlineStr">
        <is>
          <t>HTTP 401 UNAUTHORIZED 'Vui lòng đăng nhập để tiếp tục'.</t>
        </is>
      </c>
      <c r="M117" s="15" t="inlineStr"/>
      <c r="N117" s="18" t="inlineStr">
        <is>
          <t>Chưa test</t>
        </is>
      </c>
      <c r="O117" s="15" t="inlineStr"/>
      <c r="P117" s="15" t="inlineStr"/>
      <c r="Q117" s="18" t="inlineStr">
        <is>
          <t>Chưa test</t>
        </is>
      </c>
      <c r="R117" s="15" t="inlineStr"/>
    </row>
    <row r="118" ht="30" customHeight="1">
      <c r="A118" s="14" t="inlineStr">
        <is>
          <t>TC-AUTH-117</t>
        </is>
      </c>
      <c r="B118" s="15" t="inlineStr">
        <is>
          <t>Tài khoản &amp; Xác thực</t>
        </is>
      </c>
      <c r="C118" s="15" t="inlineStr">
        <is>
          <t>Đổi mật khẩu</t>
        </is>
      </c>
      <c r="D118" s="15" t="inlineStr">
        <is>
          <t>Sai mật khẩu hiện tại trả 400 (không phải 401) và phiên vẫn còn hiệu lực</t>
        </is>
      </c>
      <c r="E118" s="15" t="inlineStr">
        <is>
          <t>Chức năng</t>
        </is>
      </c>
      <c r="F118" s="16" t="inlineStr">
        <is>
          <t>Cao</t>
        </is>
      </c>
      <c r="G118" s="17" t="inlineStr">
        <is>
          <t>Đã hoàn thiện</t>
        </is>
      </c>
      <c r="H118" s="17" t="inlineStr">
        <is>
          <t>Có</t>
        </is>
      </c>
      <c r="I118" s="15" t="inlineStr">
        <is>
          <t>Tài khoản mới qa.cp01@sofinhub.test (dùng user tự đăng ký, KHÔNG dùng seed vì làm đổi mật khẩu chung)</t>
        </is>
      </c>
      <c r="J118" s="15" t="inlineStr">
        <is>
          <t>1. POST /api/auth/change-password {currentPassword:'Sai@12345', newPassword:'NewPass1!'}
2. GET /api/auth/me bằng cùng token</t>
        </is>
      </c>
      <c r="K118" s="15" t="inlineStr">
        <is>
          <t>currentPassword sai</t>
        </is>
      </c>
      <c r="L118" s="15" t="inlineStr">
        <is>
          <t>HTTP 400 BAD_REQUEST 'Mật khẩu hiện tại không đúng'; GET /auth/me vẫn 200 (không bị hiểu nhầm là hết phiên).</t>
        </is>
      </c>
      <c r="M118" s="15" t="inlineStr"/>
      <c r="N118" s="18" t="inlineStr">
        <is>
          <t>Chưa test</t>
        </is>
      </c>
      <c r="O118" s="15" t="inlineStr"/>
      <c r="P118" s="15" t="inlineStr"/>
      <c r="Q118" s="18" t="inlineStr">
        <is>
          <t>Chưa test</t>
        </is>
      </c>
      <c r="R118" s="15" t="inlineStr"/>
    </row>
    <row r="119" ht="30" customHeight="1">
      <c r="A119" s="14" t="inlineStr">
        <is>
          <t>TC-AUTH-118</t>
        </is>
      </c>
      <c r="B119" s="15" t="inlineStr">
        <is>
          <t>Tài khoản &amp; Xác thực</t>
        </is>
      </c>
      <c r="C119" s="15" t="inlineStr">
        <is>
          <t>Đổi mật khẩu</t>
        </is>
      </c>
      <c r="D119" s="15" t="inlineStr">
        <is>
          <t>Mật khẩu mới trùng mật khẩu cũ hoặc yếu bị từ chối</t>
        </is>
      </c>
      <c r="E119" s="15" t="inlineStr">
        <is>
          <t>Chức năng</t>
        </is>
      </c>
      <c r="F119" s="16" t="inlineStr">
        <is>
          <t>Cao</t>
        </is>
      </c>
      <c r="G119" s="17" t="inlineStr">
        <is>
          <t>Đã hoàn thiện</t>
        </is>
      </c>
      <c r="H119" s="17" t="inlineStr">
        <is>
          <t>Có</t>
        </is>
      </c>
      <c r="I119" s="15" t="inlineStr">
        <is>
          <t>Tài khoản mới qa.cp02@sofinhub.test, mật khẩu hiện tại 'Matkhau@123'</t>
        </is>
      </c>
      <c r="J119" s="15" t="inlineStr">
        <is>
          <t>1. POST change-password newPassword='Matkhau@123'
2. POST change-password newPassword='weak'</t>
        </is>
      </c>
      <c r="K119" s="15" t="inlineStr">
        <is>
          <t>newPassword trùng cũ / 'weak'</t>
        </is>
      </c>
      <c r="L119" s="15" t="inlineStr">
        <is>
          <t>Lần 1: HTTP 400 'Mật khẩu mới không được trùng mật khẩu hiện tại'. Lần 2: HTTP 400 VALIDATION_ERROR (3 thông điệp quy tắc mật khẩu). Mật khẩu không đổi.</t>
        </is>
      </c>
      <c r="M119" s="15" t="inlineStr"/>
      <c r="N119" s="18" t="inlineStr">
        <is>
          <t>Chưa test</t>
        </is>
      </c>
      <c r="O119" s="15" t="inlineStr"/>
      <c r="P119" s="15" t="inlineStr"/>
      <c r="Q119" s="18" t="inlineStr">
        <is>
          <t>Chưa test</t>
        </is>
      </c>
      <c r="R119" s="15" t="inlineStr"/>
    </row>
    <row r="120" ht="45" customHeight="1">
      <c r="A120" s="14" t="inlineStr">
        <is>
          <t>TC-AUTH-119</t>
        </is>
      </c>
      <c r="B120" s="15" t="inlineStr">
        <is>
          <t>Tài khoản &amp; Xác thực</t>
        </is>
      </c>
      <c r="C120" s="15" t="inlineStr">
        <is>
          <t>Đổi mật khẩu</t>
        </is>
      </c>
      <c r="D120" s="15" t="inlineStr">
        <is>
          <t>Đổi mật khẩu thành công: message, đăng nhập mật khẩu mới, mật khẩu cũ hết hiệu lực</t>
        </is>
      </c>
      <c r="E120" s="15" t="inlineStr">
        <is>
          <t>Chức năng</t>
        </is>
      </c>
      <c r="F120" s="16" t="inlineStr">
        <is>
          <t>Cao</t>
        </is>
      </c>
      <c r="G120" s="17" t="inlineStr">
        <is>
          <t>Đã hoàn thiện</t>
        </is>
      </c>
      <c r="H120" s="17" t="inlineStr">
        <is>
          <t>Có</t>
        </is>
      </c>
      <c r="I120" s="15" t="inlineStr">
        <is>
          <t>Tài khoản mới qa.cp03@sofinhub.test, mật khẩu 'Matkhau@123'</t>
        </is>
      </c>
      <c r="J120" s="15" t="inlineStr">
        <is>
          <t>1. POST change-password {currentPassword:'Matkhau@123', newPassword:'NewPass1!'}
2. Đăng nhập bằng 'NewPass1!'
3. Đăng nhập bằng 'Matkhau@123'</t>
        </is>
      </c>
      <c r="K120" s="15" t="inlineStr">
        <is>
          <t>NewPass1!</t>
        </is>
      </c>
      <c r="L120" s="15" t="inlineStr">
        <is>
          <t>HTTP 200 message 'Đổi mật khẩu thành công'. Đăng nhập mật khẩu mới 200, mật khẩu cũ 401.</t>
        </is>
      </c>
      <c r="M120" s="15" t="inlineStr"/>
      <c r="N120" s="18" t="inlineStr">
        <is>
          <t>Chưa test</t>
        </is>
      </c>
      <c r="O120" s="15" t="inlineStr"/>
      <c r="P120" s="15" t="inlineStr"/>
      <c r="Q120" s="18" t="inlineStr">
        <is>
          <t>Chưa test</t>
        </is>
      </c>
      <c r="R120" s="15" t="inlineStr"/>
    </row>
    <row r="121" ht="45" customHeight="1">
      <c r="A121" s="14" t="inlineStr">
        <is>
          <t>TC-AUTH-120</t>
        </is>
      </c>
      <c r="B121" s="15" t="inlineStr">
        <is>
          <t>Tài khoản &amp; Xác thực</t>
        </is>
      </c>
      <c r="C121" s="15" t="inlineStr">
        <is>
          <t>Đổi mật khẩu</t>
        </is>
      </c>
      <c r="D121" s="15" t="inlineStr">
        <is>
          <t>UI tab Mật khẩu: lỗi sai mật khẩu hiện tại hiện dưới ô, thành công báo các thiết bị khác bị đăng xuất</t>
        </is>
      </c>
      <c r="E121" s="15" t="inlineStr">
        <is>
          <t>Giao diện</t>
        </is>
      </c>
      <c r="F121" s="16" t="inlineStr">
        <is>
          <t>Cao</t>
        </is>
      </c>
      <c r="G121" s="17" t="inlineStr">
        <is>
          <t>Đã hoàn thiện</t>
        </is>
      </c>
      <c r="H121" s="20" t="inlineStr">
        <is>
          <t>Một phần</t>
        </is>
      </c>
      <c r="I121" s="15" t="inlineStr">
        <is>
          <t>Đăng nhập bằng user mới qa.cp04@sofinhub.test ở 2 trình duyệt</t>
        </is>
      </c>
      <c r="J121" s="15" t="inlineStr">
        <is>
          <t>1. Trình duyệt 1: /settings &gt; 'Mật khẩu', nhập sai mật khẩu hiện tại
2. Nhập đúng, mật khẩu mới 'NewPass1!' + xác nhận khớp, gửi
3. Trình duyệt 2: F5 hoặc thao tác cần đăng nhập</t>
        </is>
      </c>
      <c r="K121" s="15" t="inlineStr">
        <is>
          <t>NewPass1!</t>
        </is>
      </c>
      <c r="L121"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21" s="15" t="inlineStr"/>
      <c r="N121" s="18" t="inlineStr">
        <is>
          <t>Chưa test</t>
        </is>
      </c>
      <c r="O121" s="15" t="inlineStr"/>
      <c r="P121" s="15" t="inlineStr"/>
      <c r="Q121" s="18" t="inlineStr">
        <is>
          <t>Chưa test</t>
        </is>
      </c>
      <c r="R121" s="15" t="inlineStr"/>
    </row>
    <row r="122" ht="30" customHeight="1">
      <c r="A122" s="14" t="inlineStr">
        <is>
          <t>TC-AUTH-121</t>
        </is>
      </c>
      <c r="B122" s="15" t="inlineStr">
        <is>
          <t>Tài khoản &amp; Xác thực</t>
        </is>
      </c>
      <c r="C122" s="15" t="inlineStr">
        <is>
          <t>Xác thực email</t>
        </is>
      </c>
      <c r="D122" s="15" t="inlineStr">
        <is>
          <t>Tài khoản seed đã xác thực: gửi xác thực trả 409 và không hiện banner</t>
        </is>
      </c>
      <c r="E122" s="15" t="inlineStr">
        <is>
          <t>Chức năng</t>
        </is>
      </c>
      <c r="F122" s="20" t="inlineStr">
        <is>
          <t>Trung bình</t>
        </is>
      </c>
      <c r="G122" s="17" t="inlineStr">
        <is>
          <t>Đã hoàn thiện</t>
        </is>
      </c>
      <c r="H122" s="17" t="inlineStr">
        <is>
          <t>Có</t>
        </is>
      </c>
      <c r="I122" s="15" t="inlineStr">
        <is>
          <t>Đăng nhập member1@sofinhub.test (emailVerified=true trong seed)</t>
        </is>
      </c>
      <c r="J122" s="15" t="inlineStr">
        <is>
          <t>1. POST /api/auth/send-verification
2. Mở /settings</t>
        </is>
      </c>
      <c r="K122" s="15" t="inlineStr">
        <is>
          <t>-</t>
        </is>
      </c>
      <c r="L122" s="15" t="inlineStr">
        <is>
          <t>HTTP 409 CONFLICT 'Email đã được xác thực'; không có thư mới trong outbox; /settings không hiện banner 'Email chưa xác thực'.</t>
        </is>
      </c>
      <c r="M122" s="15" t="inlineStr"/>
      <c r="N122" s="18" t="inlineStr">
        <is>
          <t>Chưa test</t>
        </is>
      </c>
      <c r="O122" s="15" t="inlineStr"/>
      <c r="P122" s="15" t="inlineStr"/>
      <c r="Q122" s="18" t="inlineStr">
        <is>
          <t>Chưa test</t>
        </is>
      </c>
      <c r="R122" s="15" t="inlineStr"/>
    </row>
    <row r="123" ht="30" customHeight="1">
      <c r="A123" s="14" t="inlineStr">
        <is>
          <t>TC-AUTH-122</t>
        </is>
      </c>
      <c r="B123" s="15" t="inlineStr">
        <is>
          <t>Tài khoản &amp; Xác thực</t>
        </is>
      </c>
      <c r="C123" s="15" t="inlineStr">
        <is>
          <t>Xác thực email</t>
        </is>
      </c>
      <c r="D123" s="15" t="inlineStr">
        <is>
          <t>Gửi thư xác thực: 202, thư trong outbox có link 24 giờ, response không chứa token</t>
        </is>
      </c>
      <c r="E123" s="15" t="inlineStr">
        <is>
          <t>Chức năng</t>
        </is>
      </c>
      <c r="F123" s="16" t="inlineStr">
        <is>
          <t>Cao</t>
        </is>
      </c>
      <c r="G123" s="17" t="inlineStr">
        <is>
          <t>Đã hoàn thiện</t>
        </is>
      </c>
      <c r="H123" s="17" t="inlineStr">
        <is>
          <t>Có</t>
        </is>
      </c>
      <c r="I123" s="15" t="inlineStr">
        <is>
          <t>Tài khoản mới qa.ve01@sofinhub.test (emailVerified=false)</t>
        </is>
      </c>
      <c r="J123" s="15" t="inlineStr">
        <is>
          <t>1. POST /api/auth/send-verification bằng token của user
2. GET /api/dev/outbox?to=qa.ve01@sofinhub.test</t>
        </is>
      </c>
      <c r="K123" s="15" t="inlineStr">
        <is>
          <t>-</t>
        </is>
      </c>
      <c r="L123" s="15" t="inlineStr">
        <is>
          <t>HTTP 202 {data:{message:'Đã gửi email xác thực'}}, body không chứa 'token='. Outbox có thư subject 'Xác thực email SofinHub', text 'hiệu lực 24 giờ' và link {FRONTEND_URL}/verify-email?token=...</t>
        </is>
      </c>
      <c r="M123" s="15" t="inlineStr"/>
      <c r="N123" s="18" t="inlineStr">
        <is>
          <t>Chưa test</t>
        </is>
      </c>
      <c r="O123" s="15" t="inlineStr"/>
      <c r="P123" s="15" t="inlineStr"/>
      <c r="Q123" s="18" t="inlineStr">
        <is>
          <t>Chưa test</t>
        </is>
      </c>
      <c r="R123" s="15" t="inlineStr"/>
    </row>
    <row r="124" ht="30" customHeight="1">
      <c r="A124" s="14" t="inlineStr">
        <is>
          <t>TC-AUTH-123</t>
        </is>
      </c>
      <c r="B124" s="15" t="inlineStr">
        <is>
          <t>Tài khoản &amp; Xác thực</t>
        </is>
      </c>
      <c r="C124" s="15" t="inlineStr">
        <is>
          <t>Xác thực email</t>
        </is>
      </c>
      <c r="D124" s="15" t="inlineStr">
        <is>
          <t>Không có token thì gửi xác thực trả 401</t>
        </is>
      </c>
      <c r="E124" s="15" t="inlineStr">
        <is>
          <t>Bảo mật</t>
        </is>
      </c>
      <c r="F124" s="17" t="inlineStr">
        <is>
          <t>Thấp</t>
        </is>
      </c>
      <c r="G124" s="17" t="inlineStr">
        <is>
          <t>Đã hoàn thiện</t>
        </is>
      </c>
      <c r="H124" s="17" t="inlineStr">
        <is>
          <t>Có</t>
        </is>
      </c>
      <c r="I124" s="15" t="inlineStr">
        <is>
          <t>-</t>
        </is>
      </c>
      <c r="J124" s="15" t="inlineStr">
        <is>
          <t>1. POST /api/auth/send-verification không Authorization</t>
        </is>
      </c>
      <c r="K124" s="15" t="inlineStr">
        <is>
          <t>-</t>
        </is>
      </c>
      <c r="L124" s="15" t="inlineStr">
        <is>
          <t>HTTP 401 UNAUTHORIZED.</t>
        </is>
      </c>
      <c r="M124" s="15" t="inlineStr"/>
      <c r="N124" s="18" t="inlineStr">
        <is>
          <t>Chưa test</t>
        </is>
      </c>
      <c r="O124" s="15" t="inlineStr"/>
      <c r="P124" s="15" t="inlineStr"/>
      <c r="Q124" s="18" t="inlineStr">
        <is>
          <t>Chưa test</t>
        </is>
      </c>
      <c r="R124" s="15" t="inlineStr"/>
    </row>
    <row r="125" ht="60" customHeight="1">
      <c r="A125" s="14" t="inlineStr">
        <is>
          <t>TC-AUTH-124</t>
        </is>
      </c>
      <c r="B125" s="15" t="inlineStr">
        <is>
          <t>Tài khoản &amp; Xác thực</t>
        </is>
      </c>
      <c r="C125" s="15" t="inlineStr">
        <is>
          <t>Xác thực email</t>
        </is>
      </c>
      <c r="D125" s="15" t="inlineStr">
        <is>
          <t>Cooldown 60 giây khi gửi lại; sau 60 giây gửi được và link cũ bị vô hiệu</t>
        </is>
      </c>
      <c r="E125" s="15" t="inlineStr">
        <is>
          <t>Chức năng</t>
        </is>
      </c>
      <c r="F125" s="16" t="inlineStr">
        <is>
          <t>Cao</t>
        </is>
      </c>
      <c r="G125" s="17" t="inlineStr">
        <is>
          <t>Đã hoàn thiện</t>
        </is>
      </c>
      <c r="H125" s="17" t="inlineStr">
        <is>
          <t>Có</t>
        </is>
      </c>
      <c r="I125" s="15" t="inlineStr">
        <is>
          <t>Tài khoản mới qa.ve02@sofinhub.test đã gửi 1 lần (token1)</t>
        </is>
      </c>
      <c r="J125" s="15" t="inlineStr">
        <is>
          <t>1. POST /api/auth/send-verification ngay lần 2
2. Chờ 61 giây, gửi lần 3 (token2)
3. POST /api/auth/verify-email với token1
4. POST với token2</t>
        </is>
      </c>
      <c r="K125" s="15" t="inlineStr">
        <is>
          <t>TTL cooldown 60s</t>
        </is>
      </c>
      <c r="L125" s="15" t="inlineStr">
        <is>
          <t>Lần 2: HTTP 429 TOO_MANY_REQUESTS 'Vui lòng đợi 60 giây trước khi yêu cầu gửi lại email xác thực'. Lần 3: 202. token1: 400 'Liên kết xác thực không hợp lệ hoặc đã hết hạn' (bị ghi đè); token2: 200.</t>
        </is>
      </c>
      <c r="M125" s="15" t="inlineStr"/>
      <c r="N125" s="18" t="inlineStr">
        <is>
          <t>Chưa test</t>
        </is>
      </c>
      <c r="O125" s="15" t="inlineStr"/>
      <c r="P125" s="15" t="inlineStr"/>
      <c r="Q125" s="18" t="inlineStr">
        <is>
          <t>Chưa test</t>
        </is>
      </c>
      <c r="R125" s="15" t="inlineStr"/>
    </row>
    <row r="126" ht="60" customHeight="1">
      <c r="A126" s="14" t="inlineStr">
        <is>
          <t>TC-AUTH-125</t>
        </is>
      </c>
      <c r="B126" s="15" t="inlineStr">
        <is>
          <t>Tài khoản &amp; Xác thực</t>
        </is>
      </c>
      <c r="C126" s="15" t="inlineStr">
        <is>
          <t>Xác thực email</t>
        </is>
      </c>
      <c r="D126" s="15" t="inlineStr">
        <is>
          <t>Xác thực thành công: emailVerified=true, dùng lại token bị từ chối</t>
        </is>
      </c>
      <c r="E126" s="15" t="inlineStr">
        <is>
          <t>Chức năng</t>
        </is>
      </c>
      <c r="F126" s="16" t="inlineStr">
        <is>
          <t>Cao</t>
        </is>
      </c>
      <c r="G126" s="17" t="inlineStr">
        <is>
          <t>Đã hoàn thiện</t>
        </is>
      </c>
      <c r="H126" s="17" t="inlineStr">
        <is>
          <t>Có</t>
        </is>
      </c>
      <c r="I126" s="15" t="inlineStr">
        <is>
          <t>Tài khoản mới qa.ve03@sofinhub.test có token verify V</t>
        </is>
      </c>
      <c r="J126" s="15" t="inlineStr">
        <is>
          <t>1. POST /api/auth/verify-email {token:V}
2. GET /api/auth/me
3. POST verify-email lần 2 với V
4. POST /api/auth/send-verification</t>
        </is>
      </c>
      <c r="K126" s="15" t="inlineStr">
        <is>
          <t>token V</t>
        </is>
      </c>
      <c r="L126" s="15" t="inlineStr">
        <is>
          <t>Lần 1: HTTP 200, data là AuthUser với emailVerified=true; /auth/me cũng true. Lần 2: HTTP 400 'Liên kết xác thực không hợp lệ hoặc đã hết hạn'. send-verification: 409 'Email đã được xác thực'.</t>
        </is>
      </c>
      <c r="M126" s="15" t="inlineStr"/>
      <c r="N126" s="18" t="inlineStr">
        <is>
          <t>Chưa test</t>
        </is>
      </c>
      <c r="O126" s="15" t="inlineStr"/>
      <c r="P126" s="15" t="inlineStr"/>
      <c r="Q126" s="18" t="inlineStr">
        <is>
          <t>Chưa test</t>
        </is>
      </c>
      <c r="R126" s="15" t="inlineStr"/>
    </row>
    <row r="127" ht="45" customHeight="1">
      <c r="A127" s="14" t="inlineStr">
        <is>
          <t>TC-AUTH-126</t>
        </is>
      </c>
      <c r="B127" s="15" t="inlineStr">
        <is>
          <t>Tài khoản &amp; Xác thực</t>
        </is>
      </c>
      <c r="C127" s="15" t="inlineStr">
        <is>
          <t>Xác thực email</t>
        </is>
      </c>
      <c r="D127" s="15" t="inlineStr">
        <is>
          <t>Token verify sai, thiếu hoặc quá dài</t>
        </is>
      </c>
      <c r="E127" s="15" t="inlineStr">
        <is>
          <t>Bảo mật</t>
        </is>
      </c>
      <c r="F127" s="20" t="inlineStr">
        <is>
          <t>Trung bình</t>
        </is>
      </c>
      <c r="G127" s="17" t="inlineStr">
        <is>
          <t>Đã hoàn thiện</t>
        </is>
      </c>
      <c r="H127" s="17" t="inlineStr">
        <is>
          <t>Có</t>
        </is>
      </c>
      <c r="I127" s="15" t="inlineStr">
        <is>
          <t>-</t>
        </is>
      </c>
      <c r="J127" s="15" t="inlineStr">
        <is>
          <t>1. POST /api/auth/verify-email {token:'abc'}
2. POST với {}
3. POST với token 201 ký tự</t>
        </is>
      </c>
      <c r="K127" s="15" t="inlineStr">
        <is>
          <t>abc / thiếu / 'a'*201</t>
        </is>
      </c>
      <c r="L127" s="15" t="inlineStr">
        <is>
          <t>'abc': HTTP 400 BAD_REQUEST 'Liên kết xác thực không hợp lệ hoặc đã hết hạn'. Thiếu và 201 ký tự: HTTP 400 VALIDATION_ERROR.</t>
        </is>
      </c>
      <c r="M127" s="15" t="inlineStr"/>
      <c r="N127" s="18" t="inlineStr">
        <is>
          <t>Chưa test</t>
        </is>
      </c>
      <c r="O127" s="15" t="inlineStr"/>
      <c r="P127" s="15" t="inlineStr"/>
      <c r="Q127" s="18" t="inlineStr">
        <is>
          <t>Chưa test</t>
        </is>
      </c>
      <c r="R127" s="15" t="inlineStr"/>
    </row>
    <row r="128" ht="60" customHeight="1">
      <c r="A128" s="14" t="inlineStr">
        <is>
          <t>TC-AUTH-127</t>
        </is>
      </c>
      <c r="B128" s="15" t="inlineStr">
        <is>
          <t>Tài khoản &amp; Xác thực</t>
        </is>
      </c>
      <c r="C128" s="15" t="inlineStr">
        <is>
          <t>Xác thực email</t>
        </is>
      </c>
      <c r="D128" s="15" t="inlineStr">
        <is>
          <t>Mở link xác thực của A khi đang đăng nhập B: A được xác thực, B không bị đổi</t>
        </is>
      </c>
      <c r="E128" s="15" t="inlineStr">
        <is>
          <t>Bảo mật</t>
        </is>
      </c>
      <c r="F128" s="20" t="inlineStr">
        <is>
          <t>Trung bình</t>
        </is>
      </c>
      <c r="G128" s="17" t="inlineStr">
        <is>
          <t>Đã hoàn thiện</t>
        </is>
      </c>
      <c r="H128" s="17" t="inlineStr">
        <is>
          <t>Có</t>
        </is>
      </c>
      <c r="I128" s="15" t="inlineStr">
        <is>
          <t>Hai user mới A (qa.ve04a@...) và B (qa.ve04b@...); A đã gửi thư xác thực</t>
        </is>
      </c>
      <c r="J128" s="15" t="inlineStr">
        <is>
          <t>1. Đăng nhập B trên trình duyệt
2. Mở /verify-email?token=&lt;token của A&gt;
3. GET /api/auth/me của B
4. Đăng nhập A, GET /api/auth/me</t>
        </is>
      </c>
      <c r="K128" s="15" t="inlineStr">
        <is>
          <t>token của A</t>
        </is>
      </c>
      <c r="L128" s="15" t="inlineStr">
        <is>
          <t>Trang báo xác thực thành công; /auth/me của B vẫn emailVerified=false và thông tin B không đổi; của A emailVerified=true (verify-email không phụ thuộc phiên đăng nhập).</t>
        </is>
      </c>
      <c r="M128" s="15" t="inlineStr"/>
      <c r="N128" s="18" t="inlineStr">
        <is>
          <t>Chưa test</t>
        </is>
      </c>
      <c r="O128" s="15" t="inlineStr"/>
      <c r="P128" s="15" t="inlineStr"/>
      <c r="Q128" s="18" t="inlineStr">
        <is>
          <t>Chưa test</t>
        </is>
      </c>
      <c r="R128" s="15" t="inlineStr"/>
    </row>
    <row r="129" ht="45" customHeight="1">
      <c r="A129" s="14" t="inlineStr">
        <is>
          <t>TC-AUTH-128</t>
        </is>
      </c>
      <c r="B129" s="15" t="inlineStr">
        <is>
          <t>Tài khoản &amp; Xác thực</t>
        </is>
      </c>
      <c r="C129" s="15" t="inlineStr">
        <is>
          <t>Xác thực email</t>
        </is>
      </c>
      <c r="D129" s="15" t="inlineStr">
        <is>
          <t>Token verify hết hạn sau 24 giờ bị từ chối</t>
        </is>
      </c>
      <c r="E129" s="15" t="inlineStr">
        <is>
          <t>Bảo mật</t>
        </is>
      </c>
      <c r="F129" s="20" t="inlineStr">
        <is>
          <t>Trung bình</t>
        </is>
      </c>
      <c r="G129" s="17" t="inlineStr">
        <is>
          <t>Đã hoàn thiện</t>
        </is>
      </c>
      <c r="H129" s="16" t="inlineStr">
        <is>
          <t>Không</t>
        </is>
      </c>
      <c r="I129" s="15" t="inlineStr">
        <is>
          <t>Có token verify; quyền sửa DB test</t>
        </is>
      </c>
      <c r="J129" s="15" t="inlineStr">
        <is>
          <t>1. Gửi thư xác thực cho qa.ve05@sofinhub.test
2. Đặt OneTimeToken.expiresAt của purpose verify-email về quá khứ
3. POST /api/auth/verify-email</t>
        </is>
      </c>
      <c r="K129" s="15" t="inlineStr">
        <is>
          <t>TTL 24 giờ</t>
        </is>
      </c>
      <c r="L129" s="15" t="inlineStr">
        <is>
          <t>HTTP 400 'Liên kết xác thực không hợp lệ hoặc đã hết hạn'; emailVerified vẫn false.</t>
        </is>
      </c>
      <c r="M129" s="15" t="inlineStr"/>
      <c r="N129" s="18" t="inlineStr">
        <is>
          <t>Chưa test</t>
        </is>
      </c>
      <c r="O129" s="15" t="inlineStr"/>
      <c r="P129" s="15" t="inlineStr"/>
      <c r="Q129" s="18" t="inlineStr">
        <is>
          <t>Chưa test</t>
        </is>
      </c>
      <c r="R129" s="15" t="inlineStr"/>
    </row>
    <row r="130" ht="60" customHeight="1">
      <c r="A130" s="14" t="inlineStr">
        <is>
          <t>TC-AUTH-129</t>
        </is>
      </c>
      <c r="B130" s="15" t="inlineStr">
        <is>
          <t>Tài khoản &amp; Xác thực</t>
        </is>
      </c>
      <c r="C130" s="15" t="inlineStr">
        <is>
          <t>Xác thực email</t>
        </is>
      </c>
      <c r="D130" s="15" t="inlineStr">
        <is>
          <t>UI banner 'Email chưa xác thực': gửi, đếm ngược 60s, xác thực xong banner biến mất</t>
        </is>
      </c>
      <c r="E130" s="15" t="inlineStr">
        <is>
          <t>Giao diện</t>
        </is>
      </c>
      <c r="F130" s="16" t="inlineStr">
        <is>
          <t>Cao</t>
        </is>
      </c>
      <c r="G130" s="17" t="inlineStr">
        <is>
          <t>Đã hoàn thiện</t>
        </is>
      </c>
      <c r="H130" s="17" t="inlineStr">
        <is>
          <t>Có</t>
        </is>
      </c>
      <c r="I130" s="15" t="inlineStr">
        <is>
          <t>Đăng nhập user mới qa.ve06@sofinhub.test</t>
        </is>
      </c>
      <c r="J130" s="15" t="inlineStr">
        <is>
          <t>1. Mở /settings, thấy banner vàng
2. Bấm 'Gửi email xác thực'
3. Lấy link từ /api/dev/outbox và mở /verify-email?token=...
4. Quay lại /settings (F5 nếu cần)</t>
        </is>
      </c>
      <c r="K130" s="15" t="inlineStr">
        <is>
          <t>-</t>
        </is>
      </c>
      <c r="L130"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30" s="15" t="inlineStr"/>
      <c r="N130" s="18" t="inlineStr">
        <is>
          <t>Chưa test</t>
        </is>
      </c>
      <c r="O130" s="15" t="inlineStr"/>
      <c r="P130" s="15" t="inlineStr"/>
      <c r="Q130" s="18" t="inlineStr">
        <is>
          <t>Chưa test</t>
        </is>
      </c>
      <c r="R130" s="15" t="inlineStr"/>
    </row>
    <row r="131" ht="30" customHeight="1">
      <c r="A131" s="14" t="inlineStr">
        <is>
          <t>TC-AUTH-130</t>
        </is>
      </c>
      <c r="B131" s="15" t="inlineStr">
        <is>
          <t>Tài khoản &amp; Xác thực</t>
        </is>
      </c>
      <c r="C131" s="15" t="inlineStr">
        <is>
          <t>Xác thực email</t>
        </is>
      </c>
      <c r="D131" s="15" t="inlineStr">
        <is>
          <t>Bắt buộc email đã xác thực trước một số thao tác (đăng bài, thanh toán)</t>
        </is>
      </c>
      <c r="E131" s="15" t="inlineStr">
        <is>
          <t>Chức năng</t>
        </is>
      </c>
      <c r="F131" s="20" t="inlineStr">
        <is>
          <t>Trung bình</t>
        </is>
      </c>
      <c r="G131" s="20" t="inlineStr">
        <is>
          <t>Kế hoạch</t>
        </is>
      </c>
      <c r="H131" s="16" t="inlineStr">
        <is>
          <t>Không</t>
        </is>
      </c>
      <c r="I131" s="15" t="inlineStr">
        <is>
          <t>Chưa làm: chính sách bắt buộc emailVerified là quyết định sản phẩm (identity.md 'Chưa làm')</t>
        </is>
      </c>
      <c r="J131" s="15" t="inlineStr">
        <is>
          <t>1. Đăng ký user mới chưa xác thực
2. Thử đăng bài / thanh toán</t>
        </is>
      </c>
      <c r="K131" s="15" t="inlineStr">
        <is>
          <t>-</t>
        </is>
      </c>
      <c r="L131" s="15" t="inlineStr">
        <is>
          <t>Theo chính sách được chốt: bị chặn với mã lỗi riêng và hướng dẫn xác thực email; hiện tại chưa chặn.</t>
        </is>
      </c>
      <c r="M131" s="15" t="inlineStr"/>
      <c r="N131" s="18" t="inlineStr">
        <is>
          <t>Chưa test</t>
        </is>
      </c>
      <c r="O131" s="15" t="inlineStr"/>
      <c r="P131" s="15" t="inlineStr"/>
      <c r="Q131" s="18" t="inlineStr">
        <is>
          <t>Chưa test</t>
        </is>
      </c>
      <c r="R131" s="15" t="inlineStr"/>
    </row>
    <row r="132" ht="30" customHeight="1">
      <c r="A132" s="14" t="inlineStr">
        <is>
          <t>TC-AUTH-131</t>
        </is>
      </c>
      <c r="B132" s="15" t="inlineStr">
        <is>
          <t>Tài khoản &amp; Xác thực</t>
        </is>
      </c>
      <c r="C132" s="15" t="inlineStr">
        <is>
          <t>Phiên đăng nhập</t>
        </is>
      </c>
      <c r="D132" s="15" t="inlineStr">
        <is>
          <t>Danh sách phiên: đúng trường, đúng 1 phiên current, không lộ thông tin refresh token</t>
        </is>
      </c>
      <c r="E132" s="15" t="inlineStr">
        <is>
          <t>Chức năng</t>
        </is>
      </c>
      <c r="F132" s="16" t="inlineStr">
        <is>
          <t>Cao</t>
        </is>
      </c>
      <c r="G132" s="17" t="inlineStr">
        <is>
          <t>Đã hoàn thiện</t>
        </is>
      </c>
      <c r="H132" s="17" t="inlineStr">
        <is>
          <t>Có</t>
        </is>
      </c>
      <c r="I132" s="15" t="inlineStr">
        <is>
          <t>Tài khoản mới qa.se01@sofinhub.test, đăng nhập thêm 1 lần với User-Agent 'QA-Agent/2'</t>
        </is>
      </c>
      <c r="J132" s="15" t="inlineStr">
        <is>
          <t>1. GET /api/auth/sessions bằng token phiên thứ 2
2. Kiểm tra từng phần tử</t>
        </is>
      </c>
      <c r="K132" s="15" t="inlineStr">
        <is>
          <t>User-Agent 'QA-Agent/2'</t>
        </is>
      </c>
      <c r="L132" s="15" t="inlineStr">
        <is>
          <t>HTTP 200, 2 phần tử sắp theo createdAt tăng dần, mỗi phần tử {id, createdAt, lastUsedAt, ip?, userAgent?, current}. Đúng 1 phần tử current=true (phiên 2) có userAgent='QA-Agent/2'. Không có refreshTokenHash/jti/revokedAt trong JSON.</t>
        </is>
      </c>
      <c r="M132" s="15" t="inlineStr"/>
      <c r="N132" s="18" t="inlineStr">
        <is>
          <t>Chưa test</t>
        </is>
      </c>
      <c r="O132" s="15" t="inlineStr"/>
      <c r="P132" s="15" t="inlineStr"/>
      <c r="Q132" s="18" t="inlineStr">
        <is>
          <t>Chưa test</t>
        </is>
      </c>
      <c r="R132" s="15" t="inlineStr"/>
    </row>
    <row r="133" ht="45" customHeight="1">
      <c r="A133" s="14" t="inlineStr">
        <is>
          <t>TC-AUTH-132</t>
        </is>
      </c>
      <c r="B133" s="15" t="inlineStr">
        <is>
          <t>Tài khoản &amp; Xác thực</t>
        </is>
      </c>
      <c r="C133" s="15" t="inlineStr">
        <is>
          <t>Phiên đăng nhập</t>
        </is>
      </c>
      <c r="D133" s="15" t="inlineStr">
        <is>
          <t>Thu hồi phiên khác: 204, lần 2 trả 404</t>
        </is>
      </c>
      <c r="E133" s="15" t="inlineStr">
        <is>
          <t>Chức năng</t>
        </is>
      </c>
      <c r="F133" s="16" t="inlineStr">
        <is>
          <t>Cao</t>
        </is>
      </c>
      <c r="G133" s="17" t="inlineStr">
        <is>
          <t>Đã hoàn thiện</t>
        </is>
      </c>
      <c r="H133" s="17" t="inlineStr">
        <is>
          <t>Có</t>
        </is>
      </c>
      <c r="I133" s="15" t="inlineStr">
        <is>
          <t>Tài khoản mới có 2 phiên (S1, S2)</t>
        </is>
      </c>
      <c r="J133" s="15" t="inlineStr">
        <is>
          <t>1. Dùng token S2: DELETE /api/auth/sessions/&lt;id S1&gt;
2. DELETE lại đúng id đó
3. GET /api/auth/sessions</t>
        </is>
      </c>
      <c r="K133" s="15" t="inlineStr">
        <is>
          <t>id phiên S1</t>
        </is>
      </c>
      <c r="L133" s="15" t="inlineStr">
        <is>
          <t>Lần 1 HTTP 204; lần 2 HTTP 404 NOT_FOUND 'Không tìm thấy phiên đăng nhập'; danh sách còn 1 phiên (S2).</t>
        </is>
      </c>
      <c r="M133" s="15" t="inlineStr"/>
      <c r="N133" s="18" t="inlineStr">
        <is>
          <t>Chưa test</t>
        </is>
      </c>
      <c r="O133" s="15" t="inlineStr"/>
      <c r="P133" s="15" t="inlineStr"/>
      <c r="Q133" s="18" t="inlineStr">
        <is>
          <t>Chưa test</t>
        </is>
      </c>
      <c r="R133" s="15" t="inlineStr"/>
    </row>
    <row r="134" ht="30" customHeight="1">
      <c r="A134" s="14" t="inlineStr">
        <is>
          <t>TC-AUTH-133</t>
        </is>
      </c>
      <c r="B134" s="15" t="inlineStr">
        <is>
          <t>Tài khoản &amp; Xác thực</t>
        </is>
      </c>
      <c r="C134" s="15" t="inlineStr">
        <is>
          <t>Phiên đăng nhập</t>
        </is>
      </c>
      <c r="D134" s="15" t="inlineStr">
        <is>
          <t>Không thu hồi được phiên của người khác (IDOR): 404 và phiên nạn nhân còn sống</t>
        </is>
      </c>
      <c r="E134" s="15" t="inlineStr">
        <is>
          <t>Bảo mật</t>
        </is>
      </c>
      <c r="F134" s="16" t="inlineStr">
        <is>
          <t>Cao</t>
        </is>
      </c>
      <c r="G134" s="17" t="inlineStr">
        <is>
          <t>Đã hoàn thiện</t>
        </is>
      </c>
      <c r="H134" s="17" t="inlineStr">
        <is>
          <t>Có</t>
        </is>
      </c>
      <c r="I134" s="15" t="inlineStr">
        <is>
          <t>Hai user mới A và B; lấy id phiên của B qua GET /auth/sessions bằng token B</t>
        </is>
      </c>
      <c r="J134" s="15" t="inlineStr">
        <is>
          <t>1. Dùng token A: DELETE /api/auth/sessions/&lt;id phiên của B&gt;
2. Dùng token B: GET /api/auth/me</t>
        </is>
      </c>
      <c r="K134" s="15" t="inlineStr">
        <is>
          <t>id phiên của B</t>
        </is>
      </c>
      <c r="L134" s="15" t="inlineStr">
        <is>
          <t>Bước 1 HTTP 404 'Không tìm thấy phiên đăng nhập' (không lộ phiên có tồn tại); bước 2 HTTP 200 - phiên B không bị ảnh hưởng.</t>
        </is>
      </c>
      <c r="M134" s="15" t="inlineStr"/>
      <c r="N134" s="18" t="inlineStr">
        <is>
          <t>Chưa test</t>
        </is>
      </c>
      <c r="O134" s="15" t="inlineStr"/>
      <c r="P134" s="15" t="inlineStr"/>
      <c r="Q134" s="18" t="inlineStr">
        <is>
          <t>Chưa test</t>
        </is>
      </c>
      <c r="R134" s="15" t="inlineStr"/>
    </row>
    <row r="135" ht="30" customHeight="1">
      <c r="A135" s="14" t="inlineStr">
        <is>
          <t>TC-AUTH-134</t>
        </is>
      </c>
      <c r="B135" s="15" t="inlineStr">
        <is>
          <t>Tài khoản &amp; Xác thực</t>
        </is>
      </c>
      <c r="C135" s="15" t="inlineStr">
        <is>
          <t>Phiên đăng nhập</t>
        </is>
      </c>
      <c r="D135" s="15" t="inlineStr">
        <is>
          <t>DELETE /auth/sessions/:id với id không hợp lệ trả 404, không phải 500</t>
        </is>
      </c>
      <c r="E135" s="15" t="inlineStr">
        <is>
          <t>Chức năng</t>
        </is>
      </c>
      <c r="F135" s="17" t="inlineStr">
        <is>
          <t>Thấp</t>
        </is>
      </c>
      <c r="G135" s="17" t="inlineStr">
        <is>
          <t>Đã hoàn thiện</t>
        </is>
      </c>
      <c r="H135" s="17" t="inlineStr">
        <is>
          <t>Có</t>
        </is>
      </c>
      <c r="I135" s="15" t="inlineStr">
        <is>
          <t>Đăng nhập user bất kỳ</t>
        </is>
      </c>
      <c r="J135" s="15" t="inlineStr">
        <is>
          <t>1. DELETE /api/auth/sessions/abc
2. DELETE /api/auth/sessions/00000000-0000-0000-0000-000000000000</t>
        </is>
      </c>
      <c r="K135" s="15" t="inlineStr">
        <is>
          <t>id rác</t>
        </is>
      </c>
      <c r="L135" s="15" t="inlineStr">
        <is>
          <t>Cả hai HTTP 404 'Không tìm thấy phiên đăng nhập' (cột id kiểu chuỗi nên không lỗi cast).</t>
        </is>
      </c>
      <c r="M135" s="15" t="inlineStr"/>
      <c r="N135" s="18" t="inlineStr">
        <is>
          <t>Chưa test</t>
        </is>
      </c>
      <c r="O135" s="15" t="inlineStr"/>
      <c r="P135" s="15" t="inlineStr"/>
      <c r="Q135" s="18" t="inlineStr">
        <is>
          <t>Chưa test</t>
        </is>
      </c>
      <c r="R135" s="15" t="inlineStr"/>
    </row>
    <row r="136" ht="45" customHeight="1">
      <c r="A136" s="14" t="inlineStr">
        <is>
          <t>TC-AUTH-135</t>
        </is>
      </c>
      <c r="B136" s="15" t="inlineStr">
        <is>
          <t>Tài khoản &amp; Xác thực</t>
        </is>
      </c>
      <c r="C136" s="15" t="inlineStr">
        <is>
          <t>Phiên đăng nhập</t>
        </is>
      </c>
      <c r="D136" s="15" t="inlineStr">
        <is>
          <t>Gọi API tự thu hồi phiên hiện tại: 204 và token chết ngay (FE ẩn nút này)</t>
        </is>
      </c>
      <c r="E136" s="15" t="inlineStr">
        <is>
          <t>Chức năng</t>
        </is>
      </c>
      <c r="F136" s="17" t="inlineStr">
        <is>
          <t>Thấp</t>
        </is>
      </c>
      <c r="G136" s="17" t="inlineStr">
        <is>
          <t>Đã hoàn thiện</t>
        </is>
      </c>
      <c r="H136" s="17" t="inlineStr">
        <is>
          <t>Có</t>
        </is>
      </c>
      <c r="I136" s="15" t="inlineStr">
        <is>
          <t>Đăng nhập user mới</t>
        </is>
      </c>
      <c r="J136" s="15" t="inlineStr">
        <is>
          <t>1. GET /api/auth/sessions lấy id phiên current
2. DELETE /api/auth/sessions/&lt;id current&gt;
3. GET /api/auth/me bằng cùng token</t>
        </is>
      </c>
      <c r="K136" s="15" t="inlineStr">
        <is>
          <t>-</t>
        </is>
      </c>
      <c r="L136" s="15" t="inlineStr">
        <is>
          <t>DELETE HTTP 204 (API không chặn thu hồi phiên hiện tại); GET /auth/me sau đó HTTP 401. UI tab 'Phiên đăng nhập' không hiện nút 'Thu hồi' cho phiên hiện tại.</t>
        </is>
      </c>
      <c r="M136" s="15" t="inlineStr"/>
      <c r="N136" s="18" t="inlineStr">
        <is>
          <t>Chưa test</t>
        </is>
      </c>
      <c r="O136" s="15" t="inlineStr"/>
      <c r="P136" s="15" t="inlineStr"/>
      <c r="Q136" s="18" t="inlineStr">
        <is>
          <t>Chưa test</t>
        </is>
      </c>
      <c r="R136" s="15" t="inlineStr"/>
    </row>
    <row r="137" ht="60" customHeight="1">
      <c r="A137" s="14" t="inlineStr">
        <is>
          <t>TC-AUTH-136</t>
        </is>
      </c>
      <c r="B137" s="15" t="inlineStr">
        <is>
          <t>Tài khoản &amp; Xác thực</t>
        </is>
      </c>
      <c r="C137" s="15" t="inlineStr">
        <is>
          <t>Phiên đăng nhập</t>
        </is>
      </c>
      <c r="D137" s="15" t="inlineStr">
        <is>
          <t>UI tab Phiên đăng nhập: thu hồi phiên ở trình duyệt khác</t>
        </is>
      </c>
      <c r="E137" s="15" t="inlineStr">
        <is>
          <t>Giao diện</t>
        </is>
      </c>
      <c r="F137" s="16" t="inlineStr">
        <is>
          <t>Cao</t>
        </is>
      </c>
      <c r="G137" s="17" t="inlineStr">
        <is>
          <t>Đã hoàn thiện</t>
        </is>
      </c>
      <c r="H137" s="20" t="inlineStr">
        <is>
          <t>Một phần</t>
        </is>
      </c>
      <c r="I137" s="15" t="inlineStr">
        <is>
          <t>Đăng nhập cùng user mới ở 2 trình duyệt/context (Chrome và một context khác)</t>
        </is>
      </c>
      <c r="J137" s="15" t="inlineStr">
        <is>
          <t>1. Trình duyệt 1: /settings &gt; 'Phiên đăng nhập'
2. Kiểm tra nhãn phiên hiện tại và thông tin thiết bị/IP/thời gian
3. Bấm 'Thu hồi' ở phiên kia
4. Trình duyệt 2: thao tác gọi API (F5 hoặc mở /settings)</t>
        </is>
      </c>
      <c r="K137" s="15" t="inlineStr">
        <is>
          <t>-</t>
        </is>
      </c>
      <c r="L137" s="15" t="inlineStr">
        <is>
          <t>Phiên hiện tại có nhãn và không có nút 'Thu hồi'; phiên kia biến mất khỏi danh sách; trình duyệt 2 bị coi là khách ngay ở request kế tiếp (access token bị thu hồi tức thì, refresh cũng 401).</t>
        </is>
      </c>
      <c r="M137" s="15" t="inlineStr"/>
      <c r="N137" s="18" t="inlineStr">
        <is>
          <t>Chưa test</t>
        </is>
      </c>
      <c r="O137" s="15" t="inlineStr"/>
      <c r="P137" s="15" t="inlineStr"/>
      <c r="Q137" s="18" t="inlineStr">
        <is>
          <t>Chưa test</t>
        </is>
      </c>
      <c r="R137" s="15" t="inlineStr"/>
    </row>
    <row r="138" ht="45" customHeight="1">
      <c r="A138" s="14" t="inlineStr">
        <is>
          <t>TC-AUTH-137</t>
        </is>
      </c>
      <c r="B138" s="15" t="inlineStr">
        <is>
          <t>Tài khoản &amp; Xác thực</t>
        </is>
      </c>
      <c r="C138" s="15" t="inlineStr">
        <is>
          <t>Đăng xuất</t>
        </is>
      </c>
      <c r="D138" s="15" t="inlineStr">
        <is>
          <t>UI 'Đăng xuất mọi thiết bị': hộp xác nhận, về /login, mọi trình duyệt bị đăng xuất</t>
        </is>
      </c>
      <c r="E138" s="15" t="inlineStr">
        <is>
          <t>Chức năng</t>
        </is>
      </c>
      <c r="F138" s="16" t="inlineStr">
        <is>
          <t>Cao</t>
        </is>
      </c>
      <c r="G138" s="17" t="inlineStr">
        <is>
          <t>Đã hoàn thiện</t>
        </is>
      </c>
      <c r="H138" s="20" t="inlineStr">
        <is>
          <t>Một phần</t>
        </is>
      </c>
      <c r="I138" s="15" t="inlineStr">
        <is>
          <t>Đăng nhập cùng user mới ở 2 trình duyệt</t>
        </is>
      </c>
      <c r="J138" s="15" t="inlineStr">
        <is>
          <t>1. /settings &gt; 'Phiên đăng nhập' &gt; 'Đăng xuất mọi thiết bị'
2. Bấm Hủy ở hộp thoại rồi bấm lại và OK
3. Kiểm tra trình duyệt 2</t>
        </is>
      </c>
      <c r="K138" s="15" t="inlineStr">
        <is>
          <t>-</t>
        </is>
      </c>
      <c r="L138" s="15" t="inlineStr">
        <is>
          <t>Hộp thoại 'Đăng xuất khỏi tất cả thiết bị, kể cả thiết bị này?'; Hủy thì không đổi gì; OK thì về /login và trình duyệt 2 cũng mất phiên.</t>
        </is>
      </c>
      <c r="M138" s="15" t="inlineStr"/>
      <c r="N138" s="18" t="inlineStr">
        <is>
          <t>Chưa test</t>
        </is>
      </c>
      <c r="O138" s="15" t="inlineStr"/>
      <c r="P138" s="15" t="inlineStr"/>
      <c r="Q138" s="18" t="inlineStr">
        <is>
          <t>Chưa test</t>
        </is>
      </c>
      <c r="R138" s="15" t="inlineStr"/>
    </row>
    <row r="139" ht="30" customHeight="1">
      <c r="A139" s="14" t="inlineStr">
        <is>
          <t>TC-AUTH-138</t>
        </is>
      </c>
      <c r="B139" s="15" t="inlineStr">
        <is>
          <t>Tài khoản &amp; Xác thực</t>
        </is>
      </c>
      <c r="C139" s="15" t="inlineStr">
        <is>
          <t>Đăng xuất</t>
        </is>
      </c>
      <c r="D139" s="15" t="inlineStr">
        <is>
          <t>POST /auth/logout thiếu access token trả 401 và không xóa cookie</t>
        </is>
      </c>
      <c r="E139" s="15" t="inlineStr">
        <is>
          <t>Bảo mật</t>
        </is>
      </c>
      <c r="F139" s="17" t="inlineStr">
        <is>
          <t>Thấp</t>
        </is>
      </c>
      <c r="G139" s="17" t="inlineStr">
        <is>
          <t>Đã hoàn thiện</t>
        </is>
      </c>
      <c r="H139" s="17" t="inlineStr">
        <is>
          <t>Có</t>
        </is>
      </c>
      <c r="I139" s="15" t="inlineStr">
        <is>
          <t>Có cookie refresh_token hợp lệ nhưng không gửi Bearer</t>
        </is>
      </c>
      <c r="J139" s="15" t="inlineStr">
        <is>
          <t>1. POST /api/auth/logout chỉ kèm Cookie, không Authorization
2. POST /api/auth/refresh kèm cookie đó</t>
        </is>
      </c>
      <c r="K139" s="15" t="inlineStr">
        <is>
          <t>-</t>
        </is>
      </c>
      <c r="L139" s="15" t="inlineStr">
        <is>
          <t>Logout HTTP 401 (requireAuth), response không có Set-Cookie xóa cookie; refresh sau đó vẫn 200 - ghi nhận: FE phải xử lý logout khi access token đã hết hạn.</t>
        </is>
      </c>
      <c r="M139" s="15" t="inlineStr"/>
      <c r="N139" s="18" t="inlineStr">
        <is>
          <t>Chưa test</t>
        </is>
      </c>
      <c r="O139" s="15" t="inlineStr"/>
      <c r="P139" s="15" t="inlineStr"/>
      <c r="Q139" s="18" t="inlineStr">
        <is>
          <t>Chưa test</t>
        </is>
      </c>
      <c r="R139" s="15" t="inlineStr"/>
    </row>
    <row r="140" ht="45" customHeight="1">
      <c r="A140" s="14" t="inlineStr">
        <is>
          <t>TC-AUTH-139</t>
        </is>
      </c>
      <c r="B140" s="15" t="inlineStr">
        <is>
          <t>Tài khoản &amp; Xác thực</t>
        </is>
      </c>
      <c r="C140" s="15" t="inlineStr">
        <is>
          <t>Đăng xuất</t>
        </is>
      </c>
      <c r="D140" s="15" t="inlineStr">
        <is>
          <t>Logout thành công xóa cookie refresh và trả 204</t>
        </is>
      </c>
      <c r="E140" s="15" t="inlineStr">
        <is>
          <t>Chức năng</t>
        </is>
      </c>
      <c r="F140" s="20" t="inlineStr">
        <is>
          <t>Trung bình</t>
        </is>
      </c>
      <c r="G140" s="17" t="inlineStr">
        <is>
          <t>Đã hoàn thiện</t>
        </is>
      </c>
      <c r="H140" s="17" t="inlineStr">
        <is>
          <t>Có</t>
        </is>
      </c>
      <c r="I140" s="15" t="inlineStr">
        <is>
          <t>Đăng nhập user mới</t>
        </is>
      </c>
      <c r="J140" s="15" t="inlineStr">
        <is>
          <t>1. POST /api/auth/logout với Bearer
2. Xem header Set-Cookie
3. POST /api/auth/refresh với cookie cũ</t>
        </is>
      </c>
      <c r="K140" s="15" t="inlineStr">
        <is>
          <t>-</t>
        </is>
      </c>
      <c r="L140" s="15" t="inlineStr">
        <is>
          <t>HTTP 204 không body; Set-Cookie refresh_token có giá trị rỗng/hết hạn, Path=/api/auth; refresh bằng cookie cũ HTTP 401.</t>
        </is>
      </c>
      <c r="M140" s="15" t="inlineStr"/>
      <c r="N140" s="18" t="inlineStr">
        <is>
          <t>Chưa test</t>
        </is>
      </c>
      <c r="O140" s="15" t="inlineStr"/>
      <c r="P140" s="15" t="inlineStr"/>
      <c r="Q140" s="18" t="inlineStr">
        <is>
          <t>Chưa test</t>
        </is>
      </c>
      <c r="R140" s="15" t="inlineStr"/>
    </row>
    <row r="141" ht="30" customHeight="1">
      <c r="A141" s="14" t="inlineStr">
        <is>
          <t>TC-AUTH-140</t>
        </is>
      </c>
      <c r="B141" s="15" t="inlineStr">
        <is>
          <t>Tài khoản &amp; Xác thực</t>
        </is>
      </c>
      <c r="C141" s="15" t="inlineStr">
        <is>
          <t>Làm mới phiên</t>
        </is>
      </c>
      <c r="D141" s="15" t="inlineStr">
        <is>
          <t>POST /auth/refresh không có cookie trả 401 'Chưa đăng nhập'</t>
        </is>
      </c>
      <c r="E141" s="15" t="inlineStr">
        <is>
          <t>Chức năng</t>
        </is>
      </c>
      <c r="F141" s="20" t="inlineStr">
        <is>
          <t>Trung bình</t>
        </is>
      </c>
      <c r="G141" s="17" t="inlineStr">
        <is>
          <t>Đã hoàn thiện</t>
        </is>
      </c>
      <c r="H141" s="17" t="inlineStr">
        <is>
          <t>Có</t>
        </is>
      </c>
      <c r="I141" s="15" t="inlineStr">
        <is>
          <t>-</t>
        </is>
      </c>
      <c r="J141" s="15" t="inlineStr">
        <is>
          <t>1. POST /api/auth/refresh không kèm cookie</t>
        </is>
      </c>
      <c r="K141" s="15" t="inlineStr">
        <is>
          <t>-</t>
        </is>
      </c>
      <c r="L141" s="15" t="inlineStr">
        <is>
          <t>HTTP 401 UNAUTHORIZED, message 'Chưa đăng nhập'.</t>
        </is>
      </c>
      <c r="M141" s="15" t="inlineStr"/>
      <c r="N141" s="18" t="inlineStr">
        <is>
          <t>Chưa test</t>
        </is>
      </c>
      <c r="O141" s="15" t="inlineStr"/>
      <c r="P141" s="15" t="inlineStr"/>
      <c r="Q141" s="18" t="inlineStr">
        <is>
          <t>Chưa test</t>
        </is>
      </c>
      <c r="R141" s="15" t="inlineStr"/>
    </row>
    <row r="142" ht="30" customHeight="1">
      <c r="A142" s="14" t="inlineStr">
        <is>
          <t>TC-AUTH-141</t>
        </is>
      </c>
      <c r="B142" s="15" t="inlineStr">
        <is>
          <t>Tài khoản &amp; Xác thực</t>
        </is>
      </c>
      <c r="C142" s="15" t="inlineStr">
        <is>
          <t>Làm mới phiên</t>
        </is>
      </c>
      <c r="D142" s="15" t="inlineStr">
        <is>
          <t>Refresh xoay token nhưng giữ nguyên id phiên và số lượng phiên</t>
        </is>
      </c>
      <c r="E142" s="15" t="inlineStr">
        <is>
          <t>Chức năng</t>
        </is>
      </c>
      <c r="F142" s="16" t="inlineStr">
        <is>
          <t>Cao</t>
        </is>
      </c>
      <c r="G142" s="17" t="inlineStr">
        <is>
          <t>Đã hoàn thiện</t>
        </is>
      </c>
      <c r="H142" s="17" t="inlineStr">
        <is>
          <t>Có</t>
        </is>
      </c>
      <c r="I142" s="15" t="inlineStr">
        <is>
          <t>Đăng nhập user mới, có cookie C1 và id phiên S</t>
        </is>
      </c>
      <c r="J142" s="15" t="inlineStr">
        <is>
          <t>1. POST /api/auth/refresh với C1
2. GET /api/auth/sessions bằng accessToken mới</t>
        </is>
      </c>
      <c r="K142" s="15" t="inlineStr">
        <is>
          <t>-</t>
        </is>
      </c>
      <c r="L142" s="15" t="inlineStr">
        <is>
          <t>HTTP 200 kèm accessToken mới và Set-Cookie refresh_token mới (khác C1); danh sách phiên vẫn 1 phần tử và id = S (sid ổn định), lastUsedAt được cập nhật.</t>
        </is>
      </c>
      <c r="M142" s="15" t="inlineStr"/>
      <c r="N142" s="18" t="inlineStr">
        <is>
          <t>Chưa test</t>
        </is>
      </c>
      <c r="O142" s="15" t="inlineStr"/>
      <c r="P142" s="15" t="inlineStr"/>
      <c r="Q142" s="18" t="inlineStr">
        <is>
          <t>Chưa test</t>
        </is>
      </c>
      <c r="R142" s="15" t="inlineStr"/>
    </row>
    <row r="143" ht="60" customHeight="1">
      <c r="A143" s="14" t="inlineStr">
        <is>
          <t>TC-AUTH-142</t>
        </is>
      </c>
      <c r="B143" s="15" t="inlineStr">
        <is>
          <t>Tài khoản &amp; Xác thực</t>
        </is>
      </c>
      <c r="C143" s="15" t="inlineStr">
        <is>
          <t>Xóa tài khoản</t>
        </is>
      </c>
      <c r="D143" s="15" t="inlineStr">
        <is>
          <t>Xóa tài khoản: thiếu token 401, thiếu mật khẩu 400, sai mật khẩu 400</t>
        </is>
      </c>
      <c r="E143" s="15" t="inlineStr">
        <is>
          <t>Chức năng</t>
        </is>
      </c>
      <c r="F143" s="16" t="inlineStr">
        <is>
          <t>Cao</t>
        </is>
      </c>
      <c r="G143" s="17" t="inlineStr">
        <is>
          <t>Đã hoàn thiện</t>
        </is>
      </c>
      <c r="H143" s="17" t="inlineStr">
        <is>
          <t>Có</t>
        </is>
      </c>
      <c r="I143" s="15" t="inlineStr">
        <is>
          <t>User mới qa.del01@sofinhub.test</t>
        </is>
      </c>
      <c r="J143" s="15" t="inlineStr">
        <is>
          <t>1. DELETE /api/auth/me không token
2. DELETE /api/auth/me với body {}
3. DELETE với password='Sai@12345'
4. Đăng nhập lại bằng mật khẩu đúng</t>
        </is>
      </c>
      <c r="K143" s="15" t="inlineStr">
        <is>
          <t>-</t>
        </is>
      </c>
      <c r="L143" s="15" t="inlineStr">
        <is>
          <t>401 UNAUTHORIZED; 400 VALIDATION_ERROR (thiếu password); 400 BAD_REQUEST 'Mật khẩu không đúng'; tài khoản vẫn còn, đăng nhập lại thành công.</t>
        </is>
      </c>
      <c r="M143" s="15" t="inlineStr"/>
      <c r="N143" s="18" t="inlineStr">
        <is>
          <t>Chưa test</t>
        </is>
      </c>
      <c r="O143" s="15" t="inlineStr"/>
      <c r="P143" s="15" t="inlineStr"/>
      <c r="Q143" s="18" t="inlineStr">
        <is>
          <t>Chưa test</t>
        </is>
      </c>
      <c r="R143" s="15" t="inlineStr"/>
    </row>
    <row r="144" ht="30" customHeight="1">
      <c r="A144" s="14" t="inlineStr">
        <is>
          <t>TC-AUTH-143</t>
        </is>
      </c>
      <c r="B144" s="15" t="inlineStr">
        <is>
          <t>Tài khoản &amp; Xác thực</t>
        </is>
      </c>
      <c r="C144" s="15" t="inlineStr">
        <is>
          <t>Xóa tài khoản</t>
        </is>
      </c>
      <c r="D144" s="15" t="inlineStr">
        <is>
          <t>Owner cộng đồng không xóa được tài khoản: 409 kèm hướng dẫn chuyển quyền</t>
        </is>
      </c>
      <c r="E144" s="15" t="inlineStr">
        <is>
          <t>Chức năng</t>
        </is>
      </c>
      <c r="F144" s="16" t="inlineStr">
        <is>
          <t>Cao</t>
        </is>
      </c>
      <c r="G144" s="17" t="inlineStr">
        <is>
          <t>Đã hoàn thiện</t>
        </is>
      </c>
      <c r="H144" s="17" t="inlineStr">
        <is>
          <t>Có</t>
        </is>
      </c>
      <c r="I144" s="15" t="inlineStr">
        <is>
          <t>Đăng nhập owner@sofinhub.test (owner photo, yt, fin, ...). Case này không phá seed</t>
        </is>
      </c>
      <c r="J144" s="15" t="inlineStr">
        <is>
          <t>1. DELETE /api/auth/me {"password":"Passw0rd!x"}
2. Đăng nhập lại owner@sofinhub.test</t>
        </is>
      </c>
      <c r="K144" s="15" t="inlineStr">
        <is>
          <t>password=Passw0rd!x</t>
        </is>
      </c>
      <c r="L144" s="15" t="inlineStr">
        <is>
          <t>HTTP 409 CONFLICT 'Bạn đang là chủ của một cộng đồng, hãy chuyển quyền sở hữu trước khi xóa tài khoản'; đăng nhập lại vẫn thành công, quyền owner giữ nguyên. (Chưa có API chuyển quyền owner nên người dùng chưa gỡ được điều kiện này - giá trị chưa chốt.)</t>
        </is>
      </c>
      <c r="M144" s="15" t="inlineStr"/>
      <c r="N144" s="18" t="inlineStr">
        <is>
          <t>Chưa test</t>
        </is>
      </c>
      <c r="O144" s="15" t="inlineStr"/>
      <c r="P144" s="15" t="inlineStr"/>
      <c r="Q144" s="18" t="inlineStr">
        <is>
          <t>Chưa test</t>
        </is>
      </c>
      <c r="R144" s="15" t="inlineStr"/>
    </row>
    <row r="145" ht="45" customHeight="1">
      <c r="A145" s="14" t="inlineStr">
        <is>
          <t>TC-AUTH-144</t>
        </is>
      </c>
      <c r="B145" s="15" t="inlineStr">
        <is>
          <t>Tài khoản &amp; Xác thực</t>
        </is>
      </c>
      <c r="C145" s="15" t="inlineStr">
        <is>
          <t>Xóa tài khoản</t>
        </is>
      </c>
      <c r="D145" s="15" t="inlineStr">
        <is>
          <t>Xóa thành công: 204, ẩn danh hóa hàng User, không đăng nhập lại được</t>
        </is>
      </c>
      <c r="E145" s="15" t="inlineStr">
        <is>
          <t>Chức năng</t>
        </is>
      </c>
      <c r="F145" s="16" t="inlineStr">
        <is>
          <t>Cao</t>
        </is>
      </c>
      <c r="G145" s="17" t="inlineStr">
        <is>
          <t>Đã hoàn thiện</t>
        </is>
      </c>
      <c r="H145" s="20" t="inlineStr">
        <is>
          <t>Một phần</t>
        </is>
      </c>
      <c r="I145" s="15" t="inlineStr">
        <is>
          <t>User mới qa.del02@sofinhub.test đã đăng nhập ở 2 phiên</t>
        </is>
      </c>
      <c r="J145" s="15" t="inlineStr">
        <is>
          <t>1. DELETE /api/auth/me {"password":"Matkhau@123"}
2. Đăng nhập lại bằng email/mật khẩu cũ
3. Kiểm tra bảng User trong DB</t>
        </is>
      </c>
      <c r="K145" s="15" t="inlineStr">
        <is>
          <t>Matkhau@123</t>
        </is>
      </c>
      <c r="L145" s="15" t="inlineStr">
        <is>
          <t>HTTP 204. Login lại 401 'Email hoặc mật khẩu không đúng'. DB: email='deleted-&lt;id&gt;@deleted.invalid', firstName='Thành viên', lastName='đã xóa', bio/website=null, deletedAt có giá trị, không còn Session chưa thu hồi.</t>
        </is>
      </c>
      <c r="M145" s="15" t="inlineStr"/>
      <c r="N145" s="18" t="inlineStr">
        <is>
          <t>Chưa test</t>
        </is>
      </c>
      <c r="O145" s="15" t="inlineStr"/>
      <c r="P145" s="15" t="inlineStr"/>
      <c r="Q145" s="18" t="inlineStr">
        <is>
          <t>Chưa test</t>
        </is>
      </c>
      <c r="R145" s="15" t="inlineStr"/>
    </row>
    <row r="146" ht="45" customHeight="1">
      <c r="A146" s="14" t="inlineStr">
        <is>
          <t>TC-AUTH-145</t>
        </is>
      </c>
      <c r="B146" s="15" t="inlineStr">
        <is>
          <t>Tài khoản &amp; Xác thực</t>
        </is>
      </c>
      <c r="C146" s="15" t="inlineStr">
        <is>
          <t>Xóa tài khoản</t>
        </is>
      </c>
      <c r="D146" s="15" t="inlineStr">
        <is>
          <t>Sau xóa, bài viết và bình luận cũ được giữ và hiển thị 'Thành viên đã xóa'</t>
        </is>
      </c>
      <c r="E146" s="15" t="inlineStr">
        <is>
          <t>Chức năng</t>
        </is>
      </c>
      <c r="F146" s="16" t="inlineStr">
        <is>
          <t>Cao</t>
        </is>
      </c>
      <c r="G146" s="17" t="inlineStr">
        <is>
          <t>Đã hoàn thiện</t>
        </is>
      </c>
      <c r="H146" s="17" t="inlineStr">
        <is>
          <t>Có</t>
        </is>
      </c>
      <c r="I146" s="15" t="inlineStr">
        <is>
          <t>User X mới đã tham gia photo, đăng 1 bài và 1 bình luận; member1 dùng để xem</t>
        </is>
      </c>
      <c r="J146" s="15" t="inlineStr">
        <is>
          <t>1. X xóa tài khoản
2. member1: GET /api/posts/&lt;id bài của X&gt;
3. member1: GET /api/posts/&lt;id&gt;/comments</t>
        </is>
      </c>
      <c r="K146" s="15" t="inlineStr">
        <is>
          <t>-</t>
        </is>
      </c>
      <c r="L146" s="15" t="inlineStr">
        <is>
          <t>post.author.name = 'Thành viên đã xóa' và comment.author.name = 'Thành viên đã xóa'; nội dung bài/bình luận còn nguyên.</t>
        </is>
      </c>
      <c r="M146" s="15" t="inlineStr"/>
      <c r="N146" s="18" t="inlineStr">
        <is>
          <t>Chưa test</t>
        </is>
      </c>
      <c r="O146" s="15" t="inlineStr"/>
      <c r="P146" s="15" t="inlineStr"/>
      <c r="Q146" s="18" t="inlineStr">
        <is>
          <t>Chưa test</t>
        </is>
      </c>
      <c r="R146" s="15" t="inlineStr"/>
    </row>
    <row r="147" ht="60" customHeight="1">
      <c r="A147" s="14" t="inlineStr">
        <is>
          <t>TC-AUTH-146</t>
        </is>
      </c>
      <c r="B147" s="15" t="inlineStr">
        <is>
          <t>Tài khoản &amp; Xác thực</t>
        </is>
      </c>
      <c r="C147" s="15" t="inlineStr">
        <is>
          <t>Xóa tài khoản</t>
        </is>
      </c>
      <c r="D147" s="15" t="inlineStr">
        <is>
          <t>Sau xóa, X bị rút khỏi cộng đồng, thông báo bị xóa, hồ sơ công khai 404</t>
        </is>
      </c>
      <c r="E147" s="15" t="inlineStr">
        <is>
          <t>Chức năng</t>
        </is>
      </c>
      <c r="F147" s="20" t="inlineStr">
        <is>
          <t>Trung bình</t>
        </is>
      </c>
      <c r="G147" s="17" t="inlineStr">
        <is>
          <t>Đã hoàn thiện</t>
        </is>
      </c>
      <c r="H147" s="17" t="inlineStr">
        <is>
          <t>Có</t>
        </is>
      </c>
      <c r="I147" s="15" t="inlineStr">
        <is>
          <t>User X mới đã tham gia photo</t>
        </is>
      </c>
      <c r="J147" s="15" t="inlineStr">
        <is>
          <t>1. Ghi số thành viên photo
2. X xóa tài khoản
3. member1: GET /api/users/&lt;id X&gt;
4. Xem lại số thành viên photo</t>
        </is>
      </c>
      <c r="K147" s="15" t="inlineStr">
        <is>
          <t>-</t>
        </is>
      </c>
      <c r="L147" s="15" t="inlineStr">
        <is>
          <t>HTTP 404 'Không tìm thấy người dùng' cho hồ sơ; số thành viên photo giảm đúng 1; X không còn trong danh sách thành viên.</t>
        </is>
      </c>
      <c r="M147" s="15" t="inlineStr"/>
      <c r="N147" s="18" t="inlineStr">
        <is>
          <t>Chưa test</t>
        </is>
      </c>
      <c r="O147" s="15" t="inlineStr"/>
      <c r="P147" s="15" t="inlineStr"/>
      <c r="Q147" s="18" t="inlineStr">
        <is>
          <t>Chưa test</t>
        </is>
      </c>
      <c r="R147" s="15" t="inlineStr"/>
    </row>
    <row r="148" ht="45" customHeight="1">
      <c r="A148" s="14" t="inlineStr">
        <is>
          <t>TC-AUTH-147</t>
        </is>
      </c>
      <c r="B148" s="15" t="inlineStr">
        <is>
          <t>Tài khoản &amp; Xác thực</t>
        </is>
      </c>
      <c r="C148" s="15" t="inlineStr">
        <is>
          <t>Xóa tài khoản</t>
        </is>
      </c>
      <c r="D148" s="15" t="inlineStr">
        <is>
          <t>Sau xóa, điểm và thanh toán của user vẫn được giữ trong DB</t>
        </is>
      </c>
      <c r="E148" s="15" t="inlineStr">
        <is>
          <t>Chức năng</t>
        </is>
      </c>
      <c r="F148" s="20" t="inlineStr">
        <is>
          <t>Trung bình</t>
        </is>
      </c>
      <c r="G148" s="17" t="inlineStr">
        <is>
          <t>Đã hoàn thiện</t>
        </is>
      </c>
      <c r="H148" s="16" t="inlineStr">
        <is>
          <t>Không</t>
        </is>
      </c>
      <c r="I148" s="15" t="inlineStr">
        <is>
          <t>User Y mới có PointEvent (đăng bài) và 1 giao dịch thanh toán (paid-demo, MockGateway)</t>
        </is>
      </c>
      <c r="J148" s="15" t="inlineStr">
        <is>
          <t>1. Đếm PointEvent và Payment của Y
2. Y xóa tài khoản
3. Đếm lại</t>
        </is>
      </c>
      <c r="K148" s="15" t="inlineStr">
        <is>
          <t>-</t>
        </is>
      </c>
      <c r="L148" s="15" t="inlineStr">
        <is>
          <t>Số PointEvent và Payment không đổi (identity.md: giữ có chủ đích); user chỉ bị ẩn danh hóa.</t>
        </is>
      </c>
      <c r="M148" s="15" t="inlineStr"/>
      <c r="N148" s="18" t="inlineStr">
        <is>
          <t>Chưa test</t>
        </is>
      </c>
      <c r="O148" s="15" t="inlineStr"/>
      <c r="P148" s="15" t="inlineStr"/>
      <c r="Q148" s="18" t="inlineStr">
        <is>
          <t>Chưa test</t>
        </is>
      </c>
      <c r="R148" s="15" t="inlineStr"/>
    </row>
    <row r="149" ht="30" customHeight="1">
      <c r="A149" s="14" t="inlineStr">
        <is>
          <t>TC-AUTH-148</t>
        </is>
      </c>
      <c r="B149" s="15" t="inlineStr">
        <is>
          <t>Tài khoản &amp; Xác thực</t>
        </is>
      </c>
      <c r="C149" s="15" t="inlineStr">
        <is>
          <t>Xóa tài khoản</t>
        </is>
      </c>
      <c r="D149" s="15" t="inlineStr">
        <is>
          <t>Email cũ đăng ký lại được và tài khoản mới không dính dữ liệu cũ</t>
        </is>
      </c>
      <c r="E149" s="15" t="inlineStr">
        <is>
          <t>Chức năng</t>
        </is>
      </c>
      <c r="F149" s="20" t="inlineStr">
        <is>
          <t>Trung bình</t>
        </is>
      </c>
      <c r="G149" s="17" t="inlineStr">
        <is>
          <t>Đã hoàn thiện</t>
        </is>
      </c>
      <c r="H149" s="17" t="inlineStr">
        <is>
          <t>Có</t>
        </is>
      </c>
      <c r="I149" s="15" t="inlineStr">
        <is>
          <t>User Z (qa.del03@sofinhub.test) đã xóa tài khoản</t>
        </is>
      </c>
      <c r="J149" s="15" t="inlineStr">
        <is>
          <t>1. POST /api/auth/register với cùng email qa.del03@sofinhub.test
2. GET /api/me/points và /api/me/enrollments bằng token mới</t>
        </is>
      </c>
      <c r="K149" s="15" t="inlineStr">
        <is>
          <t>Matkhau@123</t>
        </is>
      </c>
      <c r="L149" s="15" t="inlineStr">
        <is>
          <t>Đăng ký HTTP 200, id mới khác id cũ; /me/points total=0, /me/enrollments=[]; không có bài viết cũ gắn vào tài khoản mới.</t>
        </is>
      </c>
      <c r="M149" s="15" t="inlineStr"/>
      <c r="N149" s="18" t="inlineStr">
        <is>
          <t>Chưa test</t>
        </is>
      </c>
      <c r="O149" s="15" t="inlineStr"/>
      <c r="P149" s="15" t="inlineStr"/>
      <c r="Q149" s="18" t="inlineStr">
        <is>
          <t>Chưa test</t>
        </is>
      </c>
      <c r="R149" s="15" t="inlineStr"/>
    </row>
    <row r="150" ht="75" customHeight="1">
      <c r="A150" s="14" t="inlineStr">
        <is>
          <t>TC-AUTH-149</t>
        </is>
      </c>
      <c r="B150" s="15" t="inlineStr">
        <is>
          <t>Tài khoản &amp; Xác thực</t>
        </is>
      </c>
      <c r="C150" s="15" t="inlineStr">
        <is>
          <t>Xóa tài khoản</t>
        </is>
      </c>
      <c r="D150" s="15" t="inlineStr">
        <is>
          <t>UI tab 'Xóa tài khoản': xác nhận, hủy, thành công về trang chủ dạng khách</t>
        </is>
      </c>
      <c r="E150" s="15" t="inlineStr">
        <is>
          <t>Giao diện</t>
        </is>
      </c>
      <c r="F150" s="16" t="inlineStr">
        <is>
          <t>Cao</t>
        </is>
      </c>
      <c r="G150" s="17" t="inlineStr">
        <is>
          <t>Đã hoàn thiện</t>
        </is>
      </c>
      <c r="H150" s="17" t="inlineStr">
        <is>
          <t>Có</t>
        </is>
      </c>
      <c r="I150" s="15" t="inlineStr">
        <is>
          <t>Đăng nhập user mới qa.del04@sofinhub.test</t>
        </is>
      </c>
      <c r="J150" s="15" t="inlineStr">
        <is>
          <t>1. /settings &gt; 'Xóa tài khoản'
2. Bấm 'Xóa tài khoản vĩnh viễn' khi bỏ trống mật khẩu
3. Nhập sai mật khẩu
4. Nhập đúng, bấm nút, Hủy hộp thoại confirm
5. Bấm lại và OK</t>
        </is>
      </c>
      <c r="K150" s="15" t="inlineStr">
        <is>
          <t>Matkhau@123</t>
        </is>
      </c>
      <c r="L150" s="15" t="inlineStr">
        <is>
          <t>Trống/sai: lỗi ngay ô mật khẩu. Hủy confirm ('Xóa vĩnh viễn tài khoản? Hành động này không thể hoàn tác.') thì không xóa. OK: về trang chủ ở trạng thái khách; đăng nhập lại thất bại.</t>
        </is>
      </c>
      <c r="M150" s="15" t="inlineStr"/>
      <c r="N150" s="18" t="inlineStr">
        <is>
          <t>Chưa test</t>
        </is>
      </c>
      <c r="O150" s="15" t="inlineStr"/>
      <c r="P150" s="15" t="inlineStr"/>
      <c r="Q150" s="18" t="inlineStr">
        <is>
          <t>Chưa test</t>
        </is>
      </c>
      <c r="R150" s="15" t="inlineStr"/>
    </row>
    <row r="151" ht="30" customHeight="1">
      <c r="A151" s="14" t="inlineStr">
        <is>
          <t>TC-AUTH-150</t>
        </is>
      </c>
      <c r="B151" s="15" t="inlineStr">
        <is>
          <t>Tài khoản &amp; Xác thực</t>
        </is>
      </c>
      <c r="C151" s="15" t="inlineStr">
        <is>
          <t>Bản tin</t>
        </is>
      </c>
      <c r="D151" s="15" t="inlineStr">
        <is>
          <t>Đăng ký bản tin lần đầu: 200 và thư chào trong outbox</t>
        </is>
      </c>
      <c r="E151" s="15" t="inlineStr">
        <is>
          <t>Chức năng</t>
        </is>
      </c>
      <c r="F151" s="20" t="inlineStr">
        <is>
          <t>Trung bình</t>
        </is>
      </c>
      <c r="G151" s="17" t="inlineStr">
        <is>
          <t>Đã hoàn thiện</t>
        </is>
      </c>
      <c r="H151" s="17" t="inlineStr">
        <is>
          <t>Có</t>
        </is>
      </c>
      <c r="I151" s="15" t="inlineStr">
        <is>
          <t>Email qa.news01@sofinhub.test chưa đăng ký bản tin</t>
        </is>
      </c>
      <c r="J151" s="15" t="inlineStr">
        <is>
          <t>1. POST /api/newsletter {"email":"qa.news01@sofinhub.test"}
2. GET /api/dev/outbox?to=qa.news01@sofinhub.test</t>
        </is>
      </c>
      <c r="K151" s="15" t="inlineStr">
        <is>
          <t>-</t>
        </is>
      </c>
      <c r="L151" s="15" t="inlineStr">
        <is>
          <t>HTTP 200 {data:{subscribed:true}}; outbox có thư subject 'Chào mừng bạn đến với bản tin SofinHub'.</t>
        </is>
      </c>
      <c r="M151" s="15" t="inlineStr"/>
      <c r="N151" s="18" t="inlineStr">
        <is>
          <t>Chưa test</t>
        </is>
      </c>
      <c r="O151" s="15" t="inlineStr"/>
      <c r="P151" s="15" t="inlineStr"/>
      <c r="Q151" s="18" t="inlineStr">
        <is>
          <t>Chưa test</t>
        </is>
      </c>
      <c r="R151" s="15" t="inlineStr"/>
    </row>
    <row r="152" ht="30" customHeight="1">
      <c r="A152" s="14" t="inlineStr">
        <is>
          <t>TC-AUTH-151</t>
        </is>
      </c>
      <c r="B152" s="15" t="inlineStr">
        <is>
          <t>Tài khoản &amp; Xác thực</t>
        </is>
      </c>
      <c r="C152" s="15" t="inlineStr">
        <is>
          <t>Bản tin</t>
        </is>
      </c>
      <c r="D152" s="15" t="inlineStr">
        <is>
          <t>Đăng ký lại cùng email (kể cả khác hoa/thường): vẫn 200 nhưng không gửi thêm thư</t>
        </is>
      </c>
      <c r="E152" s="15" t="inlineStr">
        <is>
          <t>Chức năng</t>
        </is>
      </c>
      <c r="F152" s="20" t="inlineStr">
        <is>
          <t>Trung bình</t>
        </is>
      </c>
      <c r="G152" s="17" t="inlineStr">
        <is>
          <t>Đã hoàn thiện</t>
        </is>
      </c>
      <c r="H152" s="17" t="inlineStr">
        <is>
          <t>Có</t>
        </is>
      </c>
      <c r="I152" s="15" t="inlineStr">
        <is>
          <t>qa.news01@sofinhub.test đã đăng ký ở case trước</t>
        </is>
      </c>
      <c r="J152" s="15" t="inlineStr">
        <is>
          <t>1. POST /api/newsletter với ' QA.News01@SofinHub.test '
2. GET /api/dev/outbox?to=qa.news01@sofinhub.test</t>
        </is>
      </c>
      <c r="K152" s="15" t="inlineStr">
        <is>
          <t>-</t>
        </is>
      </c>
      <c r="L152" s="15" t="inlineStr">
        <is>
          <t>HTTP 200 {subscribed:true} (idempotent); outbox vẫn chỉ 1 thư chào.</t>
        </is>
      </c>
      <c r="M152" s="15" t="inlineStr"/>
      <c r="N152" s="18" t="inlineStr">
        <is>
          <t>Chưa test</t>
        </is>
      </c>
      <c r="O152" s="15" t="inlineStr"/>
      <c r="P152" s="15" t="inlineStr"/>
      <c r="Q152" s="18" t="inlineStr">
        <is>
          <t>Chưa test</t>
        </is>
      </c>
      <c r="R152" s="15" t="inlineStr"/>
    </row>
    <row r="153" ht="30" customHeight="1">
      <c r="A153" s="14" t="inlineStr">
        <is>
          <t>TC-AUTH-152</t>
        </is>
      </c>
      <c r="B153" s="15" t="inlineStr">
        <is>
          <t>Tài khoản &amp; Xác thực</t>
        </is>
      </c>
      <c r="C153" s="15" t="inlineStr">
        <is>
          <t>Bản tin</t>
        </is>
      </c>
      <c r="D153" s="15" t="inlineStr">
        <is>
          <t>Email sai định dạng bị từ chối</t>
        </is>
      </c>
      <c r="E153" s="15" t="inlineStr">
        <is>
          <t>Chức năng</t>
        </is>
      </c>
      <c r="F153" s="17" t="inlineStr">
        <is>
          <t>Thấp</t>
        </is>
      </c>
      <c r="G153" s="17" t="inlineStr">
        <is>
          <t>Đã hoàn thiện</t>
        </is>
      </c>
      <c r="H153" s="17" t="inlineStr">
        <is>
          <t>Có</t>
        </is>
      </c>
      <c r="I153" s="15" t="inlineStr">
        <is>
          <t>-</t>
        </is>
      </c>
      <c r="J153" s="15" t="inlineStr">
        <is>
          <t>1. POST /api/newsletter với 'abc'
2. POST /api/newsletter với {}</t>
        </is>
      </c>
      <c r="K153" s="15" t="inlineStr">
        <is>
          <t>abc / thiếu</t>
        </is>
      </c>
      <c r="L153" s="15" t="inlineStr">
        <is>
          <t>Cả hai HTTP 400 VALIDATION_ERROR (fieldErrors.email); không tạo đăng ký.</t>
        </is>
      </c>
      <c r="M153" s="15" t="inlineStr"/>
      <c r="N153" s="18" t="inlineStr">
        <is>
          <t>Chưa test</t>
        </is>
      </c>
      <c r="O153" s="15" t="inlineStr"/>
      <c r="P153" s="15" t="inlineStr"/>
      <c r="Q153" s="18" t="inlineStr">
        <is>
          <t>Chưa test</t>
        </is>
      </c>
      <c r="R153" s="15" t="inlineStr"/>
    </row>
    <row r="154" ht="45" customHeight="1">
      <c r="A154" s="14" t="inlineStr">
        <is>
          <t>TC-AUTH-153</t>
        </is>
      </c>
      <c r="B154" s="15" t="inlineStr">
        <is>
          <t>Tài khoản &amp; Xác thực</t>
        </is>
      </c>
      <c r="C154" s="15" t="inlineStr">
        <is>
          <t>Bản tin</t>
        </is>
      </c>
      <c r="D154" s="15" t="inlineStr">
        <is>
          <t>Hủy đăng ký bản tin idempotent, kể cả email chưa từng đăng ký</t>
        </is>
      </c>
      <c r="E154" s="15" t="inlineStr">
        <is>
          <t>Chức năng</t>
        </is>
      </c>
      <c r="F154" s="17" t="inlineStr">
        <is>
          <t>Thấp</t>
        </is>
      </c>
      <c r="G154" s="17" t="inlineStr">
        <is>
          <t>Đã hoàn thiện</t>
        </is>
      </c>
      <c r="H154" s="17" t="inlineStr">
        <is>
          <t>Có</t>
        </is>
      </c>
      <c r="I154" s="15" t="inlineStr">
        <is>
          <t>-</t>
        </is>
      </c>
      <c r="J154" s="15" t="inlineStr">
        <is>
          <t>1. POST /api/newsletter/unsubscribe với qa.news01@sofinhub.test
2. POST lại lần 2
3. POST với ghost.news@sofinhub.test chưa từng đăng ký</t>
        </is>
      </c>
      <c r="K154" s="15" t="inlineStr">
        <is>
          <t>-</t>
        </is>
      </c>
      <c r="L154" s="15" t="inlineStr">
        <is>
          <t>Cả ba HTTP 200 {unsubscribed:true}.</t>
        </is>
      </c>
      <c r="M154" s="15" t="inlineStr"/>
      <c r="N154" s="18" t="inlineStr">
        <is>
          <t>Chưa test</t>
        </is>
      </c>
      <c r="O154" s="15" t="inlineStr"/>
      <c r="P154" s="15" t="inlineStr"/>
      <c r="Q154" s="18" t="inlineStr">
        <is>
          <t>Chưa test</t>
        </is>
      </c>
      <c r="R154" s="15" t="inlineStr"/>
    </row>
    <row r="155" ht="30" customHeight="1">
      <c r="A155" s="14" t="inlineStr">
        <is>
          <t>TC-AUTH-154</t>
        </is>
      </c>
      <c r="B155" s="15" t="inlineStr">
        <is>
          <t>Tài khoản &amp; Xác thực</t>
        </is>
      </c>
      <c r="C155" s="15" t="inlineStr">
        <is>
          <t>Bản tin</t>
        </is>
      </c>
      <c r="D155" s="15" t="inlineStr">
        <is>
          <t>Hủy bản tin không cần xác thực chủ sở hữu email (hạn chế đã biết)</t>
        </is>
      </c>
      <c r="E155" s="15" t="inlineStr">
        <is>
          <t>Bảo mật</t>
        </is>
      </c>
      <c r="F155" s="20" t="inlineStr">
        <is>
          <t>Trung bình</t>
        </is>
      </c>
      <c r="G155" s="20" t="inlineStr">
        <is>
          <t>Kế hoạch</t>
        </is>
      </c>
      <c r="H155" s="16" t="inlineStr">
        <is>
          <t>Không</t>
        </is>
      </c>
      <c r="I155" s="15" t="inlineStr">
        <is>
          <t>Chưa làm: link hủy có token ký trong email (identity.md 'Chưa làm')</t>
        </is>
      </c>
      <c r="J155" s="15" t="inlineStr">
        <is>
          <t>1. Người lạ gọi POST /api/newsletter/unsubscribe với email của người khác</t>
        </is>
      </c>
      <c r="K155" s="15" t="inlineStr">
        <is>
          <t>email nạn nhân</t>
        </is>
      </c>
      <c r="L155" s="15" t="inlineStr">
        <is>
          <t>Sau khi làm: chỉ hủy được khi có token hợp lệ từ thư; hiện tại bất kỳ ai biết email đều hủy được.</t>
        </is>
      </c>
      <c r="M155" s="15" t="inlineStr"/>
      <c r="N155" s="18" t="inlineStr">
        <is>
          <t>Chưa test</t>
        </is>
      </c>
      <c r="O155" s="15" t="inlineStr"/>
      <c r="P155" s="15" t="inlineStr"/>
      <c r="Q155" s="18" t="inlineStr">
        <is>
          <t>Chưa test</t>
        </is>
      </c>
      <c r="R155" s="15" t="inlineStr"/>
    </row>
    <row r="156" ht="30" customHeight="1">
      <c r="A156" s="14" t="inlineStr">
        <is>
          <t>TC-AUTH-155</t>
        </is>
      </c>
      <c r="B156" s="15" t="inlineStr">
        <is>
          <t>Tài khoản &amp; Xác thực</t>
        </is>
      </c>
      <c r="C156" s="15" t="inlineStr">
        <is>
          <t>Rate limit</t>
        </is>
      </c>
      <c r="D156" s="15" t="inlineStr">
        <is>
          <t>Bản tin vượt 10 request/15 phút/IP trả 429</t>
        </is>
      </c>
      <c r="E156" s="15" t="inlineStr">
        <is>
          <t>Bảo mật</t>
        </is>
      </c>
      <c r="F156" s="20" t="inlineStr">
        <is>
          <t>Trung bình</t>
        </is>
      </c>
      <c r="G156" s="17" t="inlineStr">
        <is>
          <t>Đã hoàn thiện</t>
        </is>
      </c>
      <c r="H156" s="17" t="inlineStr">
        <is>
          <t>Có</t>
        </is>
      </c>
      <c r="I156" s="15" t="inlineStr">
        <is>
          <t>BE vừa khởi động lại; NODE_ENV != test</t>
        </is>
      </c>
      <c r="J156" s="15" t="inlineStr">
        <is>
          <t>1. Gửi 10 POST /api/newsletter với 10 email khác nhau
2. Gửi request thứ 11</t>
        </is>
      </c>
      <c r="K156" s="15" t="inlineStr">
        <is>
          <t>qa.news10..@sofinhub.test</t>
        </is>
      </c>
      <c r="L156" s="15" t="inlineStr">
        <is>
          <t>10 request đầu 200; thứ 11 HTTP 429 TOO_MANY_REQUESTS 'Bạn thao tác quá nhiều lần, vui lòng thử lại sau ít phút'.</t>
        </is>
      </c>
      <c r="M156" s="15" t="inlineStr"/>
      <c r="N156" s="18" t="inlineStr">
        <is>
          <t>Chưa test</t>
        </is>
      </c>
      <c r="O156" s="15" t="inlineStr"/>
      <c r="P156" s="15" t="inlineStr"/>
      <c r="Q156" s="18" t="inlineStr">
        <is>
          <t>Chưa test</t>
        </is>
      </c>
      <c r="R156" s="15" t="inlineStr"/>
    </row>
    <row r="157" ht="60" customHeight="1">
      <c r="A157" s="14" t="inlineStr">
        <is>
          <t>TC-AUTH-156</t>
        </is>
      </c>
      <c r="B157" s="15" t="inlineStr">
        <is>
          <t>Tài khoản &amp; Xác thực</t>
        </is>
      </c>
      <c r="C157" s="15" t="inlineStr">
        <is>
          <t>Bản tin</t>
        </is>
      </c>
      <c r="D157" s="15" t="inlineStr">
        <is>
          <t>UI Footer 'Nhận bản tin': thành công, gửi lại vẫn thành công, nút khóa khi đang gửi</t>
        </is>
      </c>
      <c r="E157" s="15" t="inlineStr">
        <is>
          <t>Giao diện</t>
        </is>
      </c>
      <c r="F157" s="17" t="inlineStr">
        <is>
          <t>Thấp</t>
        </is>
      </c>
      <c r="G157" s="17" t="inlineStr">
        <is>
          <t>Đã hoàn thiện</t>
        </is>
      </c>
      <c r="H157" s="17" t="inlineStr">
        <is>
          <t>Có</t>
        </is>
      </c>
      <c r="I157" s="15" t="inlineStr">
        <is>
          <t>Ở trang chủ /</t>
        </is>
      </c>
      <c r="J157" s="15" t="inlineStr">
        <is>
          <t>1. Cuộn xuống Footer
2. Nhập email hợp lệ và bấm gửi
3. Gửi lại cùng email
4. Nhập email sai định dạng</t>
        </is>
      </c>
      <c r="K157" s="15" t="inlineStr">
        <is>
          <t>qa.news02@sofinhub.test / abc</t>
        </is>
      </c>
      <c r="L157" s="15" t="inlineStr">
        <is>
          <t>Hiện 'Cảm ơn bạn đã đăng ký!' cả hai lần; email sai hiện lỗi của trình duyệt/BE và không có thông báo thành công.</t>
        </is>
      </c>
      <c r="M157" s="15" t="inlineStr"/>
      <c r="N157" s="18" t="inlineStr">
        <is>
          <t>Chưa test</t>
        </is>
      </c>
      <c r="O157" s="15" t="inlineStr"/>
      <c r="P157" s="15" t="inlineStr"/>
      <c r="Q157" s="18" t="inlineStr">
        <is>
          <t>Chưa test</t>
        </is>
      </c>
      <c r="R157" s="15" t="inlineStr"/>
    </row>
    <row r="158" ht="30" customHeight="1">
      <c r="A158" s="14" t="inlineStr">
        <is>
          <t>TC-AUTH-157</t>
        </is>
      </c>
      <c r="B158" s="15" t="inlineStr">
        <is>
          <t>Tài khoản &amp; Xác thực</t>
        </is>
      </c>
      <c r="C158" s="15" t="inlineStr">
        <is>
          <t>Liên hệ</t>
        </is>
      </c>
      <c r="D158" s="15" t="inlineStr">
        <is>
          <t>Gửi liên hệ hợp lệ: 202, thư tới hộp hỗ trợ có tiêu đề '[Liên hệ] ...'</t>
        </is>
      </c>
      <c r="E158" s="15" t="inlineStr">
        <is>
          <t>Chức năng</t>
        </is>
      </c>
      <c r="F158" s="20" t="inlineStr">
        <is>
          <t>Trung bình</t>
        </is>
      </c>
      <c r="G158" s="17" t="inlineStr">
        <is>
          <t>Đã hoàn thiện</t>
        </is>
      </c>
      <c r="H158" s="17" t="inlineStr">
        <is>
          <t>Có</t>
        </is>
      </c>
      <c r="I158" s="15" t="inlineStr">
        <is>
          <t>SUPPORT_EMAIL mặc định support@sofinhub.local</t>
        </is>
      </c>
      <c r="J158" s="15" t="inlineStr">
        <is>
          <t>1. POST /api/contact với payload bên dưới
2. GET /api/dev/outbox?to=support@sofinhub.local</t>
        </is>
      </c>
      <c r="K158" s="15" t="inlineStr">
        <is>
          <t>{"name":"Nguyễn Văn A","email":"a@example.com","subject":"Hỏi về gói","message":"Xin chào"}</t>
        </is>
      </c>
      <c r="L158" s="15" t="inlineStr">
        <is>
          <t>HTTP 202 {data:{message:'Chúng tôi đã nhận được tin nhắn và sẽ phản hồi sớm.'}}; outbox có thư subject '[Liên hệ] Hỏi về gói', text bắt đầu 'Từ: Nguyễn Văn A &lt;a@example.com&gt;'.</t>
        </is>
      </c>
      <c r="M158" s="15" t="inlineStr"/>
      <c r="N158" s="18" t="inlineStr">
        <is>
          <t>Chưa test</t>
        </is>
      </c>
      <c r="O158" s="15" t="inlineStr"/>
      <c r="P158" s="15" t="inlineStr"/>
      <c r="Q158" s="18" t="inlineStr">
        <is>
          <t>Chưa test</t>
        </is>
      </c>
      <c r="R158" s="15" t="inlineStr"/>
    </row>
    <row r="159" ht="30" customHeight="1">
      <c r="A159" s="14" t="inlineStr">
        <is>
          <t>TC-AUTH-158</t>
        </is>
      </c>
      <c r="B159" s="15" t="inlineStr">
        <is>
          <t>Tài khoản &amp; Xác thực</t>
        </is>
      </c>
      <c r="C159" s="15" t="inlineStr">
        <is>
          <t>Liên hệ</t>
        </is>
      </c>
      <c r="D159" s="15" t="inlineStr">
        <is>
          <t>Từng trường bắt buộc: bỏ trống hoặc chỉ khoảng trắng trả 400 đúng thông điệp</t>
        </is>
      </c>
      <c r="E159" s="15" t="inlineStr">
        <is>
          <t>Chức năng</t>
        </is>
      </c>
      <c r="F159" s="20" t="inlineStr">
        <is>
          <t>Trung bình</t>
        </is>
      </c>
      <c r="G159" s="17" t="inlineStr">
        <is>
          <t>Đã hoàn thiện</t>
        </is>
      </c>
      <c r="H159" s="17" t="inlineStr">
        <is>
          <t>Có</t>
        </is>
      </c>
      <c r="I159" s="15" t="inlineStr">
        <is>
          <t>-</t>
        </is>
      </c>
      <c r="J159" s="15" t="inlineStr">
        <is>
          <t>1. POST /api/contact lần lượt với name='   ', subject='', message=' ', email='abc'</t>
        </is>
      </c>
      <c r="K159" s="15" t="inlineStr">
        <is>
          <t>4 lần gọi, mỗi lần 1 trường sai</t>
        </is>
      </c>
      <c r="L159" s="15" t="inlineStr">
        <is>
          <t>Đều HTTP 400 VALIDATION_ERROR với thông điệp: 'Vui lòng nhập họ tên' / 'Vui lòng nhập tiêu đề' / 'Vui lòng nhập nội dung' / 'Email không hợp lệ'; không có thư trong outbox.</t>
        </is>
      </c>
      <c r="M159" s="15" t="inlineStr"/>
      <c r="N159" s="18" t="inlineStr">
        <is>
          <t>Chưa test</t>
        </is>
      </c>
      <c r="O159" s="15" t="inlineStr"/>
      <c r="P159" s="15" t="inlineStr"/>
      <c r="Q159" s="18" t="inlineStr">
        <is>
          <t>Chưa test</t>
        </is>
      </c>
      <c r="R159" s="15" t="inlineStr"/>
    </row>
    <row r="160" ht="30" customHeight="1">
      <c r="A160" s="14" t="inlineStr">
        <is>
          <t>TC-AUTH-159</t>
        </is>
      </c>
      <c r="B160" s="15" t="inlineStr">
        <is>
          <t>Tài khoản &amp; Xác thực</t>
        </is>
      </c>
      <c r="C160" s="15" t="inlineStr">
        <is>
          <t>Liên hệ</t>
        </is>
      </c>
      <c r="D160" s="15" t="inlineStr">
        <is>
          <t>Biên độ dài nội dung: 5000 ký tự OK, 5001 ký tự bị từ chối</t>
        </is>
      </c>
      <c r="E160" s="15" t="inlineStr">
        <is>
          <t>Chức năng</t>
        </is>
      </c>
      <c r="F160" s="20" t="inlineStr">
        <is>
          <t>Trung bình</t>
        </is>
      </c>
      <c r="G160" s="17" t="inlineStr">
        <is>
          <t>Đã hoàn thiện</t>
        </is>
      </c>
      <c r="H160" s="17" t="inlineStr">
        <is>
          <t>Có</t>
        </is>
      </c>
      <c r="I160" s="15" t="inlineStr">
        <is>
          <t>-</t>
        </is>
      </c>
      <c r="J160" s="15" t="inlineStr">
        <is>
          <t>1. POST /api/contact với message = 'a' lặp 5000
2. POST với message = 'a' lặp 5001</t>
        </is>
      </c>
      <c r="K160" s="15" t="inlineStr">
        <is>
          <t>5000 / 5001 ký tự</t>
        </is>
      </c>
      <c r="L160" s="15" t="inlineStr">
        <is>
          <t>Lần 1 HTTP 202; lần 2 HTTP 400 với 'Nội dung tối đa 5000 ký tự'. Với name 121 ký tự hoặc subject 201 ký tự cũng 400.</t>
        </is>
      </c>
      <c r="M160" s="15" t="inlineStr"/>
      <c r="N160" s="18" t="inlineStr">
        <is>
          <t>Chưa test</t>
        </is>
      </c>
      <c r="O160" s="15" t="inlineStr"/>
      <c r="P160" s="15" t="inlineStr"/>
      <c r="Q160" s="18" t="inlineStr">
        <is>
          <t>Chưa test</t>
        </is>
      </c>
      <c r="R160" s="15" t="inlineStr"/>
    </row>
    <row r="161" ht="30" customHeight="1">
      <c r="A161" s="14" t="inlineStr">
        <is>
          <t>TC-AUTH-160</t>
        </is>
      </c>
      <c r="B161" s="15" t="inlineStr">
        <is>
          <t>Tài khoản &amp; Xác thực</t>
        </is>
      </c>
      <c r="C161" s="15" t="inlineStr">
        <is>
          <t>Liên hệ</t>
        </is>
      </c>
      <c r="D161" s="15" t="inlineStr">
        <is>
          <t>Tiêu đề chứa xuống dòng/HTML không phá cấu trúc thư và không thực thi</t>
        </is>
      </c>
      <c r="E161" s="15" t="inlineStr">
        <is>
          <t>Bảo mật</t>
        </is>
      </c>
      <c r="F161" s="20" t="inlineStr">
        <is>
          <t>Trung bình</t>
        </is>
      </c>
      <c r="G161" s="17" t="inlineStr">
        <is>
          <t>Đã hoàn thiện</t>
        </is>
      </c>
      <c r="H161" s="20" t="inlineStr">
        <is>
          <t>Một phần</t>
        </is>
      </c>
      <c r="I161" s="15" t="inlineStr">
        <is>
          <t>-</t>
        </is>
      </c>
      <c r="J161" s="15" t="inlineStr">
        <is>
          <t>1. POST /api/contact với subject 'Test\r\nBcc: victim@example.com' và message '&lt;script&gt;alert(1)&lt;/script&gt;'
2. GET /api/dev/outbox?to=support@sofinhub.local</t>
        </is>
      </c>
      <c r="K161" s="15" t="inlineStr">
        <is>
          <t>subject chứa CRLF, message chứa script</t>
        </is>
      </c>
      <c r="L161" s="15" t="inlineStr">
        <is>
          <t>HTTP 202 hoặc 400 (nếu bị chặn); nếu 202 thì thư trong outbox không tạo thêm người nhận (không có Bcc/to thứ hai) và nội dung là text thuần. Ghi nhận thực tế vào báo cáo.</t>
        </is>
      </c>
      <c r="M161" s="15" t="inlineStr"/>
      <c r="N161" s="18" t="inlineStr">
        <is>
          <t>Chưa test</t>
        </is>
      </c>
      <c r="O161" s="15" t="inlineStr"/>
      <c r="P161" s="15" t="inlineStr"/>
      <c r="Q161" s="18" t="inlineStr">
        <is>
          <t>Chưa test</t>
        </is>
      </c>
      <c r="R161" s="15" t="inlineStr"/>
    </row>
    <row r="162" ht="30" customHeight="1">
      <c r="A162" s="14" t="inlineStr">
        <is>
          <t>TC-AUTH-161</t>
        </is>
      </c>
      <c r="B162" s="15" t="inlineStr">
        <is>
          <t>Tài khoản &amp; Xác thực</t>
        </is>
      </c>
      <c r="C162" s="15" t="inlineStr">
        <is>
          <t>Rate limit</t>
        </is>
      </c>
      <c r="D162" s="15" t="inlineStr">
        <is>
          <t>Liên hệ vượt 5 request/15 phút/IP trả 429</t>
        </is>
      </c>
      <c r="E162" s="15" t="inlineStr">
        <is>
          <t>Bảo mật</t>
        </is>
      </c>
      <c r="F162" s="16" t="inlineStr">
        <is>
          <t>Cao</t>
        </is>
      </c>
      <c r="G162" s="17" t="inlineStr">
        <is>
          <t>Đã hoàn thiện</t>
        </is>
      </c>
      <c r="H162" s="17" t="inlineStr">
        <is>
          <t>Có</t>
        </is>
      </c>
      <c r="I162" s="15" t="inlineStr">
        <is>
          <t>BE vừa khởi động lại; NODE_ENV != test</t>
        </is>
      </c>
      <c r="J162" s="15" t="inlineStr">
        <is>
          <t>1. Gửi 5 POST /api/contact hợp lệ
2. Gửi lần thứ 6</t>
        </is>
      </c>
      <c r="K162" s="15" t="inlineStr">
        <is>
          <t>payload hợp lệ bất kỳ</t>
        </is>
      </c>
      <c r="L162" s="15" t="inlineStr">
        <is>
          <t>5 lần đầu 202; lần 6 HTTP 429 TOO_MANY_REQUESTS 'Bạn thao tác quá nhiều lần, vui lòng thử lại sau ít phút'. UI /contact hiện thông điệp 'quá nhiều yêu cầu' từ BE.</t>
        </is>
      </c>
      <c r="M162" s="15" t="inlineStr"/>
      <c r="N162" s="18" t="inlineStr">
        <is>
          <t>Chưa test</t>
        </is>
      </c>
      <c r="O162" s="15" t="inlineStr"/>
      <c r="P162" s="15" t="inlineStr"/>
      <c r="Q162" s="18" t="inlineStr">
        <is>
          <t>Chưa test</t>
        </is>
      </c>
      <c r="R162" s="15" t="inlineStr"/>
    </row>
    <row r="163" ht="30" customHeight="1">
      <c r="A163" s="14" t="inlineStr">
        <is>
          <t>TC-AUTH-162</t>
        </is>
      </c>
      <c r="B163" s="15" t="inlineStr">
        <is>
          <t>Tài khoản &amp; Xác thực</t>
        </is>
      </c>
      <c r="C163" s="15" t="inlineStr">
        <is>
          <t>Liên hệ</t>
        </is>
      </c>
      <c r="D163" s="15" t="inlineStr">
        <is>
          <t>UI /contact: bỏ trống báo lỗi tại ô, gửi thành công làm trống form</t>
        </is>
      </c>
      <c r="E163" s="15" t="inlineStr">
        <is>
          <t>Giao diện</t>
        </is>
      </c>
      <c r="F163" s="20" t="inlineStr">
        <is>
          <t>Trung bình</t>
        </is>
      </c>
      <c r="G163" s="17" t="inlineStr">
        <is>
          <t>Đã hoàn thiện</t>
        </is>
      </c>
      <c r="H163" s="17" t="inlineStr">
        <is>
          <t>Có</t>
        </is>
      </c>
      <c r="I163" s="15" t="inlineStr">
        <is>
          <t>Mở /contact từ link 'Liên hệ' ở Footer</t>
        </is>
      </c>
      <c r="J163" s="15" t="inlineStr">
        <is>
          <t>1. Bấm gửi khi bỏ trống
2. Điền đủ Họ tên, Email, Tiêu đề, Nội dung và gửi</t>
        </is>
      </c>
      <c r="K163" s="15" t="inlineStr">
        <is>
          <t>-</t>
        </is>
      </c>
      <c r="L163" s="15" t="inlineStr">
        <is>
          <t>Trống: lỗi tại từng ô. Đủ: thông báo thành công (BE 202) và các ô được làm trống.</t>
        </is>
      </c>
      <c r="M163" s="15" t="inlineStr"/>
      <c r="N163" s="18" t="inlineStr">
        <is>
          <t>Chưa test</t>
        </is>
      </c>
      <c r="O163" s="15" t="inlineStr"/>
      <c r="P163" s="15" t="inlineStr"/>
      <c r="Q163" s="18" t="inlineStr">
        <is>
          <t>Chưa test</t>
        </is>
      </c>
      <c r="R163" s="15" t="inlineStr"/>
    </row>
  </sheetData>
  <autoFilter ref="A1:R163"/>
  <conditionalFormatting sqref="N2:N1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63" showDropDown="0" showInputMessage="0" showErrorMessage="0" allowBlank="1" type="list">
      <formula1>"Chưa test,Pass,Fail,Blocked,N/A"</formula1>
    </dataValidation>
    <dataValidation sqref="Q2:Q163" showDropDown="0" showInputMessage="0" showErrorMessage="0" allowBlank="1" type="list">
      <formula1>"Chưa test,Pass,Fail,Blocked,N/A"</formula1>
    </dataValidation>
    <dataValidation sqref="F2:F163" showDropDown="0" showInputMessage="0" showErrorMessage="0" allowBlank="1" type="list">
      <formula1>"Cao,Trung bình,Thấp"</formula1>
    </dataValidation>
    <dataValidation sqref="G2:G163" showDropDown="0" showInputMessage="0" showErrorMessage="0" allowBlank="1" type="list">
      <formula1>"Đã hoàn thiện,Kế hoạch"</formula1>
    </dataValidation>
    <dataValidation sqref="H2:H16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6" r:id="rId19"/>
    <hyperlink xmlns:r="http://schemas.openxmlformats.org/officeDocument/2006/relationships" ref="O27" r:id="rId20"/>
    <hyperlink xmlns:r="http://schemas.openxmlformats.org/officeDocument/2006/relationships" ref="O28" r:id="rId21"/>
    <hyperlink xmlns:r="http://schemas.openxmlformats.org/officeDocument/2006/relationships" ref="O29" r:id="rId22"/>
    <hyperlink xmlns:r="http://schemas.openxmlformats.org/officeDocument/2006/relationships" ref="O30" r:id="rId23"/>
    <hyperlink xmlns:r="http://schemas.openxmlformats.org/officeDocument/2006/relationships" ref="O31" r:id="rId24"/>
    <hyperlink xmlns:r="http://schemas.openxmlformats.org/officeDocument/2006/relationships" ref="O32" r:id="rId25"/>
    <hyperlink xmlns:r="http://schemas.openxmlformats.org/officeDocument/2006/relationships" ref="O33" r:id="rId26"/>
    <hyperlink xmlns:r="http://schemas.openxmlformats.org/officeDocument/2006/relationships" ref="O34" r:id="rId27"/>
    <hyperlink xmlns:r="http://schemas.openxmlformats.org/officeDocument/2006/relationships" ref="O35" r:id="rId28"/>
    <hyperlink xmlns:r="http://schemas.openxmlformats.org/officeDocument/2006/relationships" ref="O36" r:id="rId29"/>
    <hyperlink xmlns:r="http://schemas.openxmlformats.org/officeDocument/2006/relationships" ref="O37"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TC-COMM-001</t>
        </is>
      </c>
      <c r="B2" s="15" t="inlineStr">
        <is>
          <t>Cộng đồng</t>
        </is>
      </c>
      <c r="C2" s="15" t="inlineStr">
        <is>
          <t>Tạo cộng đồng</t>
        </is>
      </c>
      <c r="D2" s="15" t="inlineStr">
        <is>
          <t>Thành viên tạo cộng đồng mới thành công</t>
        </is>
      </c>
      <c r="E2" s="15" t="inlineStr">
        <is>
          <t>Chức năng</t>
        </is>
      </c>
      <c r="F2" s="16" t="inlineStr">
        <is>
          <t>Cao</t>
        </is>
      </c>
      <c r="G2" s="17" t="inlineStr">
        <is>
          <t>Đã hoàn thiện</t>
        </is>
      </c>
      <c r="H2" s="17" t="inlineStr">
        <is>
          <t>Có</t>
        </is>
      </c>
      <c r="I2" s="15" t="inlineStr">
        <is>
          <t>Đã đăng nhập với vai trò Thành viên</t>
        </is>
      </c>
      <c r="J2" s="15" t="inlineStr">
        <is>
          <t>1. Bấm 'Tạo cộng đồng'
2. Nhập tên, mô tả, ảnh bìa
3. Chọn chế độ công khai/riêng tư và mức giá
4. Bấm Tạo</t>
        </is>
      </c>
      <c r="K2" s="15" t="inlineStr">
        <is>
          <t>Tên cộng đồng hợp lệ</t>
        </is>
      </c>
      <c r="L2" s="15" t="inlineStr">
        <is>
          <t>Cộng đồng được tạo, người tạo được gán vai trò Owner ngay lập tức, không cần xét duyệt</t>
        </is>
      </c>
      <c r="M2" s="15" t="inlineStr"/>
      <c r="N2" s="18" t="inlineStr">
        <is>
          <t>Chưa test</t>
        </is>
      </c>
      <c r="O2" s="15" t="inlineStr"/>
      <c r="P2" s="15" t="inlineStr"/>
      <c r="Q2" s="18" t="inlineStr">
        <is>
          <t>Chưa test</t>
        </is>
      </c>
      <c r="R2" s="15" t="inlineStr"/>
    </row>
    <row r="3" ht="45" customHeight="1">
      <c r="A3" s="14" t="inlineStr">
        <is>
          <t>TC-COMM-002</t>
        </is>
      </c>
      <c r="B3" s="15" t="inlineStr">
        <is>
          <t>Cộng đồng</t>
        </is>
      </c>
      <c r="C3" s="15" t="inlineStr">
        <is>
          <t>Tạo cộng đồng</t>
        </is>
      </c>
      <c r="D3" s="15" t="inlineStr">
        <is>
          <t>Không cho tạo cộng đồng khi để trống tên</t>
        </is>
      </c>
      <c r="E3" s="15" t="inlineStr">
        <is>
          <t>Chức năng</t>
        </is>
      </c>
      <c r="F3" s="20" t="inlineStr">
        <is>
          <t>Trung bình</t>
        </is>
      </c>
      <c r="G3" s="17" t="inlineStr">
        <is>
          <t>Đã hoàn thiện</t>
        </is>
      </c>
      <c r="H3" s="17" t="inlineStr">
        <is>
          <t>Có</t>
        </is>
      </c>
      <c r="I3" s="15" t="inlineStr">
        <is>
          <t>Đã đăng nhập</t>
        </is>
      </c>
      <c r="J3" s="15" t="inlineStr">
        <is>
          <t>1. Bấm 'Tạo cộng đồng'
2. Để trống tên cộng đồng
3. Bấm Tạo</t>
        </is>
      </c>
      <c r="K3" s="15" t="inlineStr">
        <is>
          <t>-</t>
        </is>
      </c>
      <c r="L3" s="15" t="inlineStr">
        <is>
          <t>Hiển thị lỗi bắt buộc nhập tên, không tạo được cộng đồng</t>
        </is>
      </c>
      <c r="M3" s="15" t="inlineStr"/>
      <c r="N3" s="18" t="inlineStr">
        <is>
          <t>Chưa test</t>
        </is>
      </c>
      <c r="O3" s="15" t="inlineStr"/>
      <c r="P3" s="15" t="inlineStr"/>
      <c r="Q3" s="18" t="inlineStr">
        <is>
          <t>Chưa test</t>
        </is>
      </c>
      <c r="R3" s="15" t="inlineStr"/>
    </row>
    <row r="4" ht="60" customHeight="1">
      <c r="A4" s="14" t="inlineStr">
        <is>
          <t>TC-COMM-003</t>
        </is>
      </c>
      <c r="B4" s="15" t="inlineStr">
        <is>
          <t>Cộng đồng</t>
        </is>
      </c>
      <c r="C4" s="15" t="inlineStr">
        <is>
          <t>Tạo cộng đồng</t>
        </is>
      </c>
      <c r="D4" s="15" t="inlineStr">
        <is>
          <t>Tạo cộng đồng ở chế độ Công khai + Miễn phí</t>
        </is>
      </c>
      <c r="E4" s="15" t="inlineStr">
        <is>
          <t>Chức năng</t>
        </is>
      </c>
      <c r="F4" s="16" t="inlineStr">
        <is>
          <t>Cao</t>
        </is>
      </c>
      <c r="G4" s="17" t="inlineStr">
        <is>
          <t>Đã hoàn thiện</t>
        </is>
      </c>
      <c r="H4" s="20" t="inlineStr">
        <is>
          <t>Một phần</t>
        </is>
      </c>
      <c r="I4" s="15" t="inlineStr">
        <is>
          <t>Đã đăng nhập</t>
        </is>
      </c>
      <c r="J4" s="15" t="inlineStr">
        <is>
          <t>1. Tạo cộng đồng mới
2. Chọn Công khai
3. Chọn Miễn phí
4. Xuất bản</t>
        </is>
      </c>
      <c r="K4" s="15" t="inlineStr">
        <is>
          <t>-</t>
        </is>
      </c>
      <c r="L4" s="15" t="inlineStr">
        <is>
          <t>Cộng đồng hiển thị công khai trên trang khám phá, thành viên tham gia không cần duyệt/thanh toán</t>
        </is>
      </c>
      <c r="M4" s="15" t="inlineStr"/>
      <c r="N4" s="18" t="inlineStr">
        <is>
          <t>Chưa test</t>
        </is>
      </c>
      <c r="O4" s="15" t="inlineStr"/>
      <c r="P4" s="15" t="inlineStr"/>
      <c r="Q4" s="18" t="inlineStr">
        <is>
          <t>Chưa test</t>
        </is>
      </c>
      <c r="R4" s="15" t="inlineStr"/>
    </row>
    <row r="5" ht="60" customHeight="1">
      <c r="A5" s="14" t="inlineStr">
        <is>
          <t>TC-COMM-004</t>
        </is>
      </c>
      <c r="B5" s="15" t="inlineStr">
        <is>
          <t>Cộng đồng</t>
        </is>
      </c>
      <c r="C5" s="15" t="inlineStr">
        <is>
          <t>Tạo cộng đồng</t>
        </is>
      </c>
      <c r="D5" s="15" t="inlineStr">
        <is>
          <t>Tạo cộng đồng ở chế độ Công khai + Có phí theo tháng</t>
        </is>
      </c>
      <c r="E5" s="15" t="inlineStr">
        <is>
          <t>Chức năng</t>
        </is>
      </c>
      <c r="F5" s="16" t="inlineStr">
        <is>
          <t>Cao</t>
        </is>
      </c>
      <c r="G5" s="17" t="inlineStr">
        <is>
          <t>Đã hoàn thiện</t>
        </is>
      </c>
      <c r="H5" s="20" t="inlineStr">
        <is>
          <t>Một phần</t>
        </is>
      </c>
      <c r="I5" s="15" t="inlineStr">
        <is>
          <t>Đã đăng nhập</t>
        </is>
      </c>
      <c r="J5" s="15" t="inlineStr">
        <is>
          <t>1. Tạo cộng đồng mới
2. Chọn Công khai
3. Chọn Có phí, nhập mức giá/tháng
4. Xuất bản</t>
        </is>
      </c>
      <c r="K5" s="15" t="inlineStr">
        <is>
          <t>Giá: 99,000đ/tháng</t>
        </is>
      </c>
      <c r="L5" s="15" t="inlineStr">
        <is>
          <t>Cộng đồng hiển thị công khai, yêu cầu thanh toán trước khi truy cập nội dung đầy đủ</t>
        </is>
      </c>
      <c r="M5" s="15" t="inlineStr"/>
      <c r="N5" s="18" t="inlineStr">
        <is>
          <t>Chưa test</t>
        </is>
      </c>
      <c r="O5" s="15" t="inlineStr"/>
      <c r="P5" s="15" t="inlineStr"/>
      <c r="Q5" s="18" t="inlineStr">
        <is>
          <t>Chưa test</t>
        </is>
      </c>
      <c r="R5" s="15" t="inlineStr"/>
    </row>
    <row r="6" ht="45" customHeight="1">
      <c r="A6" s="14" t="inlineStr">
        <is>
          <t>TC-COMM-005</t>
        </is>
      </c>
      <c r="B6" s="15" t="inlineStr">
        <is>
          <t>Cộng đồng</t>
        </is>
      </c>
      <c r="C6" s="15" t="inlineStr">
        <is>
          <t>Tạo cộng đồng</t>
        </is>
      </c>
      <c r="D6" s="15" t="inlineStr">
        <is>
          <t>Tạo cộng đồng ở chế độ Riêng tư</t>
        </is>
      </c>
      <c r="E6" s="15" t="inlineStr">
        <is>
          <t>Chức năng</t>
        </is>
      </c>
      <c r="F6" s="16" t="inlineStr">
        <is>
          <t>Cao</t>
        </is>
      </c>
      <c r="G6" s="17" t="inlineStr">
        <is>
          <t>Đã hoàn thiện</t>
        </is>
      </c>
      <c r="H6" s="17" t="inlineStr">
        <is>
          <t>Có</t>
        </is>
      </c>
      <c r="I6" s="15" t="inlineStr">
        <is>
          <t>Đã đăng nhập</t>
        </is>
      </c>
      <c r="J6" s="15" t="inlineStr">
        <is>
          <t>1. Tạo cộng đồng mới
2. Chọn Riêng tư
3. Xuất bản</t>
        </is>
      </c>
      <c r="K6" s="15" t="inlineStr">
        <is>
          <t>-</t>
        </is>
      </c>
      <c r="L6" s="15" t="inlineStr">
        <is>
          <t>Cộng đồng không hiển thị công khai đầy đủ, người tham gia phải được duyệt hoặc mời</t>
        </is>
      </c>
      <c r="M6" s="15" t="inlineStr"/>
      <c r="N6" s="18" t="inlineStr">
        <is>
          <t>Chưa test</t>
        </is>
      </c>
      <c r="O6" s="15" t="inlineStr"/>
      <c r="P6" s="15" t="inlineStr"/>
      <c r="Q6" s="18" t="inlineStr">
        <is>
          <t>Chưa test</t>
        </is>
      </c>
      <c r="R6" s="15" t="inlineStr"/>
    </row>
    <row r="7" ht="30" customHeight="1">
      <c r="A7" s="14" t="inlineStr">
        <is>
          <t>TC-COMM-006</t>
        </is>
      </c>
      <c r="B7" s="15" t="inlineStr">
        <is>
          <t>Cộng đồng</t>
        </is>
      </c>
      <c r="C7" s="15" t="inlineStr">
        <is>
          <t>Trang cộng đồng</t>
        </is>
      </c>
      <c r="D7" s="15" t="inlineStr">
        <is>
          <t>Tab Bảng tin hiển thị đúng nội dung</t>
        </is>
      </c>
      <c r="E7" s="15" t="inlineStr">
        <is>
          <t>Giao diện</t>
        </is>
      </c>
      <c r="F7" s="20" t="inlineStr">
        <is>
          <t>Trung bình</t>
        </is>
      </c>
      <c r="G7" s="17" t="inlineStr">
        <is>
          <t>Đã hoàn thiện</t>
        </is>
      </c>
      <c r="H7" s="17" t="inlineStr">
        <is>
          <t>Có</t>
        </is>
      </c>
      <c r="I7" s="15" t="inlineStr">
        <is>
          <t>Đã tham gia 1 cộng đồng có bài viết</t>
        </is>
      </c>
      <c r="J7" s="15" t="inlineStr">
        <is>
          <t>1. Vào trang cộng đồng
2. Chọn tab Bảng tin</t>
        </is>
      </c>
      <c r="K7" s="15" t="inlineStr">
        <is>
          <t>-</t>
        </is>
      </c>
      <c r="L7" s="15" t="inlineStr">
        <is>
          <t>Hiển thị danh sách bài viết của cộng đồng theo thứ tự thời gian</t>
        </is>
      </c>
      <c r="M7" s="15" t="inlineStr"/>
      <c r="N7" s="18" t="inlineStr">
        <is>
          <t>Chưa test</t>
        </is>
      </c>
      <c r="O7" s="15" t="inlineStr"/>
      <c r="P7" s="15" t="inlineStr"/>
      <c r="Q7" s="18" t="inlineStr">
        <is>
          <t>Chưa test</t>
        </is>
      </c>
      <c r="R7" s="15" t="inlineStr"/>
    </row>
    <row r="8" ht="30" customHeight="1">
      <c r="A8" s="14" t="inlineStr">
        <is>
          <t>TC-COMM-007</t>
        </is>
      </c>
      <c r="B8" s="15" t="inlineStr">
        <is>
          <t>Cộng đồng</t>
        </is>
      </c>
      <c r="C8" s="15" t="inlineStr">
        <is>
          <t>Trang cộng đồng</t>
        </is>
      </c>
      <c r="D8" s="15" t="inlineStr">
        <is>
          <t>Tab Khóa học hiển thị đúng danh sách khóa học của cộng đồng</t>
        </is>
      </c>
      <c r="E8" s="15" t="inlineStr">
        <is>
          <t>Chức năng</t>
        </is>
      </c>
      <c r="F8" s="20" t="inlineStr">
        <is>
          <t>Trung bình</t>
        </is>
      </c>
      <c r="G8" s="17" t="inlineStr">
        <is>
          <t>Đã hoàn thiện</t>
        </is>
      </c>
      <c r="H8" s="17" t="inlineStr">
        <is>
          <t>Có</t>
        </is>
      </c>
      <c r="I8" s="15" t="inlineStr">
        <is>
          <t>Cộng đồng có ít nhất 1 khóa học</t>
        </is>
      </c>
      <c r="J8" s="15" t="inlineStr">
        <is>
          <t>1. Vào trang cộng đồng
2. Chọn tab Khóa học</t>
        </is>
      </c>
      <c r="K8" s="15" t="inlineStr">
        <is>
          <t>-</t>
        </is>
      </c>
      <c r="L8" s="15" t="inlineStr">
        <is>
          <t>Hiển thị đúng danh sách khóa học thuộc cộng đồng này (không lẫn khóa học cộng đồng khác)</t>
        </is>
      </c>
      <c r="M8" s="15" t="inlineStr"/>
      <c r="N8" s="18" t="inlineStr">
        <is>
          <t>Chưa test</t>
        </is>
      </c>
      <c r="O8" s="15" t="inlineStr"/>
      <c r="P8" s="15" t="inlineStr"/>
      <c r="Q8" s="18" t="inlineStr">
        <is>
          <t>Chưa test</t>
        </is>
      </c>
      <c r="R8" s="15" t="inlineStr"/>
    </row>
    <row r="9" ht="30" customHeight="1">
      <c r="A9" s="14" t="inlineStr">
        <is>
          <t>TC-COMM-008</t>
        </is>
      </c>
      <c r="B9" s="15" t="inlineStr">
        <is>
          <t>Cộng đồng</t>
        </is>
      </c>
      <c r="C9" s="15" t="inlineStr">
        <is>
          <t>Trang cộng đồng</t>
        </is>
      </c>
      <c r="D9" s="15" t="inlineStr">
        <is>
          <t>Tab Lịch hiển thị sự kiện sắp diễn ra</t>
        </is>
      </c>
      <c r="E9" s="15" t="inlineStr">
        <is>
          <t>Chức năng</t>
        </is>
      </c>
      <c r="F9" s="17" t="inlineStr">
        <is>
          <t>Thấp</t>
        </is>
      </c>
      <c r="G9" s="17" t="inlineStr">
        <is>
          <t>Đã hoàn thiện</t>
        </is>
      </c>
      <c r="H9" s="17" t="inlineStr">
        <is>
          <t>Có</t>
        </is>
      </c>
      <c r="I9" s="15" t="inlineStr">
        <is>
          <t>Cộng đồng có sự kiện đã tạo</t>
        </is>
      </c>
      <c r="J9" s="15" t="inlineStr">
        <is>
          <t>1. Vào trang cộng đồng
2. Chọn tab Lịch</t>
        </is>
      </c>
      <c r="K9" s="15" t="inlineStr">
        <is>
          <t>-</t>
        </is>
      </c>
      <c r="L9" s="15" t="inlineStr">
        <is>
          <t>Hiển thị đúng danh sách/lịch các sự kiện của cộng đồng</t>
        </is>
      </c>
      <c r="M9" s="15" t="inlineStr"/>
      <c r="N9" s="18" t="inlineStr">
        <is>
          <t>Chưa test</t>
        </is>
      </c>
      <c r="O9" s="15" t="inlineStr"/>
      <c r="P9" s="15" t="inlineStr"/>
      <c r="Q9" s="18" t="inlineStr">
        <is>
          <t>Chưa test</t>
        </is>
      </c>
      <c r="R9" s="15" t="inlineStr"/>
    </row>
    <row r="10" ht="30" customHeight="1">
      <c r="A10" s="14" t="inlineStr">
        <is>
          <t>TC-COMM-009</t>
        </is>
      </c>
      <c r="B10" s="15" t="inlineStr">
        <is>
          <t>Cộng đồng</t>
        </is>
      </c>
      <c r="C10" s="15" t="inlineStr">
        <is>
          <t>Trang cộng đồng</t>
        </is>
      </c>
      <c r="D10" s="15" t="inlineStr">
        <is>
          <t>Tab Thành viên hiển thị danh sách thành viên</t>
        </is>
      </c>
      <c r="E10" s="15" t="inlineStr">
        <is>
          <t>Chức năng</t>
        </is>
      </c>
      <c r="F10" s="20" t="inlineStr">
        <is>
          <t>Trung bình</t>
        </is>
      </c>
      <c r="G10" s="17" t="inlineStr">
        <is>
          <t>Đã hoàn thiện</t>
        </is>
      </c>
      <c r="H10" s="17" t="inlineStr">
        <is>
          <t>Có</t>
        </is>
      </c>
      <c r="I10" s="15" t="inlineStr">
        <is>
          <t>Cộng đồng có nhiều thành viên</t>
        </is>
      </c>
      <c r="J10" s="15" t="inlineStr">
        <is>
          <t>1. Vào trang cộng đồng
2. Chọn tab Thành viên</t>
        </is>
      </c>
      <c r="K10" s="15" t="inlineStr">
        <is>
          <t>-</t>
        </is>
      </c>
      <c r="L10" s="15" t="inlineStr">
        <is>
          <t>Hiển thị danh sách thành viên kèm vai trò trong cộng đồng</t>
        </is>
      </c>
      <c r="M10" s="15" t="inlineStr"/>
      <c r="N10" s="18" t="inlineStr">
        <is>
          <t>Chưa test</t>
        </is>
      </c>
      <c r="O10" s="15" t="inlineStr"/>
      <c r="P10" s="15" t="inlineStr"/>
      <c r="Q10" s="18" t="inlineStr">
        <is>
          <t>Chưa test</t>
        </is>
      </c>
      <c r="R10" s="15" t="inlineStr"/>
    </row>
    <row r="11" ht="30" customHeight="1">
      <c r="A11" s="14" t="inlineStr">
        <is>
          <t>TC-COMM-010</t>
        </is>
      </c>
      <c r="B11" s="15" t="inlineStr">
        <is>
          <t>Cộng đồng</t>
        </is>
      </c>
      <c r="C11" s="15" t="inlineStr">
        <is>
          <t>Trang cộng đồng</t>
        </is>
      </c>
      <c r="D11" s="15" t="inlineStr">
        <is>
          <t>Tab Giới thiệu hiển thị đúng thông tin cộng đồng</t>
        </is>
      </c>
      <c r="E11" s="15" t="inlineStr">
        <is>
          <t>Giao diện</t>
        </is>
      </c>
      <c r="F11" s="17" t="inlineStr">
        <is>
          <t>Thấp</t>
        </is>
      </c>
      <c r="G11" s="17" t="inlineStr">
        <is>
          <t>Đã hoàn thiện</t>
        </is>
      </c>
      <c r="H11" s="17" t="inlineStr">
        <is>
          <t>Có</t>
        </is>
      </c>
      <c r="I11" s="15" t="inlineStr">
        <is>
          <t>-</t>
        </is>
      </c>
      <c r="J11" s="15" t="inlineStr">
        <is>
          <t>1. Vào trang cộng đồng
2. Chọn tab Giới thiệu</t>
        </is>
      </c>
      <c r="K11" s="15" t="inlineStr">
        <is>
          <t>-</t>
        </is>
      </c>
      <c r="L11" s="15" t="inlineStr">
        <is>
          <t>Hiển thị mô tả, quy tắc, thông tin Owner đúng như đã cấu hình</t>
        </is>
      </c>
      <c r="M11" s="15" t="inlineStr"/>
      <c r="N11" s="18" t="inlineStr">
        <is>
          <t>Chưa test</t>
        </is>
      </c>
      <c r="O11" s="15" t="inlineStr"/>
      <c r="P11" s="15" t="inlineStr"/>
      <c r="Q11" s="18" t="inlineStr">
        <is>
          <t>Chưa test</t>
        </is>
      </c>
      <c r="R11" s="15" t="inlineStr"/>
    </row>
    <row r="12" ht="30" customHeight="1">
      <c r="A12" s="14" t="inlineStr">
        <is>
          <t>TC-COMM-011</t>
        </is>
      </c>
      <c r="B12" s="15" t="inlineStr">
        <is>
          <t>Cộng đồng</t>
        </is>
      </c>
      <c r="C12" s="15" t="inlineStr">
        <is>
          <t>Tham gia cộng đồng</t>
        </is>
      </c>
      <c r="D12" s="15" t="inlineStr">
        <is>
          <t>Tham gia cộng đồng Công khai + Miễn phí</t>
        </is>
      </c>
      <c r="E12" s="15" t="inlineStr">
        <is>
          <t>Chức năng</t>
        </is>
      </c>
      <c r="F12" s="16" t="inlineStr">
        <is>
          <t>Cao</t>
        </is>
      </c>
      <c r="G12" s="17" t="inlineStr">
        <is>
          <t>Đã hoàn thiện</t>
        </is>
      </c>
      <c r="H12" s="17" t="inlineStr">
        <is>
          <t>Có</t>
        </is>
      </c>
      <c r="I12" s="15" t="inlineStr">
        <is>
          <t>Có cộng đồng công khai miễn phí, đã đăng nhập</t>
        </is>
      </c>
      <c r="J12" s="15" t="inlineStr">
        <is>
          <t>1. Vào trang cộng đồng công khai miễn phí
2. Bấm 'Tham gia ngay'</t>
        </is>
      </c>
      <c r="K12" s="15" t="inlineStr">
        <is>
          <t>-</t>
        </is>
      </c>
      <c r="L12" s="15" t="inlineStr">
        <is>
          <t>Vào cộng đồng ngay lập tức, không cần duyệt, trạng thái thành viên được lưu ở server</t>
        </is>
      </c>
      <c r="M12" s="15" t="inlineStr"/>
      <c r="N12" s="18" t="inlineStr">
        <is>
          <t>Chưa test</t>
        </is>
      </c>
      <c r="O12" s="15" t="inlineStr"/>
      <c r="P12" s="15" t="inlineStr"/>
      <c r="Q12" s="18" t="inlineStr">
        <is>
          <t>Chưa test</t>
        </is>
      </c>
      <c r="R12" s="15" t="inlineStr"/>
    </row>
    <row r="13" ht="45" customHeight="1">
      <c r="A13" s="14" t="inlineStr">
        <is>
          <t>TC-COMM-012</t>
        </is>
      </c>
      <c r="B13" s="15" t="inlineStr">
        <is>
          <t>Cộng đồng</t>
        </is>
      </c>
      <c r="C13" s="15" t="inlineStr">
        <is>
          <t>Tham gia cộng đồng</t>
        </is>
      </c>
      <c r="D13" s="15" t="inlineStr">
        <is>
          <t>Tham gia cộng đồng Công khai + Có phí</t>
        </is>
      </c>
      <c r="E13" s="15" t="inlineStr">
        <is>
          <t>Chức năng</t>
        </is>
      </c>
      <c r="F13" s="16" t="inlineStr">
        <is>
          <t>Cao</t>
        </is>
      </c>
      <c r="G13" s="17" t="inlineStr">
        <is>
          <t>Đã hoàn thiện</t>
        </is>
      </c>
      <c r="H13" s="20" t="inlineStr">
        <is>
          <t>Một phần</t>
        </is>
      </c>
      <c r="I13" s="15" t="inlineStr">
        <is>
          <t>Có cộng đồng công khai có phí, đã đăng nhập</t>
        </is>
      </c>
      <c r="J13" s="15" t="inlineStr">
        <is>
          <t>1. Vào trang cộng đồng có phí
2. Bấm 'Tham gia ngay'
3. Chuyển tới màn hình chọn gói/thanh toán</t>
        </is>
      </c>
      <c r="K13" s="15" t="inlineStr">
        <is>
          <t>-</t>
        </is>
      </c>
      <c r="L13" s="15" t="inlineStr">
        <is>
          <t>Chỉ vào được nội dung đầy đủ sau khi thanh toán thành công (hoặc bắt đầu dùng thử nếu có)</t>
        </is>
      </c>
      <c r="M13" s="15" t="inlineStr"/>
      <c r="N13" s="18" t="inlineStr">
        <is>
          <t>Chưa test</t>
        </is>
      </c>
      <c r="O13" s="15" t="inlineStr"/>
      <c r="P13" s="15" t="inlineStr"/>
      <c r="Q13" s="18" t="inlineStr">
        <is>
          <t>Chưa test</t>
        </is>
      </c>
      <c r="R13" s="15" t="inlineStr"/>
    </row>
    <row r="14" ht="30" customHeight="1">
      <c r="A14" s="14" t="inlineStr">
        <is>
          <t>TC-COMM-013</t>
        </is>
      </c>
      <c r="B14" s="15" t="inlineStr">
        <is>
          <t>Cộng đồng</t>
        </is>
      </c>
      <c r="C14" s="15" t="inlineStr">
        <is>
          <t>Tham gia cộng đồng</t>
        </is>
      </c>
      <c r="D14" s="15" t="inlineStr">
        <is>
          <t>Gửi yêu cầu tham gia cộng đồng Riêng tư</t>
        </is>
      </c>
      <c r="E14" s="15" t="inlineStr">
        <is>
          <t>Chức năng</t>
        </is>
      </c>
      <c r="F14" s="16" t="inlineStr">
        <is>
          <t>Cao</t>
        </is>
      </c>
      <c r="G14" s="17" t="inlineStr">
        <is>
          <t>Đã hoàn thiện</t>
        </is>
      </c>
      <c r="H14" s="17" t="inlineStr">
        <is>
          <t>Có</t>
        </is>
      </c>
      <c r="I14" s="15" t="inlineStr">
        <is>
          <t>Có cộng đồng riêng tư, đã đăng nhập</t>
        </is>
      </c>
      <c r="J14" s="15" t="inlineStr">
        <is>
          <t>1. Vào trang cộng đồng riêng tư
2. Bấm 'Yêu cầu tham gia'</t>
        </is>
      </c>
      <c r="K14" s="15" t="inlineStr">
        <is>
          <t>-</t>
        </is>
      </c>
      <c r="L14" s="15" t="inlineStr">
        <is>
          <t>Yêu cầu được gửi tới Owner/Admin, trạng thái 'Đang chờ duyệt', chưa được vào nội dung</t>
        </is>
      </c>
      <c r="M14" s="15" t="inlineStr"/>
      <c r="N14" s="18" t="inlineStr">
        <is>
          <t>Chưa test</t>
        </is>
      </c>
      <c r="O14" s="15" t="inlineStr"/>
      <c r="P14" s="15" t="inlineStr"/>
      <c r="Q14" s="18" t="inlineStr">
        <is>
          <t>Chưa test</t>
        </is>
      </c>
      <c r="R14" s="15" t="inlineStr"/>
    </row>
    <row r="15" ht="30" customHeight="1">
      <c r="A15" s="14" t="inlineStr">
        <is>
          <t>TC-COMM-014</t>
        </is>
      </c>
      <c r="B15" s="15" t="inlineStr">
        <is>
          <t>Cộng đồng</t>
        </is>
      </c>
      <c r="C15" s="15" t="inlineStr">
        <is>
          <t>Tham gia cộng đồng</t>
        </is>
      </c>
      <c r="D15" s="15" t="inlineStr">
        <is>
          <t>Owner duyệt yêu cầu tham gia cộng đồng riêng tư</t>
        </is>
      </c>
      <c r="E15" s="15" t="inlineStr">
        <is>
          <t>Chức năng</t>
        </is>
      </c>
      <c r="F15" s="16" t="inlineStr">
        <is>
          <t>Cao</t>
        </is>
      </c>
      <c r="G15" s="17" t="inlineStr">
        <is>
          <t>Đã hoàn thiện</t>
        </is>
      </c>
      <c r="H15" s="17" t="inlineStr">
        <is>
          <t>Có</t>
        </is>
      </c>
      <c r="I15" s="15" t="inlineStr">
        <is>
          <t>Có yêu cầu tham gia đang chờ duyệt</t>
        </is>
      </c>
      <c r="J15" s="15" t="inlineStr">
        <is>
          <t>1. Owner vào danh sách yêu cầu tham gia
2. Bấm Duyệt cho 1 yêu cầu</t>
        </is>
      </c>
      <c r="K15" s="15" t="inlineStr">
        <is>
          <t>-</t>
        </is>
      </c>
      <c r="L15" s="15" t="inlineStr">
        <is>
          <t>Người dùng được thêm vào cộng đồng, có thể truy cập nội dung ngay</t>
        </is>
      </c>
      <c r="M15" s="15" t="inlineStr"/>
      <c r="N15" s="18" t="inlineStr">
        <is>
          <t>Chưa test</t>
        </is>
      </c>
      <c r="O15" s="15" t="inlineStr"/>
      <c r="P15" s="15" t="inlineStr"/>
      <c r="Q15" s="18" t="inlineStr">
        <is>
          <t>Chưa test</t>
        </is>
      </c>
      <c r="R15" s="15" t="inlineStr"/>
    </row>
    <row r="16" ht="30" customHeight="1">
      <c r="A16" s="14" t="inlineStr">
        <is>
          <t>TC-COMM-015</t>
        </is>
      </c>
      <c r="B16" s="15" t="inlineStr">
        <is>
          <t>Cộng đồng</t>
        </is>
      </c>
      <c r="C16" s="15" t="inlineStr">
        <is>
          <t>Tham gia cộng đồng</t>
        </is>
      </c>
      <c r="D16" s="15" t="inlineStr">
        <is>
          <t>Owner từ chối yêu cầu tham gia</t>
        </is>
      </c>
      <c r="E16" s="15" t="inlineStr">
        <is>
          <t>Chức năng</t>
        </is>
      </c>
      <c r="F16" s="20" t="inlineStr">
        <is>
          <t>Trung bình</t>
        </is>
      </c>
      <c r="G16" s="17" t="inlineStr">
        <is>
          <t>Đã hoàn thiện</t>
        </is>
      </c>
      <c r="H16" s="17" t="inlineStr">
        <is>
          <t>Có</t>
        </is>
      </c>
      <c r="I16" s="15" t="inlineStr">
        <is>
          <t>Có yêu cầu tham gia đang chờ duyệt</t>
        </is>
      </c>
      <c r="J16" s="15" t="inlineStr">
        <is>
          <t>1. Owner vào danh sách yêu cầu tham gia
2. Bấm Từ chối</t>
        </is>
      </c>
      <c r="K16" s="15" t="inlineStr">
        <is>
          <t>-</t>
        </is>
      </c>
      <c r="L16" s="15" t="inlineStr">
        <is>
          <t>Yêu cầu bị từ chối, người gửi không được vào cộng đồng, nhận được thông báo phù hợp</t>
        </is>
      </c>
      <c r="M16" s="15" t="inlineStr"/>
      <c r="N16" s="18" t="inlineStr">
        <is>
          <t>Chưa test</t>
        </is>
      </c>
      <c r="O16" s="15" t="inlineStr"/>
      <c r="P16" s="15" t="inlineStr"/>
      <c r="Q16" s="18" t="inlineStr">
        <is>
          <t>Chưa test</t>
        </is>
      </c>
      <c r="R16" s="15" t="inlineStr"/>
    </row>
    <row r="17" ht="30" customHeight="1">
      <c r="A17" s="14" t="inlineStr">
        <is>
          <t>TC-COMM-016</t>
        </is>
      </c>
      <c r="B17" s="15" t="inlineStr">
        <is>
          <t>Cộng đồng</t>
        </is>
      </c>
      <c r="C17" s="15" t="inlineStr">
        <is>
          <t>Tham gia cộng đồng</t>
        </is>
      </c>
      <c r="D17" s="15" t="inlineStr">
        <is>
          <t>Tham gia qua liên kết mời trực tiếp</t>
        </is>
      </c>
      <c r="E17" s="15" t="inlineStr">
        <is>
          <t>Chức năng</t>
        </is>
      </c>
      <c r="F17" s="20" t="inlineStr">
        <is>
          <t>Trung bình</t>
        </is>
      </c>
      <c r="G17" s="17" t="inlineStr">
        <is>
          <t>Đã hoàn thiện</t>
        </is>
      </c>
      <c r="H17" s="17" t="inlineStr">
        <is>
          <t>Có</t>
        </is>
      </c>
      <c r="I17" s="15" t="inlineStr">
        <is>
          <t>Owner đã tạo liên kết mời cho cộng đồng riêng tư</t>
        </is>
      </c>
      <c r="J17" s="15" t="inlineStr">
        <is>
          <t>1. Người dùng mở liên kết mời
2. Bấm xác nhận tham gia</t>
        </is>
      </c>
      <c r="K17" s="15" t="inlineStr">
        <is>
          <t>-</t>
        </is>
      </c>
      <c r="L17" s="15" t="inlineStr">
        <is>
          <t>Vào cộng đồng ngay không cần chờ duyệt</t>
        </is>
      </c>
      <c r="M17" s="15" t="inlineStr"/>
      <c r="N17" s="18" t="inlineStr">
        <is>
          <t>Chưa test</t>
        </is>
      </c>
      <c r="O17" s="15" t="inlineStr"/>
      <c r="P17" s="15" t="inlineStr"/>
      <c r="Q17" s="18" t="inlineStr">
        <is>
          <t>Chưa test</t>
        </is>
      </c>
      <c r="R17" s="15" t="inlineStr"/>
    </row>
    <row r="18" ht="45" customHeight="1">
      <c r="A18" s="14" t="inlineStr">
        <is>
          <t>TC-COMM-017</t>
        </is>
      </c>
      <c r="B18" s="15" t="inlineStr">
        <is>
          <t>Cộng đồng</t>
        </is>
      </c>
      <c r="C18" s="15" t="inlineStr">
        <is>
          <t>Rời cộng đồng</t>
        </is>
      </c>
      <c r="D18" s="15" t="inlineStr">
        <is>
          <t>Thành viên tự rời cộng đồng</t>
        </is>
      </c>
      <c r="E18" s="15" t="inlineStr">
        <is>
          <t>Chức năng</t>
        </is>
      </c>
      <c r="F18" s="20" t="inlineStr">
        <is>
          <t>Trung bình</t>
        </is>
      </c>
      <c r="G18" s="17" t="inlineStr">
        <is>
          <t>Đã hoàn thiện</t>
        </is>
      </c>
      <c r="H18" s="17" t="inlineStr">
        <is>
          <t>Có</t>
        </is>
      </c>
      <c r="I18" s="15" t="inlineStr">
        <is>
          <t>Đã là thành viên của 1 cộng đồng</t>
        </is>
      </c>
      <c r="J18" s="15" t="inlineStr">
        <is>
          <t>1. Vào cài đặt cộng đồng
2. Bấm 'Rời cộng đồng'
3. Xác nhận</t>
        </is>
      </c>
      <c r="K18" s="15" t="inlineStr">
        <is>
          <t>-</t>
        </is>
      </c>
      <c r="L18" s="15" t="inlineStr">
        <is>
          <t>Mất quyền truy cập nội dung cộng đồng, không còn trong danh sách thành viên</t>
        </is>
      </c>
      <c r="M18" s="15" t="inlineStr"/>
      <c r="N18" s="18" t="inlineStr">
        <is>
          <t>Chưa test</t>
        </is>
      </c>
      <c r="O18" s="15" t="inlineStr"/>
      <c r="P18" s="15" t="inlineStr"/>
      <c r="Q18" s="18" t="inlineStr">
        <is>
          <t>Chưa test</t>
        </is>
      </c>
      <c r="R18" s="15" t="inlineStr"/>
    </row>
    <row r="19" ht="45" customHeight="1">
      <c r="A19" s="14" t="inlineStr">
        <is>
          <t>TC-COMM-018</t>
        </is>
      </c>
      <c r="B19" s="15" t="inlineStr">
        <is>
          <t>Cộng đồng</t>
        </is>
      </c>
      <c r="C19" s="15" t="inlineStr">
        <is>
          <t>Loại thành viên</t>
        </is>
      </c>
      <c r="D19" s="15" t="inlineStr">
        <is>
          <t>Owner/Admin loại bỏ thành viên vi phạm</t>
        </is>
      </c>
      <c r="E19" s="15" t="inlineStr">
        <is>
          <t>Chức năng</t>
        </is>
      </c>
      <c r="F19" s="16" t="inlineStr">
        <is>
          <t>Cao</t>
        </is>
      </c>
      <c r="G19" s="17" t="inlineStr">
        <is>
          <t>Đã hoàn thiện</t>
        </is>
      </c>
      <c r="H19" s="17" t="inlineStr">
        <is>
          <t>Có</t>
        </is>
      </c>
      <c r="I19" s="15" t="inlineStr">
        <is>
          <t>Có thành viên vi phạm quy tắc trong cộng đồng</t>
        </is>
      </c>
      <c r="J19" s="15" t="inlineStr">
        <is>
          <t>1. Owner/Admin vào danh sách thành viên
2. Chọn thành viên vi phạm
3. Bấm 'Loại khỏi cộng đồng'</t>
        </is>
      </c>
      <c r="K19" s="15" t="inlineStr">
        <is>
          <t>-</t>
        </is>
      </c>
      <c r="L19" s="15" t="inlineStr">
        <is>
          <t>Thành viên bị loại, mất quyền truy cập ngay lập tức</t>
        </is>
      </c>
      <c r="M19" s="15" t="inlineStr"/>
      <c r="N19" s="18" t="inlineStr">
        <is>
          <t>Chưa test</t>
        </is>
      </c>
      <c r="O19" s="15" t="inlineStr"/>
      <c r="P19" s="15" t="inlineStr"/>
      <c r="Q19" s="18" t="inlineStr">
        <is>
          <t>Chưa test</t>
        </is>
      </c>
      <c r="R19" s="15" t="inlineStr"/>
    </row>
    <row r="20" ht="45" customHeight="1">
      <c r="A20" s="14" t="inlineStr">
        <is>
          <t>TC-COMM-019</t>
        </is>
      </c>
      <c r="B20" s="15" t="inlineStr">
        <is>
          <t>Cộng đồng</t>
        </is>
      </c>
      <c r="C20" s="15" t="inlineStr">
        <is>
          <t>Phân quyền</t>
        </is>
      </c>
      <c r="D20" s="15" t="inlineStr">
        <is>
          <t>Owner cấp quyền Admin cho một thành viên</t>
        </is>
      </c>
      <c r="E20" s="15" t="inlineStr">
        <is>
          <t>Chức năng</t>
        </is>
      </c>
      <c r="F20" s="16" t="inlineStr">
        <is>
          <t>Cao</t>
        </is>
      </c>
      <c r="G20" s="17" t="inlineStr">
        <is>
          <t>Đã hoàn thiện</t>
        </is>
      </c>
      <c r="H20" s="17" t="inlineStr">
        <is>
          <t>Có</t>
        </is>
      </c>
      <c r="I20" s="15" t="inlineStr">
        <is>
          <t>Có thành viên thường trong cộng đồng</t>
        </is>
      </c>
      <c r="J20" s="15" t="inlineStr">
        <is>
          <t>1. Owner vào danh sách thành viên
2. Chọn 1 thành viên
3. Cấp quyền Admin/Mod</t>
        </is>
      </c>
      <c r="K20" s="15" t="inlineStr">
        <is>
          <t>-</t>
        </is>
      </c>
      <c r="L20" s="15" t="inlineStr">
        <is>
          <t>Thành viên được nâng quyền, có thể tạo/sửa nội dung, kiểm duyệt trong cộng đồng đó</t>
        </is>
      </c>
      <c r="M20" s="15" t="inlineStr"/>
      <c r="N20" s="18" t="inlineStr">
        <is>
          <t>Chưa test</t>
        </is>
      </c>
      <c r="O20" s="15" t="inlineStr"/>
      <c r="P20" s="15" t="inlineStr"/>
      <c r="Q20" s="18" t="inlineStr">
        <is>
          <t>Chưa test</t>
        </is>
      </c>
      <c r="R20" s="15" t="inlineStr"/>
    </row>
    <row r="21" ht="30" customHeight="1">
      <c r="A21" s="14" t="inlineStr">
        <is>
          <t>TC-COMM-020</t>
        </is>
      </c>
      <c r="B21" s="15" t="inlineStr">
        <is>
          <t>Cộng đồng</t>
        </is>
      </c>
      <c r="C21" s="15" t="inlineStr">
        <is>
          <t>Phân quyền</t>
        </is>
      </c>
      <c r="D21" s="15" t="inlineStr">
        <is>
          <t>Owner thu hồi quyền Admin</t>
        </is>
      </c>
      <c r="E21" s="15" t="inlineStr">
        <is>
          <t>Chức năng</t>
        </is>
      </c>
      <c r="F21" s="20" t="inlineStr">
        <is>
          <t>Trung bình</t>
        </is>
      </c>
      <c r="G21" s="17" t="inlineStr">
        <is>
          <t>Đã hoàn thiện</t>
        </is>
      </c>
      <c r="H21" s="17" t="inlineStr">
        <is>
          <t>Có</t>
        </is>
      </c>
      <c r="I21" s="15" t="inlineStr">
        <is>
          <t>Có 1 Admin trong cộng đồng</t>
        </is>
      </c>
      <c r="J21" s="15" t="inlineStr">
        <is>
          <t>1. Owner vào danh sách quản trị viên
2. Thu hồi quyền của 1 Admin</t>
        </is>
      </c>
      <c r="K21" s="15" t="inlineStr">
        <is>
          <t>-</t>
        </is>
      </c>
      <c r="L21" s="15" t="inlineStr">
        <is>
          <t>Người đó trở lại vai trò Thành viên thường, mất quyền quản trị ngay</t>
        </is>
      </c>
      <c r="M21" s="15" t="inlineStr"/>
      <c r="N21" s="18" t="inlineStr">
        <is>
          <t>Chưa test</t>
        </is>
      </c>
      <c r="O21" s="15" t="inlineStr"/>
      <c r="P21" s="15" t="inlineStr"/>
      <c r="Q21" s="18" t="inlineStr">
        <is>
          <t>Chưa test</t>
        </is>
      </c>
      <c r="R21" s="15" t="inlineStr"/>
    </row>
    <row r="22" ht="30" customHeight="1">
      <c r="A22" s="14" t="inlineStr">
        <is>
          <t>TC-COMM-021</t>
        </is>
      </c>
      <c r="B22" s="15" t="inlineStr">
        <is>
          <t>Cộng đồng</t>
        </is>
      </c>
      <c r="C22" s="15" t="inlineStr">
        <is>
          <t>Phân quyền</t>
        </is>
      </c>
      <c r="D22" s="15" t="inlineStr">
        <is>
          <t>Admin mặc định không xem được doanh thu khi chưa được cấp thêm quyền</t>
        </is>
      </c>
      <c r="E22" s="15" t="inlineStr">
        <is>
          <t>Bảo mật</t>
        </is>
      </c>
      <c r="F22" s="16" t="inlineStr">
        <is>
          <t>Cao</t>
        </is>
      </c>
      <c r="G22" s="17" t="inlineStr">
        <is>
          <t>Đã hoàn thiện</t>
        </is>
      </c>
      <c r="H22" s="17" t="inlineStr">
        <is>
          <t>Có</t>
        </is>
      </c>
      <c r="I22" s="15" t="inlineStr">
        <is>
          <t>Có tài khoản Admin chưa được cấp quyền xem doanh thu</t>
        </is>
      </c>
      <c r="J22" s="15" t="inlineStr">
        <is>
          <t>1. Đăng nhập bằng tài khoản Admin
2. Cố truy cập trang Doanh thu của cộng đồng</t>
        </is>
      </c>
      <c r="K22" s="15" t="inlineStr">
        <is>
          <t>-</t>
        </is>
      </c>
      <c r="L22" s="15" t="inlineStr">
        <is>
          <t>Bị từ chối truy cập / không thấy mục doanh thu, đúng theo quy tắc phân quyền mặc định</t>
        </is>
      </c>
      <c r="M22" s="15" t="inlineStr"/>
      <c r="N22" s="18" t="inlineStr">
        <is>
          <t>Chưa test</t>
        </is>
      </c>
      <c r="O22" s="15" t="inlineStr"/>
      <c r="P22" s="15" t="inlineStr"/>
      <c r="Q22" s="18" t="inlineStr">
        <is>
          <t>Chưa test</t>
        </is>
      </c>
      <c r="R22" s="15" t="inlineStr"/>
    </row>
    <row r="23" ht="30" customHeight="1">
      <c r="A23" s="14" t="inlineStr">
        <is>
          <t>TC-COMM-022</t>
        </is>
      </c>
      <c r="B23" s="15" t="inlineStr">
        <is>
          <t>Cộng đồng</t>
        </is>
      </c>
      <c r="C23" s="15" t="inlineStr">
        <is>
          <t>Khám phá cộng đồng</t>
        </is>
      </c>
      <c r="D23" s="15" t="inlineStr">
        <is>
          <t>Danh sách cộng đồng hiển thị đúng, hỗ trợ tìm kiếm/lọc</t>
        </is>
      </c>
      <c r="E23" s="15" t="inlineStr">
        <is>
          <t>Chức năng</t>
        </is>
      </c>
      <c r="F23" s="20" t="inlineStr">
        <is>
          <t>Trung bình</t>
        </is>
      </c>
      <c r="G23" s="17" t="inlineStr">
        <is>
          <t>Đã hoàn thiện</t>
        </is>
      </c>
      <c r="H23" s="17" t="inlineStr">
        <is>
          <t>Có</t>
        </is>
      </c>
      <c r="I23" s="15" t="inlineStr">
        <is>
          <t>Có nhiều cộng đồng công khai</t>
        </is>
      </c>
      <c r="J23" s="15" t="inlineStr">
        <is>
          <t>1. Vào trang khám phá cộng đồng
2. Tìm kiếm/lọc theo danh mục hoặc từ khóa</t>
        </is>
      </c>
      <c r="K23" s="15" t="inlineStr">
        <is>
          <t>-</t>
        </is>
      </c>
      <c r="L23" s="15" t="inlineStr">
        <is>
          <t>Trả về đúng danh sách cộng đồng công khai khớp điều kiện</t>
        </is>
      </c>
      <c r="M23" s="15" t="inlineStr"/>
      <c r="N23" s="18" t="inlineStr">
        <is>
          <t>Chưa test</t>
        </is>
      </c>
      <c r="O23" s="15" t="inlineStr"/>
      <c r="P23" s="15" t="inlineStr"/>
      <c r="Q23" s="18" t="inlineStr">
        <is>
          <t>Chưa test</t>
        </is>
      </c>
      <c r="R23" s="15" t="inlineStr"/>
    </row>
    <row r="24" ht="45" customHeight="1">
      <c r="A24" s="14" t="inlineStr">
        <is>
          <t>TC-COMM-023</t>
        </is>
      </c>
      <c r="B24" s="15" t="inlineStr">
        <is>
          <t>Cộng đồng</t>
        </is>
      </c>
      <c r="C24" s="15" t="inlineStr">
        <is>
          <t>Quản lý cộng đồng</t>
        </is>
      </c>
      <c r="D24" s="15" t="inlineStr">
        <is>
          <t>Owner chỉnh sửa thông tin cộng đồng (tên, mô tả, ảnh bìa)</t>
        </is>
      </c>
      <c r="E24" s="15" t="inlineStr">
        <is>
          <t>Chức năng</t>
        </is>
      </c>
      <c r="F24" s="20" t="inlineStr">
        <is>
          <t>Trung bình</t>
        </is>
      </c>
      <c r="G24" s="17" t="inlineStr">
        <is>
          <t>Đã hoàn thiện</t>
        </is>
      </c>
      <c r="H24" s="17" t="inlineStr">
        <is>
          <t>Có</t>
        </is>
      </c>
      <c r="I24" s="15" t="inlineStr">
        <is>
          <t>Owner có 1 cộng đồng đang hoạt động</t>
        </is>
      </c>
      <c r="J24" s="15" t="inlineStr">
        <is>
          <t>1. Owner vào Cài đặt cộng đồng
2. Sửa tên/mô tả/ảnh bìa
3. Lưu</t>
        </is>
      </c>
      <c r="K24" s="15" t="inlineStr">
        <is>
          <t>-</t>
        </is>
      </c>
      <c r="L24" s="15" t="inlineStr">
        <is>
          <t>Thông tin cập nhật thành công và hiển thị đúng ngay trên trang cộng đồng</t>
        </is>
      </c>
      <c r="M24" s="15" t="inlineStr"/>
      <c r="N24" s="18" t="inlineStr">
        <is>
          <t>Chưa test</t>
        </is>
      </c>
      <c r="O24" s="15" t="inlineStr"/>
      <c r="P24" s="15" t="inlineStr"/>
      <c r="Q24" s="18" t="inlineStr">
        <is>
          <t>Chưa test</t>
        </is>
      </c>
      <c r="R24" s="15" t="inlineStr"/>
    </row>
    <row r="25" ht="45" customHeight="1">
      <c r="A25" s="14" t="inlineStr">
        <is>
          <t>TC-COMM-024</t>
        </is>
      </c>
      <c r="B25" s="15" t="inlineStr">
        <is>
          <t>Cộng đồng</t>
        </is>
      </c>
      <c r="C25" s="15" t="inlineStr">
        <is>
          <t>Quản lý cộng đồng</t>
        </is>
      </c>
      <c r="D25" s="15" t="inlineStr">
        <is>
          <t>Owner đổi mức giá cộng đồng từ Miễn phí sang Có phí</t>
        </is>
      </c>
      <c r="E25" s="15" t="inlineStr">
        <is>
          <t>Chức năng</t>
        </is>
      </c>
      <c r="F25" s="16" t="inlineStr">
        <is>
          <t>Cao</t>
        </is>
      </c>
      <c r="G25" s="20" t="inlineStr">
        <is>
          <t>Kế hoạch</t>
        </is>
      </c>
      <c r="H25" s="17" t="inlineStr">
        <is>
          <t>Có</t>
        </is>
      </c>
      <c r="I25" s="15" t="inlineStr">
        <is>
          <t>Cộng đồng đang ở chế độ Miễn phí, đã có thành viên</t>
        </is>
      </c>
      <c r="J25" s="15" t="inlineStr">
        <is>
          <t>1. Owner vào Cài đặt cộng đồng
2. Đổi sang chế độ Có phí, nhập giá
3. Lưu</t>
        </is>
      </c>
      <c r="K25" s="15" t="inlineStr">
        <is>
          <t>-</t>
        </is>
      </c>
      <c r="L25" s="15" t="inlineStr">
        <is>
          <t>Cần làm rõ &amp; test theo chính sách đã chốt: thành viên hiện tại có bị yêu cầu trả phí ngay không, hay được giữ quyền truy cập miễn phí tới khi có thay đổi khác</t>
        </is>
      </c>
      <c r="M25" s="15" t="inlineStr"/>
      <c r="N25" s="18" t="inlineStr">
        <is>
          <t>Chưa test</t>
        </is>
      </c>
      <c r="O25" s="15" t="inlineStr"/>
      <c r="P25" s="15" t="inlineStr"/>
      <c r="Q25" s="18" t="inlineStr">
        <is>
          <t>Chưa test</t>
        </is>
      </c>
      <c r="R25" s="15" t="inlineStr"/>
    </row>
    <row r="26" ht="45" customHeight="1">
      <c r="A26" s="14" t="inlineStr">
        <is>
          <t>TC-COMM-025</t>
        </is>
      </c>
      <c r="B26" s="15" t="inlineStr">
        <is>
          <t>Cộng đồng</t>
        </is>
      </c>
      <c r="C26" s="15" t="inlineStr">
        <is>
          <t>Quản lý cộng đồng</t>
        </is>
      </c>
      <c r="D26" s="15" t="inlineStr">
        <is>
          <t>Owner xóa cộng đồng</t>
        </is>
      </c>
      <c r="E26" s="15" t="inlineStr">
        <is>
          <t>Chức năng</t>
        </is>
      </c>
      <c r="F26" s="16" t="inlineStr">
        <is>
          <t>Cao</t>
        </is>
      </c>
      <c r="G26" s="17" t="inlineStr">
        <is>
          <t>Đã hoàn thiện</t>
        </is>
      </c>
      <c r="H26" s="17" t="inlineStr">
        <is>
          <t>Có</t>
        </is>
      </c>
      <c r="I26" s="15" t="inlineStr">
        <is>
          <t>Owner có 1 cộng đồng, có xác nhận double-check trước khi xóa</t>
        </is>
      </c>
      <c r="J26" s="15" t="inlineStr">
        <is>
          <t>1. Owner vào Cài đặt cộng đồng
2. Bấm 'Xóa cộng đồng'
3. Xác nhận theo bước double-check (VD nhập lại tên cộng đồng)</t>
        </is>
      </c>
      <c r="K26" s="15" t="inlineStr">
        <is>
          <t>-</t>
        </is>
      </c>
      <c r="L26" s="15" t="inlineStr">
        <is>
          <t>Cộng đồng và toàn bộ dữ liệu liên quan bị vô hiệu hóa/xóa đúng theo chính sách, thành viên mất quyền truy cập</t>
        </is>
      </c>
      <c r="M26" s="15" t="inlineStr"/>
      <c r="N26" s="18" t="inlineStr">
        <is>
          <t>Chưa test</t>
        </is>
      </c>
      <c r="O26" s="15" t="inlineStr"/>
      <c r="P26" s="15" t="inlineStr"/>
      <c r="Q26" s="18" t="inlineStr">
        <is>
          <t>Chưa test</t>
        </is>
      </c>
      <c r="R26" s="15" t="inlineStr"/>
    </row>
    <row r="27" ht="30" customHeight="1">
      <c r="A27" s="14" t="inlineStr">
        <is>
          <t>TC-COMM-026</t>
        </is>
      </c>
      <c r="B27" s="15" t="inlineStr">
        <is>
          <t>Cộng đồng</t>
        </is>
      </c>
      <c r="C27" s="15" t="inlineStr">
        <is>
          <t>Tham gia cộng đồng</t>
        </is>
      </c>
      <c r="D27" s="15" t="inlineStr">
        <is>
          <t>Thành viên từng bị loại khỏi cộng đồng riêng tư gửi lại yêu cầu tham gia</t>
        </is>
      </c>
      <c r="E27" s="15" t="inlineStr">
        <is>
          <t>Chức năng</t>
        </is>
      </c>
      <c r="F27" s="20" t="inlineStr">
        <is>
          <t>Trung bình</t>
        </is>
      </c>
      <c r="G27" s="17" t="inlineStr">
        <is>
          <t>Đã hoàn thiện</t>
        </is>
      </c>
      <c r="H27" s="17" t="inlineStr">
        <is>
          <t>Có</t>
        </is>
      </c>
      <c r="I27" s="15" t="inlineStr">
        <is>
          <t>Thành viên đã từng bị Owner loại khỏi cộng đồng riêng tư</t>
        </is>
      </c>
      <c r="J27" s="15" t="inlineStr">
        <is>
          <t>1. Thành viên đã bị loại trước đó vào lại trang cộng đồng riêng tư
2. Gửi yêu cầu tham gia lại</t>
        </is>
      </c>
      <c r="K27" s="15" t="inlineStr">
        <is>
          <t>-</t>
        </is>
      </c>
      <c r="L27" s="15" t="inlineStr">
        <is>
          <t>Yêu cầu được gửi tới Owner như bình thường (hoặc bị chặn nếu có chính sách cấm riêng — cần xác nhận với BA)</t>
        </is>
      </c>
      <c r="M27" s="15" t="inlineStr"/>
      <c r="N27" s="18" t="inlineStr">
        <is>
          <t>Chưa test</t>
        </is>
      </c>
      <c r="O27" s="15" t="inlineStr"/>
      <c r="P27" s="15" t="inlineStr"/>
      <c r="Q27" s="18" t="inlineStr">
        <is>
          <t>Chưa test</t>
        </is>
      </c>
      <c r="R27" s="15" t="inlineStr"/>
    </row>
    <row r="28" ht="45" customHeight="1">
      <c r="A28" s="14" t="inlineStr">
        <is>
          <t>TC-COMM-027</t>
        </is>
      </c>
      <c r="B28" s="15" t="inlineStr">
        <is>
          <t>Cộng đồng</t>
        </is>
      </c>
      <c r="C28" s="15" t="inlineStr">
        <is>
          <t>Phân quyền</t>
        </is>
      </c>
      <c r="D28" s="15" t="inlineStr">
        <is>
          <t>Owner chuyển giao quyền sở hữu (Owner) cộng đồng cho thành viên khác</t>
        </is>
      </c>
      <c r="E28" s="15" t="inlineStr">
        <is>
          <t>Chức năng</t>
        </is>
      </c>
      <c r="F28" s="16" t="inlineStr">
        <is>
          <t>Cao</t>
        </is>
      </c>
      <c r="G28" s="17" t="inlineStr">
        <is>
          <t>Đã hoàn thiện</t>
        </is>
      </c>
      <c r="H28" s="17" t="inlineStr">
        <is>
          <t>Có</t>
        </is>
      </c>
      <c r="I28" s="15" t="inlineStr">
        <is>
          <t>Owner có 1 cộng đồng, có 1 Admin đáng tin cậy</t>
        </is>
      </c>
      <c r="J28" s="15" t="inlineStr">
        <is>
          <t>1. Owner vào quản lý thành viên
2. Chọn 'Chuyển quyền sở hữu' cho 1 Admin
3. Xác nhận</t>
        </is>
      </c>
      <c r="K28" s="15" t="inlineStr">
        <is>
          <t>-</t>
        </is>
      </c>
      <c r="L28" s="15" t="inlineStr">
        <is>
          <t>Người được chuyển trở thành Owner mới, Owner cũ chuyển xuống vai trò thấp hơn theo đúng thiết kế</t>
        </is>
      </c>
      <c r="M28" s="15" t="inlineStr"/>
      <c r="N28" s="18" t="inlineStr">
        <is>
          <t>Chưa test</t>
        </is>
      </c>
      <c r="O28" s="15" t="inlineStr"/>
      <c r="P28" s="15" t="inlineStr"/>
      <c r="Q28" s="18" t="inlineStr">
        <is>
          <t>Chưa test</t>
        </is>
      </c>
      <c r="R28" s="15" t="inlineStr"/>
    </row>
    <row r="29" ht="30" customHeight="1">
      <c r="A29" s="14" t="inlineStr">
        <is>
          <t>TC-COMM-028</t>
        </is>
      </c>
      <c r="B29" s="15" t="inlineStr">
        <is>
          <t>Cộng đồng</t>
        </is>
      </c>
      <c r="C29" s="15" t="inlineStr">
        <is>
          <t>Trang cộng đồng</t>
        </is>
      </c>
      <c r="D29" s="15" t="inlineStr">
        <is>
          <t>Người chưa tham gia cộng đồng riêng tư không xem được nội dung các tab</t>
        </is>
      </c>
      <c r="E29" s="15" t="inlineStr">
        <is>
          <t>Bảo mật</t>
        </is>
      </c>
      <c r="F29" s="16" t="inlineStr">
        <is>
          <t>Cao</t>
        </is>
      </c>
      <c r="G29" s="17" t="inlineStr">
        <is>
          <t>Đã hoàn thiện</t>
        </is>
      </c>
      <c r="H29" s="17" t="inlineStr">
        <is>
          <t>Có</t>
        </is>
      </c>
      <c r="I29" s="15" t="inlineStr">
        <is>
          <t>Có cộng đồng riêng tư, tài khoản test chưa được duyệt tham gia</t>
        </is>
      </c>
      <c r="J29" s="15" t="inlineStr">
        <is>
          <t>1. Đăng nhập tài khoản chưa tham gia
2. Truy cập trực tiếp URL các tab nội dung của cộng đồng riêng tư đó</t>
        </is>
      </c>
      <c r="K29" s="15" t="inlineStr">
        <is>
          <t>-</t>
        </is>
      </c>
      <c r="L29" s="15" t="inlineStr">
        <is>
          <t>Bị chặn truy cập, chỉ thấy trang giới thiệu sơ lược + nút yêu cầu tham gia</t>
        </is>
      </c>
      <c r="M29" s="15" t="inlineStr"/>
      <c r="N29" s="18" t="inlineStr">
        <is>
          <t>Chưa test</t>
        </is>
      </c>
      <c r="O29" s="15" t="inlineStr"/>
      <c r="P29" s="15" t="inlineStr"/>
      <c r="Q29" s="18" t="inlineStr">
        <is>
          <t>Chưa test</t>
        </is>
      </c>
      <c r="R29" s="15" t="inlineStr"/>
    </row>
    <row r="30" ht="45" customHeight="1">
      <c r="A30" s="14" t="inlineStr">
        <is>
          <t>TC-COMM-029</t>
        </is>
      </c>
      <c r="B30" s="15" t="inlineStr">
        <is>
          <t>Cộng đồng</t>
        </is>
      </c>
      <c r="C30" s="15" t="inlineStr">
        <is>
          <t>Mời thành viên</t>
        </is>
      </c>
      <c r="D30" s="15" t="inlineStr">
        <is>
          <t>Liên kết mời hết hạn không sử dụng được</t>
        </is>
      </c>
      <c r="E30" s="15" t="inlineStr">
        <is>
          <t>Bảo mật</t>
        </is>
      </c>
      <c r="F30" s="20" t="inlineStr">
        <is>
          <t>Trung bình</t>
        </is>
      </c>
      <c r="G30" s="17" t="inlineStr">
        <is>
          <t>Đã hoàn thiện</t>
        </is>
      </c>
      <c r="H30" s="17" t="inlineStr">
        <is>
          <t>Có</t>
        </is>
      </c>
      <c r="I30" s="15" t="inlineStr">
        <is>
          <t>Owner tạo liên kết mời có thời hạn (VD 7 ngày)</t>
        </is>
      </c>
      <c r="J30" s="15" t="inlineStr">
        <is>
          <t>1. Owner tạo liên kết mời với thời hạn xác định
2. Chờ/giả lập qua thời hạn đó
3. Mở liên kết mời</t>
        </is>
      </c>
      <c r="K30" s="15" t="inlineStr">
        <is>
          <t>-</t>
        </is>
      </c>
      <c r="L30" s="15" t="inlineStr">
        <is>
          <t>Hiển thị thông báo liên kết đã hết hạn, không cho tham gia cộng đồng</t>
        </is>
      </c>
      <c r="M30" s="15" t="inlineStr"/>
      <c r="N30" s="18" t="inlineStr">
        <is>
          <t>Chưa test</t>
        </is>
      </c>
      <c r="O30" s="15" t="inlineStr"/>
      <c r="P30" s="15" t="inlineStr"/>
      <c r="Q30" s="18" t="inlineStr">
        <is>
          <t>Chưa test</t>
        </is>
      </c>
      <c r="R30" s="15" t="inlineStr"/>
    </row>
    <row r="31" ht="30" customHeight="1">
      <c r="A31" s="14" t="inlineStr">
        <is>
          <t>TC-COMM-030</t>
        </is>
      </c>
      <c r="B31" s="15" t="inlineStr">
        <is>
          <t>Cộng đồng</t>
        </is>
      </c>
      <c r="C31" s="15" t="inlineStr">
        <is>
          <t>Mời thành viên</t>
        </is>
      </c>
      <c r="D31" s="15" t="inlineStr">
        <is>
          <t>Liên kết mời dùng được đúng số lần theo cấu hình</t>
        </is>
      </c>
      <c r="E31" s="15" t="inlineStr">
        <is>
          <t>Chức năng</t>
        </is>
      </c>
      <c r="F31" s="20" t="inlineStr">
        <is>
          <t>Trung bình</t>
        </is>
      </c>
      <c r="G31" s="17" t="inlineStr">
        <is>
          <t>Đã hoàn thiện</t>
        </is>
      </c>
      <c r="H31" s="17" t="inlineStr">
        <is>
          <t>Có</t>
        </is>
      </c>
      <c r="I31" s="15" t="inlineStr">
        <is>
          <t>Owner tạo liên kết mời giới hạn 1 lần sử dụng</t>
        </is>
      </c>
      <c r="J31" s="15" t="inlineStr">
        <is>
          <t>1. Dùng liên kết mời để tham gia (lần 1)
2. Dùng lại chính liên kết đó lần 2 bằng tài khoản khác</t>
        </is>
      </c>
      <c r="K31" s="15" t="inlineStr">
        <is>
          <t>-</t>
        </is>
      </c>
      <c r="L31" s="15" t="inlineStr">
        <is>
          <t>Lần 1 thành công; lần 2 bị từ chối do liên kết đã được sử dụng (nếu cấu hình giới hạn 1 lần)</t>
        </is>
      </c>
      <c r="M31" s="15" t="inlineStr"/>
      <c r="N31" s="18" t="inlineStr">
        <is>
          <t>Chưa test</t>
        </is>
      </c>
      <c r="O31" s="15" t="inlineStr"/>
      <c r="P31" s="15" t="inlineStr"/>
      <c r="Q31" s="18" t="inlineStr">
        <is>
          <t>Chưa test</t>
        </is>
      </c>
      <c r="R31" s="15" t="inlineStr"/>
    </row>
    <row r="32" ht="30" customHeight="1">
      <c r="A32" s="14" t="inlineStr">
        <is>
          <t>TC-COMM-031</t>
        </is>
      </c>
      <c r="B32" s="15" t="inlineStr">
        <is>
          <t>Cộng đồng</t>
        </is>
      </c>
      <c r="C32" s="15" t="inlineStr">
        <is>
          <t>Khám phá cộng đồng</t>
        </is>
      </c>
      <c r="D32" s="15" t="inlineStr">
        <is>
          <t>Cộng đồng riêng tư không hiển thị đầy đủ trên trang khám phá công khai</t>
        </is>
      </c>
      <c r="E32" s="15" t="inlineStr">
        <is>
          <t>Bảo mật</t>
        </is>
      </c>
      <c r="F32" s="20" t="inlineStr">
        <is>
          <t>Trung bình</t>
        </is>
      </c>
      <c r="G32" s="17" t="inlineStr">
        <is>
          <t>Đã hoàn thiện</t>
        </is>
      </c>
      <c r="H32" s="17" t="inlineStr">
        <is>
          <t>Có</t>
        </is>
      </c>
      <c r="I32" s="15" t="inlineStr">
        <is>
          <t>Có cả cộng đồng công khai và riêng tư</t>
        </is>
      </c>
      <c r="J32" s="15" t="inlineStr">
        <is>
          <t>1. Vào trang khám phá cộng đồng ở chế độ Khách/chưa tham gia</t>
        </is>
      </c>
      <c r="K32" s="15" t="inlineStr">
        <is>
          <t>-</t>
        </is>
      </c>
      <c r="L32" s="15" t="inlineStr">
        <is>
          <t>Cộng đồng riêng tư không hiển thị đầy đủ chi tiết, tuân đúng quy tắc hiển thị theo chế độ Riêng tư</t>
        </is>
      </c>
      <c r="M32" s="15" t="inlineStr"/>
      <c r="N32" s="18" t="inlineStr">
        <is>
          <t>Chưa test</t>
        </is>
      </c>
      <c r="O32" s="15" t="inlineStr"/>
      <c r="P32" s="15" t="inlineStr"/>
      <c r="Q32" s="18" t="inlineStr">
        <is>
          <t>Chưa test</t>
        </is>
      </c>
      <c r="R32" s="15" t="inlineStr"/>
    </row>
    <row r="33" ht="30" customHeight="1">
      <c r="A33" s="14" t="inlineStr">
        <is>
          <t>TC-COMM-032</t>
        </is>
      </c>
      <c r="B33" s="15" t="inlineStr">
        <is>
          <t>Cộng đồng</t>
        </is>
      </c>
      <c r="C33" s="15" t="inlineStr">
        <is>
          <t>Rời cộng đồng</t>
        </is>
      </c>
      <c r="D33" s="15" t="inlineStr">
        <is>
          <t>Owner không thể tự rời cộng đồng khi chưa chuyển giao quyền sở hữu</t>
        </is>
      </c>
      <c r="E33" s="15" t="inlineStr">
        <is>
          <t>Chức năng</t>
        </is>
      </c>
      <c r="F33" s="20" t="inlineStr">
        <is>
          <t>Trung bình</t>
        </is>
      </c>
      <c r="G33" s="17" t="inlineStr">
        <is>
          <t>Đã hoàn thiện</t>
        </is>
      </c>
      <c r="H33" s="17" t="inlineStr">
        <is>
          <t>Có</t>
        </is>
      </c>
      <c r="I33" s="15" t="inlineStr">
        <is>
          <t>Owner đang sở hữu 1 cộng đồng, chưa chuyển giao</t>
        </is>
      </c>
      <c r="J33" s="15" t="inlineStr">
        <is>
          <t>1. Owner vào cài đặt cộng đồng
2. Thử bấm 'Rời cộng đồng'</t>
        </is>
      </c>
      <c r="K33" s="15" t="inlineStr">
        <is>
          <t>-</t>
        </is>
      </c>
      <c r="L33" s="15" t="inlineStr">
        <is>
          <t>Hệ thống chặn hành động, yêu cầu chuyển giao quyền sở hữu hoặc xóa cộng đồng trước khi rời</t>
        </is>
      </c>
      <c r="M33" s="15" t="inlineStr"/>
      <c r="N33" s="18" t="inlineStr">
        <is>
          <t>Chưa test</t>
        </is>
      </c>
      <c r="O33" s="15" t="inlineStr"/>
      <c r="P33" s="15" t="inlineStr"/>
      <c r="Q33" s="18" t="inlineStr">
        <is>
          <t>Chưa test</t>
        </is>
      </c>
      <c r="R33" s="15" t="inlineStr"/>
    </row>
    <row r="34" ht="45" customHeight="1">
      <c r="A34" s="14" t="inlineStr">
        <is>
          <t>TC-COMM-033</t>
        </is>
      </c>
      <c r="B34" s="15" t="inlineStr">
        <is>
          <t>Cộng đồng</t>
        </is>
      </c>
      <c r="C34" s="15" t="inlineStr">
        <is>
          <t>Tạo cộng đồng (validate &amp; slug)</t>
        </is>
      </c>
      <c r="D34" s="15" t="inlineStr">
        <is>
          <t>Slug cộng đồng sinh từ tên tiếng Việt có dấu (bỏ dấu, chữ đ -&gt; d)</t>
        </is>
      </c>
      <c r="E34" s="15" t="inlineStr">
        <is>
          <t>Chức năng</t>
        </is>
      </c>
      <c r="F34" s="16" t="inlineStr">
        <is>
          <t>Cao</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34" s="15" t="inlineStr">
        <is>
          <t>1. Vào /communities/new, bước 1 nhập tên, mô tả, chọn danh mục 'hobby', bước 2 chọn Công khai giá 0, bước 3 bấm 'Tạo cộng đồng'
2. Ghi lại URL sau khi chuyển trang
3. Gọi GET /api/courses/cong-dong-nhiep-anh-da-lat</t>
        </is>
      </c>
      <c r="K34" s="15" t="inlineStr">
        <is>
          <t>title='Cộng đồng Nhiếp ảnh Đà Lạt', description='Nơi chia sẻ ảnh', category=hobby, priceUsd=0, visibility=public</t>
        </is>
      </c>
      <c r="L34" s="15" t="inlineStr">
        <is>
          <t>POST /api/communities trả 201, data.id='cong-dong-nhiep-anh-da-lat', viewerRole='owner'; FE chuyển sang /courses/cong-dong-nhiep-anh-da-lat/community; GET chi tiết trả 200</t>
        </is>
      </c>
      <c r="M34" s="15" t="inlineStr"/>
      <c r="N34" s="18" t="inlineStr">
        <is>
          <t>Chưa test</t>
        </is>
      </c>
      <c r="O34" s="15" t="inlineStr"/>
      <c r="P34" s="15" t="inlineStr"/>
      <c r="Q34" s="18" t="inlineStr">
        <is>
          <t>Chưa test</t>
        </is>
      </c>
      <c r="R34" s="15" t="inlineStr"/>
    </row>
    <row r="35" ht="45" customHeight="1">
      <c r="A35" s="14" t="inlineStr">
        <is>
          <t>TC-COMM-034</t>
        </is>
      </c>
      <c r="B35" s="15" t="inlineStr">
        <is>
          <t>Cộng đồng</t>
        </is>
      </c>
      <c r="C35" s="15" t="inlineStr">
        <is>
          <t>Tạo cộng đồng (validate &amp; slug)</t>
        </is>
      </c>
      <c r="D35" s="15" t="inlineStr">
        <is>
          <t>Tạo hai cộng đồng trùng tên: slug tự thêm hậu tố -2, -3</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35" s="15" t="inlineStr">
        <is>
          <t>1. POST /api/communities lần 1 với title 'QA Trung Ten'
2. Lặp lại lần 2 và lần 3 đúng payload cũ
3. GET /api/courses/qa-trung-ten, /qa-trung-ten-2, /qa-trung-ten-3</t>
        </is>
      </c>
      <c r="K35" s="15" t="inlineStr">
        <is>
          <t>title='QA Trung Ten', description='x', category=business, priceUsd=0, visibility=public</t>
        </is>
      </c>
      <c r="L35" s="15" t="inlineStr">
        <is>
          <t>Lần 1 id='qa-trung-ten', lần 2 id='qa-trung-ten-2', lần 3 id='qa-trung-ten-3' (đều 201); ba cộng đồng độc lập, không ghi đè nhau</t>
        </is>
      </c>
      <c r="M35" s="15" t="inlineStr"/>
      <c r="N35" s="18" t="inlineStr">
        <is>
          <t>Chưa test</t>
        </is>
      </c>
      <c r="O35" s="15" t="inlineStr"/>
      <c r="P35" s="15" t="inlineStr"/>
      <c r="Q35" s="18" t="inlineStr">
        <is>
          <t>Chưa test</t>
        </is>
      </c>
      <c r="R35" s="15" t="inlineStr"/>
    </row>
    <row r="36" ht="30" customHeight="1">
      <c r="A36" s="14" t="inlineStr">
        <is>
          <t>TC-COMM-035</t>
        </is>
      </c>
      <c r="B36" s="15" t="inlineStr">
        <is>
          <t>Cộng đồng</t>
        </is>
      </c>
      <c r="C36" s="15" t="inlineStr">
        <is>
          <t>Tạo cộng đồng (validate &amp; slug)</t>
        </is>
      </c>
      <c r="D36" s="15" t="inlineStr">
        <is>
          <t>Tên chỉ gồm ký tự đặc biệt/emoji dùng slug dự phòng 'community'</t>
        </is>
      </c>
      <c r="E36" s="15" t="inlineStr">
        <is>
          <t>Chức năng</t>
        </is>
      </c>
      <c r="F36" s="20" t="inlineStr">
        <is>
          <t>Trung bình</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36" s="15" t="inlineStr">
        <is>
          <t>1. POST /api/communities với title '!!!' (đủ 3 ký tự)
2. POST lần nữa với title '🔥🔥🔥'</t>
        </is>
      </c>
      <c r="K36" s="15" t="inlineStr">
        <is>
          <t>title='!!!' rồi '🔥🔥🔥'; các trường khác hợp lệ</t>
        </is>
      </c>
      <c r="L36" s="15" t="inlineStr">
        <is>
          <t>Cả hai trả 201 (qua kiểm tra độ dài 3-80); id lần 1='community', lần 2='community-2' (giá trị hành vi hiện tại; slug không mang nghĩa, cần quyết định có nên chặn tên toàn ký tự đặc biệt)</t>
        </is>
      </c>
      <c r="M36" s="15" t="inlineStr"/>
      <c r="N36" s="18" t="inlineStr">
        <is>
          <t>Chưa test</t>
        </is>
      </c>
      <c r="O36" s="15" t="inlineStr"/>
      <c r="P36" s="15" t="inlineStr"/>
      <c r="Q36" s="18" t="inlineStr">
        <is>
          <t>Chưa test</t>
        </is>
      </c>
      <c r="R36" s="15" t="inlineStr"/>
    </row>
    <row r="37" ht="30" customHeight="1">
      <c r="A37" s="14" t="inlineStr">
        <is>
          <t>TC-COMM-036</t>
        </is>
      </c>
      <c r="B37" s="15" t="inlineStr">
        <is>
          <t>Cộng đồng</t>
        </is>
      </c>
      <c r="C37" s="15" t="inlineStr">
        <is>
          <t>Tạo cộng đồng (validate &amp; slug)</t>
        </is>
      </c>
      <c r="D37" s="15" t="inlineStr">
        <is>
          <t>Slug bị cắt tối đa 50 ký tự khi tên rất dài (80 ký tự)</t>
        </is>
      </c>
      <c r="E37" s="15" t="inlineStr">
        <is>
          <t>Chức năng</t>
        </is>
      </c>
      <c r="F37" s="17" t="inlineStr">
        <is>
          <t>Thấp</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37" s="15" t="inlineStr">
        <is>
          <t>1. POST /api/communities với title gồm 80 ký tự chữ thường 'a' cách nhau dấu cách
2. Đọc data.id trong response</t>
        </is>
      </c>
      <c r="K37" s="15" t="inlineStr">
        <is>
          <t>title = 'abcdefghij ' lặp đến đúng 80 ký tự (không kết thúc bằng khoảng trắng)</t>
        </is>
      </c>
      <c r="L37" s="15" t="inlineStr">
        <is>
          <t>201; data.id dài &lt;= 50 ký tự, không bắt đầu/kết thúc bằng '-', chỉ gồm [a-z0-9-]</t>
        </is>
      </c>
      <c r="M37" s="15" t="inlineStr"/>
      <c r="N37" s="18" t="inlineStr">
        <is>
          <t>Chưa test</t>
        </is>
      </c>
      <c r="O37" s="15" t="inlineStr"/>
      <c r="P37" s="15" t="inlineStr"/>
      <c r="Q37" s="18" t="inlineStr">
        <is>
          <t>Chưa test</t>
        </is>
      </c>
      <c r="R37" s="15" t="inlineStr"/>
    </row>
    <row r="38" ht="30" customHeight="1">
      <c r="A38" s="14" t="inlineStr">
        <is>
          <t>TC-COMM-037</t>
        </is>
      </c>
      <c r="B38" s="15" t="inlineStr">
        <is>
          <t>Cộng đồng</t>
        </is>
      </c>
      <c r="C38" s="15" t="inlineStr">
        <is>
          <t>Tạo cộng đồng (validate &amp; slug)</t>
        </is>
      </c>
      <c r="D38" s="15" t="inlineStr">
        <is>
          <t>Biên độ dài tên: 3 ký tự hợp lệ, 2 ký tự bị từ chối</t>
        </is>
      </c>
      <c r="E38" s="15" t="inlineStr">
        <is>
          <t>Chức năng</t>
        </is>
      </c>
      <c r="F38" s="16" t="inlineStr">
        <is>
          <t>Cao</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38" s="15" t="inlineStr">
        <is>
          <t>1. POST /api/communities title='Abc'
2. POST /api/communities title='Ab'</t>
        </is>
      </c>
      <c r="K38" s="15" t="inlineStr">
        <is>
          <t>title='Abc' và 'Ab'; description='ok', category=tech, priceUsd=0, visibility=public</t>
        </is>
      </c>
      <c r="L38" s="15" t="inlineStr">
        <is>
          <t>'Abc' -&gt; 201; 'Ab' -&gt; 400 VALIDATION_ERROR, details.fieldErrors.title chứa 'Tên cộng đồng tối thiểu 3 ký tự'</t>
        </is>
      </c>
      <c r="M38" s="15" t="inlineStr"/>
      <c r="N38" s="18" t="inlineStr">
        <is>
          <t>Chưa test</t>
        </is>
      </c>
      <c r="O38" s="15" t="inlineStr"/>
      <c r="P38" s="15" t="inlineStr"/>
      <c r="Q38" s="18" t="inlineStr">
        <is>
          <t>Chưa test</t>
        </is>
      </c>
      <c r="R38" s="15" t="inlineStr"/>
    </row>
    <row r="39" ht="30" customHeight="1">
      <c r="A39" s="14" t="inlineStr">
        <is>
          <t>TC-COMM-038</t>
        </is>
      </c>
      <c r="B39" s="15" t="inlineStr">
        <is>
          <t>Cộng đồng</t>
        </is>
      </c>
      <c r="C39" s="15" t="inlineStr">
        <is>
          <t>Tạo cộng đồng (validate &amp; slug)</t>
        </is>
      </c>
      <c r="D39" s="15" t="inlineStr">
        <is>
          <t>Biên độ dài tên: 80 ký tự hợp lệ, 81 ký tự bị từ chối</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39" s="15" t="inlineStr">
        <is>
          <t>1. POST với title đúng 80 ký tự
2. POST với title 81 ký tự</t>
        </is>
      </c>
      <c r="K39" s="15" t="inlineStr">
        <is>
          <t>title 80 ký tự và 81 ký tự</t>
        </is>
      </c>
      <c r="L39" s="15" t="inlineStr">
        <is>
          <t>80 ký tự -&gt; 201; 81 ký tự -&gt; 400 VALIDATION_ERROR, fieldErrors.title chứa 'Tên cộng đồng tối đa 80 ký tự'</t>
        </is>
      </c>
      <c r="M39" s="15" t="inlineStr"/>
      <c r="N39" s="18" t="inlineStr">
        <is>
          <t>Chưa test</t>
        </is>
      </c>
      <c r="O39" s="15" t="inlineStr"/>
      <c r="P39" s="15" t="inlineStr"/>
      <c r="Q39" s="18" t="inlineStr">
        <is>
          <t>Chưa test</t>
        </is>
      </c>
      <c r="R39" s="15" t="inlineStr"/>
    </row>
    <row r="40" ht="30" customHeight="1">
      <c r="A40" s="14" t="inlineStr">
        <is>
          <t>TC-COMM-039</t>
        </is>
      </c>
      <c r="B40" s="15" t="inlineStr">
        <is>
          <t>Cộng đồng</t>
        </is>
      </c>
      <c r="C40" s="15" t="inlineStr">
        <is>
          <t>Tạo cộng đồng (validate &amp; slug)</t>
        </is>
      </c>
      <c r="D40" s="15" t="inlineStr">
        <is>
          <t>Tên toàn khoảng trắng bị coi là rỗng (trim)</t>
        </is>
      </c>
      <c r="E40" s="15" t="inlineStr">
        <is>
          <t>Chức năng</t>
        </is>
      </c>
      <c r="F40" s="20" t="inlineStr">
        <is>
          <t>Trung bình</t>
        </is>
      </c>
      <c r="G40" s="17" t="inlineStr">
        <is>
          <t>Đã hoàn thiện</t>
        </is>
      </c>
      <c r="H40" s="17" t="inlineStr">
        <is>
          <t>Có</t>
        </is>
      </c>
      <c r="I4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40" s="15" t="inlineStr">
        <is>
          <t>1. POST /api/communities với title '        ' (8 dấu cách)
2. Trên FE bước 1 nhập 8 dấu cách vào Tên rồi bấm Tiếp tục</t>
        </is>
      </c>
      <c r="K40" s="15" t="inlineStr">
        <is>
          <t>title='        '</t>
        </is>
      </c>
      <c r="L40" s="15" t="inlineStr">
        <is>
          <t>API 400 VALIDATION_ERROR (fieldErrors.title 'Tên cộng đồng tối thiểu 3 ký tự'); FE chặn ở bước 1 với thông báo đỏ, không gọi API</t>
        </is>
      </c>
      <c r="M40" s="15" t="inlineStr"/>
      <c r="N40" s="18" t="inlineStr">
        <is>
          <t>Chưa test</t>
        </is>
      </c>
      <c r="O40" s="15" t="inlineStr"/>
      <c r="P40" s="15" t="inlineStr"/>
      <c r="Q40" s="18" t="inlineStr">
        <is>
          <t>Chưa test</t>
        </is>
      </c>
      <c r="R40" s="15" t="inlineStr"/>
    </row>
    <row r="41" ht="45" customHeight="1">
      <c r="A41" s="14" t="inlineStr">
        <is>
          <t>TC-COMM-040</t>
        </is>
      </c>
      <c r="B41" s="15" t="inlineStr">
        <is>
          <t>Cộng đồng</t>
        </is>
      </c>
      <c r="C41" s="15" t="inlineStr">
        <is>
          <t>Tạo cộng đồng (validate &amp; slug)</t>
        </is>
      </c>
      <c r="D41" s="15" t="inlineStr">
        <is>
          <t>Mô tả rỗng/khoảng trắng bị từ chối, biên 2000 ký tự</t>
        </is>
      </c>
      <c r="E41" s="15" t="inlineStr">
        <is>
          <t>Chức năng</t>
        </is>
      </c>
      <c r="F41" s="20" t="inlineStr">
        <is>
          <t>Trung bình</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1" s="15" t="inlineStr">
        <is>
          <t>1. POST với description '   '
2. POST với description đúng 2000 ký tự
3. POST với description 2001 ký tự</t>
        </is>
      </c>
      <c r="K41" s="15" t="inlineStr">
        <is>
          <t>description: '   ' / 2000 'a' / 2001 'a'</t>
        </is>
      </c>
      <c r="L41" s="15" t="inlineStr">
        <is>
          <t>'   ' -&gt; 400 fieldErrors.description 'Vui lòng nhập mô tả'; 2000 -&gt; 201; 2001 -&gt; 400 'Mô tả tối đa 2000 ký tự'</t>
        </is>
      </c>
      <c r="M41" s="15" t="inlineStr"/>
      <c r="N41" s="18" t="inlineStr">
        <is>
          <t>Chưa test</t>
        </is>
      </c>
      <c r="O41" s="15" t="inlineStr"/>
      <c r="P41" s="15" t="inlineStr"/>
      <c r="Q41" s="18" t="inlineStr">
        <is>
          <t>Chưa test</t>
        </is>
      </c>
      <c r="R41" s="15" t="inlineStr"/>
    </row>
    <row r="42" ht="60" customHeight="1">
      <c r="A42" s="14" t="inlineStr">
        <is>
          <t>TC-COMM-041</t>
        </is>
      </c>
      <c r="B42" s="15" t="inlineStr">
        <is>
          <t>Cộng đồng</t>
        </is>
      </c>
      <c r="C42" s="15" t="inlineStr">
        <is>
          <t>Tạo cộng đồng (validate &amp; slug)</t>
        </is>
      </c>
      <c r="D42" s="15" t="inlineStr">
        <is>
          <t>Giá cộng đồng: 0 và 10000 hợp lệ, âm và &gt; 10000 bị từ chối</t>
        </is>
      </c>
      <c r="E42" s="15" t="inlineStr">
        <is>
          <t>Chức năng</t>
        </is>
      </c>
      <c r="F42" s="16" t="inlineStr">
        <is>
          <t>Cao</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2" s="15" t="inlineStr">
        <is>
          <t>1. POST priceUsd=0
2. POST priceUsd=10000
3. POST priceUsd=-1
4. POST priceUsd=10000.01</t>
        </is>
      </c>
      <c r="K42" s="15" t="inlineStr">
        <is>
          <t>priceUsd: 0 / 10000 / -1 / 10000.01</t>
        </is>
      </c>
      <c r="L42" s="15" t="inlineStr">
        <is>
          <t>0 -&gt; 201 (pricing 'free'); 10000 -&gt; 201 (pricing 'paid'); -1 -&gt; 400 fieldErrors.priceUsd 'Giá không được âm'; 10000.01 -&gt; 400 (vượt max 10000)</t>
        </is>
      </c>
      <c r="M42" s="15" t="inlineStr"/>
      <c r="N42" s="18" t="inlineStr">
        <is>
          <t>Chưa test</t>
        </is>
      </c>
      <c r="O42" s="15" t="inlineStr"/>
      <c r="P42" s="15" t="inlineStr"/>
      <c r="Q42" s="18" t="inlineStr">
        <is>
          <t>Chưa test</t>
        </is>
      </c>
      <c r="R42" s="15" t="inlineStr"/>
    </row>
    <row r="43" ht="45" customHeight="1">
      <c r="A43" s="14" t="inlineStr">
        <is>
          <t>TC-COMM-042</t>
        </is>
      </c>
      <c r="B43" s="15" t="inlineStr">
        <is>
          <t>Cộng đồng</t>
        </is>
      </c>
      <c r="C43" s="15" t="inlineStr">
        <is>
          <t>Tạo cộng đồng (validate &amp; slug)</t>
        </is>
      </c>
      <c r="D43" s="15" t="inlineStr">
        <is>
          <t>Giá là chuỗi hoặc null bị từ chối; giá thập phân 9.99 được chấp nhận</t>
        </is>
      </c>
      <c r="E43" s="15" t="inlineStr">
        <is>
          <t>Chức năng</t>
        </is>
      </c>
      <c r="F43" s="20" t="inlineStr">
        <is>
          <t>Trung bình</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3" s="15" t="inlineStr">
        <is>
          <t>1. POST priceUsd='10' (chuỗi)
2. POST priceUsd=null
3. POST priceUsd=9.99</t>
        </is>
      </c>
      <c r="K43" s="15" t="inlineStr">
        <is>
          <t>priceUsd: '10' / null / 9.99</t>
        </is>
      </c>
      <c r="L43" s="15" t="inlineStr">
        <is>
          <t>'10' và null -&gt; 400 fieldErrors.priceUsd 'Giá không hợp lệ'; 9.99 -&gt; 201, priceUsd=9.99 (schema không bắt buộc số nguyên; giá tạm/chưa chốt)</t>
        </is>
      </c>
      <c r="M43" s="15" t="inlineStr"/>
      <c r="N43" s="18" t="inlineStr">
        <is>
          <t>Chưa test</t>
        </is>
      </c>
      <c r="O43" s="15" t="inlineStr"/>
      <c r="P43" s="15" t="inlineStr"/>
      <c r="Q43" s="18" t="inlineStr">
        <is>
          <t>Chưa test</t>
        </is>
      </c>
      <c r="R43" s="15" t="inlineStr"/>
    </row>
    <row r="44" ht="45" customHeight="1">
      <c r="A44" s="14" t="inlineStr">
        <is>
          <t>TC-COMM-043</t>
        </is>
      </c>
      <c r="B44" s="15" t="inlineStr">
        <is>
          <t>Cộng đồng</t>
        </is>
      </c>
      <c r="C44" s="15" t="inlineStr">
        <is>
          <t>Tạo cộng đồng (validate &amp; slug)</t>
        </is>
      </c>
      <c r="D44" s="15" t="inlineStr">
        <is>
          <t>Danh mục không nằm trong danh sách bị từ chối</t>
        </is>
      </c>
      <c r="E44" s="15" t="inlineStr">
        <is>
          <t>Chức năng</t>
        </is>
      </c>
      <c r="F44" s="20" t="inlineStr">
        <is>
          <t>Trung bình</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4" s="15" t="inlineStr">
        <is>
          <t>1. POST category='crypto'
2. POST category='' 
3. Lần lượt thử từng giá trị hợp lệ: business, content, tech, finance, health, self, hobby, relationships</t>
        </is>
      </c>
      <c r="K44" s="15" t="inlineStr">
        <is>
          <t>category sai: 'crypto', ''</t>
        </is>
      </c>
      <c r="L44" s="15" t="inlineStr">
        <is>
          <t>Hai giá trị sai -&gt; 400 VALIDATION_ERROR (fieldErrors.category); 8 giá trị hợp lệ -&gt; 201</t>
        </is>
      </c>
      <c r="M44" s="15" t="inlineStr"/>
      <c r="N44" s="18" t="inlineStr">
        <is>
          <t>Chưa test</t>
        </is>
      </c>
      <c r="O44" s="15" t="inlineStr"/>
      <c r="P44" s="15" t="inlineStr"/>
      <c r="Q44" s="18" t="inlineStr">
        <is>
          <t>Chưa test</t>
        </is>
      </c>
      <c r="R44" s="15" t="inlineStr"/>
    </row>
    <row r="45" ht="60" customHeight="1">
      <c r="A45" s="14" t="inlineStr">
        <is>
          <t>TC-COMM-044</t>
        </is>
      </c>
      <c r="B45" s="15" t="inlineStr">
        <is>
          <t>Cộng đồng</t>
        </is>
      </c>
      <c r="C45" s="15" t="inlineStr">
        <is>
          <t>Tạo cộng đồng (validate &amp; slug)</t>
        </is>
      </c>
      <c r="D45" s="15" t="inlineStr">
        <is>
          <t>Chế độ hiển thị và ngôn ngữ: giá trị lạ bị từ chối, ngôn ngữ mặc định 'vi'</t>
        </is>
      </c>
      <c r="E45" s="15" t="inlineStr">
        <is>
          <t>Chức năng</t>
        </is>
      </c>
      <c r="F45" s="20" t="inlineStr">
        <is>
          <t>Trung bình</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5" s="15" t="inlineStr">
        <is>
          <t>1. POST visibility='secret'
2. POST không gửi language
3. POST language='en'
4. POST language='fr'</t>
        </is>
      </c>
      <c r="K45" s="15" t="inlineStr">
        <is>
          <t>visibility='secret'; language: (bỏ trống)/'en'/'fr'</t>
        </is>
      </c>
      <c r="L45" s="15" t="inlineStr">
        <is>
          <t>visibility='secret' -&gt; 400; bỏ trống language -&gt; 201 language='vi'; 'en' -&gt; 201; 'fr' -&gt; 400 VALIDATION_ERROR</t>
        </is>
      </c>
      <c r="M45" s="15" t="inlineStr"/>
      <c r="N45" s="18" t="inlineStr">
        <is>
          <t>Chưa test</t>
        </is>
      </c>
      <c r="O45" s="15" t="inlineStr"/>
      <c r="P45" s="15" t="inlineStr"/>
      <c r="Q45" s="18" t="inlineStr">
        <is>
          <t>Chưa test</t>
        </is>
      </c>
      <c r="R45" s="15" t="inlineStr"/>
    </row>
    <row r="46" ht="45" customHeight="1">
      <c r="A46" s="14" t="inlineStr">
        <is>
          <t>TC-COMM-045</t>
        </is>
      </c>
      <c r="B46" s="15" t="inlineStr">
        <is>
          <t>Cộng đồng</t>
        </is>
      </c>
      <c r="C46" s="15" t="inlineStr">
        <is>
          <t>Tạo cộng đồng (validate &amp; slug)</t>
        </is>
      </c>
      <c r="D46" s="15" t="inlineStr">
        <is>
          <t>Ảnh bìa: bỏ trống dùng ảnh mặc định, URL quá 500 ký tự bị từ chối</t>
        </is>
      </c>
      <c r="E46" s="15" t="inlineStr">
        <is>
          <t>Chức năng</t>
        </is>
      </c>
      <c r="F46" s="17" t="inlineStr">
        <is>
          <t>Thấp</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6" s="15" t="inlineStr">
        <is>
          <t>1. POST không gửi thumbnail
2. POST thumbnail là chuỗi 501 ký tự
3. POST thumbnail='https://example.com/a.png'</t>
        </is>
      </c>
      <c r="K46" s="15" t="inlineStr">
        <is>
          <t>thumbnail: (bỏ trống) / 'x'*501 / URL hợp lệ</t>
        </is>
      </c>
      <c r="L46" s="15" t="inlineStr">
        <is>
          <t>Bỏ trống -&gt; 201 thumbnail='/images/courses/biz.webp'; 501 ký tự -&gt; 400 VALIDATION_ERROR; URL hợp lệ -&gt; 201 giữ nguyên URL</t>
        </is>
      </c>
      <c r="M46" s="15" t="inlineStr"/>
      <c r="N46" s="18" t="inlineStr">
        <is>
          <t>Chưa test</t>
        </is>
      </c>
      <c r="O46" s="15" t="inlineStr"/>
      <c r="P46" s="15" t="inlineStr"/>
      <c r="Q46" s="18" t="inlineStr">
        <is>
          <t>Chưa test</t>
        </is>
      </c>
      <c r="R46" s="15" t="inlineStr"/>
    </row>
    <row r="47" ht="45" customHeight="1">
      <c r="A47" s="14" t="inlineStr">
        <is>
          <t>TC-COMM-046</t>
        </is>
      </c>
      <c r="B47" s="15" t="inlineStr">
        <is>
          <t>Cộng đồng</t>
        </is>
      </c>
      <c r="C47" s="15" t="inlineStr">
        <is>
          <t>Tạo cộng đồng (validate &amp; slug)</t>
        </is>
      </c>
      <c r="D47" s="15" t="inlineStr">
        <is>
          <t>Cộng đồng có phí: pricing 'paid', cộng đồng miễn phí: pricing 'free', tag 'new'</t>
        </is>
      </c>
      <c r="E47" s="15" t="inlineStr">
        <is>
          <t>Chức năng</t>
        </is>
      </c>
      <c r="F47" s="20" t="inlineStr">
        <is>
          <t>Trung bình</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7" s="15" t="inlineStr">
        <is>
          <t>1. POST priceUsd=10 visibility=public
2. GET /api/courses/&lt;id&gt; vừa tạo
3. POST priceUsd=0 visibility=private rồi GET</t>
        </is>
      </c>
      <c r="K47" s="15" t="inlineStr">
        <is>
          <t>priceUsd 10 rồi 0</t>
        </is>
      </c>
      <c r="L47" s="15" t="inlineStr">
        <is>
          <t>Cộng đồng $10: pricing='paid', tag='new', priceUsd=10, rating=0, ratingCount=0; cộng đồng $0: pricing='free', visibility='private'</t>
        </is>
      </c>
      <c r="M47" s="15" t="inlineStr"/>
      <c r="N47" s="18" t="inlineStr">
        <is>
          <t>Chưa test</t>
        </is>
      </c>
      <c r="O47" s="15" t="inlineStr"/>
      <c r="P47" s="15" t="inlineStr"/>
      <c r="Q47" s="18" t="inlineStr">
        <is>
          <t>Chưa test</t>
        </is>
      </c>
      <c r="R47" s="15" t="inlineStr"/>
    </row>
    <row r="48" ht="45" customHeight="1">
      <c r="A48" s="14" t="inlineStr">
        <is>
          <t>TC-COMM-047</t>
        </is>
      </c>
      <c r="B48" s="15" t="inlineStr">
        <is>
          <t>Cộng đồng</t>
        </is>
      </c>
      <c r="C48" s="15" t="inlineStr">
        <is>
          <t>Tạo cộng đồng (validate &amp; slug)</t>
        </is>
      </c>
      <c r="D48" s="15" t="inlineStr">
        <is>
          <t>Người tạo tự thành Owner và là thành viên duy nhất</t>
        </is>
      </c>
      <c r="E48" s="15" t="inlineStr">
        <is>
          <t>Chức năng</t>
        </is>
      </c>
      <c r="F48" s="16" t="inlineStr">
        <is>
          <t>Cao</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8" s="15" t="inlineStr">
        <is>
          <t>1. Tạo cộng đồng mới bằng POST /api/communities
2. GET /api/courses/&lt;id&gt;/members
3. Trên FE mở /courses/&lt;id&gt;/community</t>
        </is>
      </c>
      <c r="K48" s="15" t="inlineStr">
        <is>
          <t>Cộng đồng mới của newbie@</t>
        </is>
      </c>
      <c r="L48" s="15" t="inlineStr">
        <is>
          <t>Response tạo có viewerRole='owner'; danh sách thành viên: meta.total=1, 1 dòng roleDetail='owner', role='admin'; thẻ thông tin ghi 'Vai trò của bạn: Chủ cộng đồng' và có nút 'Cài đặt'</t>
        </is>
      </c>
      <c r="M48" s="15" t="inlineStr"/>
      <c r="N48" s="18" t="inlineStr">
        <is>
          <t>Chưa test</t>
        </is>
      </c>
      <c r="O48" s="15" t="inlineStr"/>
      <c r="P48" s="15" t="inlineStr"/>
      <c r="Q48" s="18" t="inlineStr">
        <is>
          <t>Chưa test</t>
        </is>
      </c>
      <c r="R48" s="15" t="inlineStr"/>
    </row>
    <row r="49" ht="30" customHeight="1">
      <c r="A49" s="14" t="inlineStr">
        <is>
          <t>TC-COMM-048</t>
        </is>
      </c>
      <c r="B49" s="15" t="inlineStr">
        <is>
          <t>Cộng đồng</t>
        </is>
      </c>
      <c r="C49" s="15" t="inlineStr">
        <is>
          <t>Tạo cộng đồng (validate &amp; slug)</t>
        </is>
      </c>
      <c r="D49" s="15" t="inlineStr">
        <is>
          <t>Không thể gán ownerId/locked/id khi tạo cộng đồng (mass assignment)</t>
        </is>
      </c>
      <c r="E49" s="15" t="inlineStr">
        <is>
          <t>Bảo mật</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9" s="15" t="inlineStr">
        <is>
          <t>1. POST /api/communities kèm thêm các trường ownerId='owner@...', locked=true, id='photo', students=999999, rating=5
2. GET /api/courses/&lt;id trả về&gt;</t>
        </is>
      </c>
      <c r="K49" s="15" t="inlineStr">
        <is>
          <t>Body hợp lệ + ownerId, locked, id, students, rating</t>
        </is>
      </c>
      <c r="L49" s="15" t="inlineStr">
        <is>
          <t>201; các trường thừa bị bỏ qua: id sinh từ tên (không đè 'photo'), người tạo là owner, locked=false, students không bị ghi đè 999999, rating=0/ratingCount=0</t>
        </is>
      </c>
      <c r="M49" s="15" t="inlineStr"/>
      <c r="N49" s="18" t="inlineStr">
        <is>
          <t>Chưa test</t>
        </is>
      </c>
      <c r="O49" s="15" t="inlineStr"/>
      <c r="P49" s="15" t="inlineStr"/>
      <c r="Q49" s="18" t="inlineStr">
        <is>
          <t>Chưa test</t>
        </is>
      </c>
      <c r="R49" s="15" t="inlineStr"/>
    </row>
    <row r="50" ht="30" customHeight="1">
      <c r="A50" s="14" t="inlineStr">
        <is>
          <t>TC-COMM-049</t>
        </is>
      </c>
      <c r="B50" s="15" t="inlineStr">
        <is>
          <t>Cộng đồng</t>
        </is>
      </c>
      <c r="C50" s="15" t="inlineStr">
        <is>
          <t>Tạo cộng đồng (validate &amp; slug)</t>
        </is>
      </c>
      <c r="D50" s="15" t="inlineStr">
        <is>
          <t>Nội dung XSS trong tên/mô tả được lưu nguyên văn và hiển thị dạng văn bản</t>
        </is>
      </c>
      <c r="E50" s="15" t="inlineStr">
        <is>
          <t>Bảo mật</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50" s="15" t="inlineStr">
        <is>
          <t>1. Tạo cộng đồng với tên chứa thẻ script và mô tả chứa &lt;img onerror&gt;
2. Mở trang chủ, /courses/&lt;id&gt;, /courses/&lt;id&gt;/community, Cài đặt</t>
        </is>
      </c>
      <c r="K50" s="15" t="inlineStr">
        <is>
          <t>title='&lt;script&gt;alert(1)&lt;/script&gt;Xss', description='&lt;img src=x onerror=alert(2)&gt;'</t>
        </is>
      </c>
      <c r="L50" s="15" t="inlineStr">
        <is>
          <t>API 201 lưu nguyên chuỗi (không kiểm duyệt nội dung, ghi trong docs là chưa làm); mọi trang FE hiển thị dạng chữ, không thực thi script, không hộp thoại alert</t>
        </is>
      </c>
      <c r="M50" s="15" t="inlineStr"/>
      <c r="N50" s="18" t="inlineStr">
        <is>
          <t>Chưa test</t>
        </is>
      </c>
      <c r="O50" s="15" t="inlineStr"/>
      <c r="P50" s="15" t="inlineStr"/>
      <c r="Q50" s="18" t="inlineStr">
        <is>
          <t>Chưa test</t>
        </is>
      </c>
      <c r="R50" s="15" t="inlineStr"/>
    </row>
    <row r="51" ht="45" customHeight="1">
      <c r="A51" s="14" t="inlineStr">
        <is>
          <t>TC-COMM-050</t>
        </is>
      </c>
      <c r="B51" s="15" t="inlineStr">
        <is>
          <t>Cộng đồng</t>
        </is>
      </c>
      <c r="C51" s="15" t="inlineStr">
        <is>
          <t>Tạo cộng đồng (validate &amp; slug)</t>
        </is>
      </c>
      <c r="D51" s="15" t="inlineStr">
        <is>
          <t>Tạo cộng đồng khi chưa đăng nhập: API 401, FE chuyển /login rồi quay lại</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51" s="15" t="inlineStr">
        <is>
          <t>1. POST /api/communities không có token
2. Mở /communities/new trên trình duyệt sạch, bấm nút 'Tạo cộng đồng' ở Header
3. Đăng nhập newbie@ ở trang /login</t>
        </is>
      </c>
      <c r="K51" s="15" t="inlineStr">
        <is>
          <t>Không có Authorization</t>
        </is>
      </c>
      <c r="L51" s="15" t="inlineStr">
        <is>
          <t>API 401 UNAUTHORIZED, message 'Vui lòng đăng nhập để tiếp tục'; FE chuyển sang /login; sau đăng nhập quay lại /communities/new</t>
        </is>
      </c>
      <c r="M51" s="15" t="inlineStr"/>
      <c r="N51" s="18" t="inlineStr">
        <is>
          <t>Chưa test</t>
        </is>
      </c>
      <c r="O51" s="15" t="inlineStr"/>
      <c r="P51" s="15" t="inlineStr"/>
      <c r="Q51" s="18" t="inlineStr">
        <is>
          <t>Chưa test</t>
        </is>
      </c>
      <c r="R51" s="15" t="inlineStr"/>
    </row>
    <row r="52" ht="45" customHeight="1">
      <c r="A52" s="14" t="inlineStr">
        <is>
          <t>TC-COMM-051</t>
        </is>
      </c>
      <c r="B52" s="15" t="inlineStr">
        <is>
          <t>Cộng đồng</t>
        </is>
      </c>
      <c r="C52" s="15" t="inlineStr">
        <is>
          <t>Tạo cộng đồng (validate &amp; slug)</t>
        </is>
      </c>
      <c r="D52" s="15" t="inlineStr">
        <is>
          <t>Wizard tạo cộng đồng giữ dữ liệu khi Quay lại và cảnh báo ảnh bìa lỗi</t>
        </is>
      </c>
      <c r="E52" s="15" t="inlineStr">
        <is>
          <t>Giao diện</t>
        </is>
      </c>
      <c r="F52" s="17" t="inlineStr">
        <is>
          <t>Thấp</t>
        </is>
      </c>
      <c r="G52" s="17" t="inlineStr">
        <is>
          <t>Đã hoàn thiện</t>
        </is>
      </c>
      <c r="H52" s="17" t="inlineStr">
        <is>
          <t>Có</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52" s="15" t="inlineStr">
        <is>
          <t>1. Bước 1 nhập tên/mô tả/danh mục, Tiếp tục sang bước 2
2. Bấm Quay lại
3. Sang bước 3 dán URL ảnh sai 'https://x.invalid/a.png'</t>
        </is>
      </c>
      <c r="K52" s="15" t="inlineStr">
        <is>
          <t>URL ảnh: https://x.invalid/a.png</t>
        </is>
      </c>
      <c r="L52" s="15" t="inlineStr">
        <is>
          <t>Quay lại giữ nguyên tên/mô tả/danh mục đã nhập; khung xem trước báo không tải được ảnh nhưng vẫn cho bấm Tạo (ảnh lỗi khi hiển thị)</t>
        </is>
      </c>
      <c r="M52" s="15" t="inlineStr"/>
      <c r="N52" s="18" t="inlineStr">
        <is>
          <t>Chưa test</t>
        </is>
      </c>
      <c r="O52" s="15" t="inlineStr"/>
      <c r="P52" s="15" t="inlineStr"/>
      <c r="Q52" s="18" t="inlineStr">
        <is>
          <t>Chưa test</t>
        </is>
      </c>
      <c r="R52" s="15" t="inlineStr"/>
    </row>
    <row r="53" ht="45" customHeight="1">
      <c r="A53" s="14" t="inlineStr">
        <is>
          <t>TC-COMM-052</t>
        </is>
      </c>
      <c r="B53" s="15" t="inlineStr">
        <is>
          <t>Cộng đồng</t>
        </is>
      </c>
      <c r="C53" s="15" t="inlineStr">
        <is>
          <t>Tạo cộng đồng (validate &amp; slug)</t>
        </is>
      </c>
      <c r="D53" s="15" t="inlineStr">
        <is>
          <t>Cộng đồng mới xuất hiện ở trang chủ sau các cộng đồng seed (sort trending)</t>
        </is>
      </c>
      <c r="E53" s="15" t="inlineStr">
        <is>
          <t>Chức năng</t>
        </is>
      </c>
      <c r="F53" s="17" t="inlineStr">
        <is>
          <t>Thấp</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53" s="15" t="inlineStr">
        <is>
          <t>1. Mở trang chủ, sort mặc định trending
2. Tìm 'QA Moi Xuat Hien' bằng ô tìm kiếm
3. Đổi sort newest</t>
        </is>
      </c>
      <c r="K53" s="15" t="inlineStr">
        <is>
          <t>-</t>
        </is>
      </c>
      <c r="L53" s="15" t="inlineStr">
        <is>
          <t>Cộng đồng mới nằm sau nhóm cộng đồng seed ở trending, lên đầu ở newest; thẻ có 1 thành viên, rating 0</t>
        </is>
      </c>
      <c r="M53" s="15" t="inlineStr"/>
      <c r="N53" s="18" t="inlineStr">
        <is>
          <t>Chưa test</t>
        </is>
      </c>
      <c r="O53" s="15" t="inlineStr"/>
      <c r="P53" s="15" t="inlineStr"/>
      <c r="Q53" s="18" t="inlineStr">
        <is>
          <t>Chưa test</t>
        </is>
      </c>
      <c r="R53" s="15" t="inlineStr"/>
    </row>
    <row r="54" ht="45" customHeight="1">
      <c r="A54" s="14" t="inlineStr">
        <is>
          <t>TC-COMM-053</t>
        </is>
      </c>
      <c r="B54" s="15" t="inlineStr">
        <is>
          <t>Cộng đồng</t>
        </is>
      </c>
      <c r="C54" s="15" t="inlineStr">
        <is>
          <t>Sửa thông tin cộng đồng</t>
        </is>
      </c>
      <c r="D54" s="15" t="inlineStr">
        <is>
          <t>Admin cộng đồng sửa tên và mô tả thành công (slug không đổi)</t>
        </is>
      </c>
      <c r="E54" s="15" t="inlineStr">
        <is>
          <t>Chức năng</t>
        </is>
      </c>
      <c r="F54" s="16" t="inlineStr">
        <is>
          <t>Cao</t>
        </is>
      </c>
      <c r="G54" s="17" t="inlineStr">
        <is>
          <t>Đã hoàn thiện</t>
        </is>
      </c>
      <c r="H54" s="17" t="inlineStr">
        <is>
          <t>Có</t>
        </is>
      </c>
      <c r="I54"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54" s="15" t="inlineStr">
        <is>
          <t>1. Đăng nhập member1@ (Admin của X)
2. PATCH /api/courses/qa-fixture-x {title,description}
3. GET /api/courses/qa-fixture-x</t>
        </is>
      </c>
      <c r="K54" s="15" t="inlineStr">
        <is>
          <t>title='QA Fixture X (đã đổi)', description='Mô tả mới'</t>
        </is>
      </c>
      <c r="L54" s="15" t="inlineStr">
        <is>
          <t>200; data.title/description đã đổi, data.id vẫn 'qa-fixture-x', viewerRole='admin'; trang chi tiết phản ánh ngay</t>
        </is>
      </c>
      <c r="M54" s="15" t="inlineStr"/>
      <c r="N54" s="18" t="inlineStr">
        <is>
          <t>Chưa test</t>
        </is>
      </c>
      <c r="O54" s="15" t="inlineStr"/>
      <c r="P54" s="15" t="inlineStr"/>
      <c r="Q54" s="18" t="inlineStr">
        <is>
          <t>Chưa test</t>
        </is>
      </c>
      <c r="R54" s="15" t="inlineStr"/>
    </row>
    <row r="55" ht="30" customHeight="1">
      <c r="A55" s="14" t="inlineStr">
        <is>
          <t>TC-COMM-054</t>
        </is>
      </c>
      <c r="B55" s="15" t="inlineStr">
        <is>
          <t>Cộng đồng</t>
        </is>
      </c>
      <c r="C55" s="15" t="inlineStr">
        <is>
          <t>Sửa thông tin cộng đồng</t>
        </is>
      </c>
      <c r="D55" s="15" t="inlineStr">
        <is>
          <t>PATCH body rỗng {} bị từ chối</t>
        </is>
      </c>
      <c r="E55" s="15" t="inlineStr">
        <is>
          <t>Chức năng</t>
        </is>
      </c>
      <c r="F55" s="20" t="inlineStr">
        <is>
          <t>Trung bình</t>
        </is>
      </c>
      <c r="G55" s="17" t="inlineStr">
        <is>
          <t>Đã hoàn thiện</t>
        </is>
      </c>
      <c r="H55" s="17" t="inlineStr">
        <is>
          <t>Có</t>
        </is>
      </c>
      <c r="I5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55" s="15" t="inlineStr">
        <is>
          <t>1. Đăng nhập owner@
2. PATCH /api/courses/qa-fixture-x với body {}</t>
        </is>
      </c>
      <c r="K55" s="15" t="inlineStr">
        <is>
          <t>{}</t>
        </is>
      </c>
      <c r="L55" s="15" t="inlineStr">
        <is>
          <t>400 VALIDATION_ERROR (formErrors chứa 'Không có trường nào để cập nhật'); FE nút Lưu báo 'Chưa có thay đổi' và không gọi API</t>
        </is>
      </c>
      <c r="M55" s="15" t="inlineStr"/>
      <c r="N55" s="18" t="inlineStr">
        <is>
          <t>Chưa test</t>
        </is>
      </c>
      <c r="O55" s="15" t="inlineStr"/>
      <c r="P55" s="15" t="inlineStr"/>
      <c r="Q55" s="18" t="inlineStr">
        <is>
          <t>Chưa test</t>
        </is>
      </c>
      <c r="R55" s="15" t="inlineStr"/>
    </row>
    <row r="56" ht="60" customHeight="1">
      <c r="A56" s="14" t="inlineStr">
        <is>
          <t>TC-COMM-055</t>
        </is>
      </c>
      <c r="B56" s="15" t="inlineStr">
        <is>
          <t>Cộng đồng</t>
        </is>
      </c>
      <c r="C56" s="15" t="inlineStr">
        <is>
          <t>Sửa thông tin cộng đồng</t>
        </is>
      </c>
      <c r="D56" s="15" t="inlineStr">
        <is>
          <t>PATCH chỉ chứa trường lạ (ownerId, locked) bị coi là body rỗng</t>
        </is>
      </c>
      <c r="E56" s="15" t="inlineStr">
        <is>
          <t>Bảo mật</t>
        </is>
      </c>
      <c r="F56" s="16" t="inlineStr">
        <is>
          <t>Cao</t>
        </is>
      </c>
      <c r="G56" s="17" t="inlineStr">
        <is>
          <t>Đã hoàn thiện</t>
        </is>
      </c>
      <c r="H56" s="17" t="inlineStr">
        <is>
          <t>Có</t>
        </is>
      </c>
      <c r="I5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56" s="15" t="inlineStr">
        <is>
          <t>1. Đăng nhập member1@ (Admin của X)
2. PATCH {"ownerId":"&lt;id member1&gt;","locked":true}
3. PATCH {"title":"Tên hợp lệ","locked":true,"deletedAt":"2020-01-01T00:00:00Z"}
4. GET /api/courses/qa-fixture-x</t>
        </is>
      </c>
      <c r="K56" s="15" t="inlineStr">
        <is>
          <t>Hai body ở trên</t>
        </is>
      </c>
      <c r="L56" s="15" t="inlineStr">
        <is>
          <t>Body 1 -&gt; 400 (sau khi bỏ trường lạ không còn gì để cập nhật); body 2 -&gt; 200 chỉ đổi title, locked vẫn false, deletedAt không đặt, ownerId vẫn là owner@</t>
        </is>
      </c>
      <c r="M56" s="15" t="inlineStr"/>
      <c r="N56" s="18" t="inlineStr">
        <is>
          <t>Chưa test</t>
        </is>
      </c>
      <c r="O56" s="15" t="inlineStr"/>
      <c r="P56" s="15" t="inlineStr"/>
      <c r="Q56" s="18" t="inlineStr">
        <is>
          <t>Chưa test</t>
        </is>
      </c>
      <c r="R56" s="15" t="inlineStr"/>
    </row>
    <row r="57" ht="45" customHeight="1">
      <c r="A57" s="14" t="inlineStr">
        <is>
          <t>TC-COMM-056</t>
        </is>
      </c>
      <c r="B57" s="15" t="inlineStr">
        <is>
          <t>Cộng đồng</t>
        </is>
      </c>
      <c r="C57" s="15" t="inlineStr">
        <is>
          <t>Sửa thông tin cộng đồng</t>
        </is>
      </c>
      <c r="D57" s="15" t="inlineStr">
        <is>
          <t>Sửa tên ngắn 2 ký tự hoặc mô tả rỗng bị từ chối</t>
        </is>
      </c>
      <c r="E57" s="15" t="inlineStr">
        <is>
          <t>Chức năng</t>
        </is>
      </c>
      <c r="F57" s="20" t="inlineStr">
        <is>
          <t>Trung bình</t>
        </is>
      </c>
      <c r="G57" s="17" t="inlineStr">
        <is>
          <t>Đã hoàn thiện</t>
        </is>
      </c>
      <c r="H57" s="17" t="inlineStr">
        <is>
          <t>Có</t>
        </is>
      </c>
      <c r="I5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57" s="15" t="inlineStr">
        <is>
          <t>1. Đăng nhập owner@
2. PATCH {title:'Ab'}
3. PATCH {description:'  '}</t>
        </is>
      </c>
      <c r="K57" s="15" t="inlineStr">
        <is>
          <t>title='Ab' / description='  '</t>
        </is>
      </c>
      <c r="L57" s="15" t="inlineStr">
        <is>
          <t>Cả hai 400 VALIDATION_ERROR; dữ liệu cộng đồng không đổi</t>
        </is>
      </c>
      <c r="M57" s="15" t="inlineStr"/>
      <c r="N57" s="18" t="inlineStr">
        <is>
          <t>Chưa test</t>
        </is>
      </c>
      <c r="O57" s="15" t="inlineStr"/>
      <c r="P57" s="15" t="inlineStr"/>
      <c r="Q57" s="18" t="inlineStr">
        <is>
          <t>Chưa test</t>
        </is>
      </c>
      <c r="R57" s="15" t="inlineStr"/>
    </row>
    <row r="58" ht="45" customHeight="1">
      <c r="A58" s="14" t="inlineStr">
        <is>
          <t>TC-COMM-057</t>
        </is>
      </c>
      <c r="B58" s="15" t="inlineStr">
        <is>
          <t>Cộng đồng</t>
        </is>
      </c>
      <c r="C58" s="15" t="inlineStr">
        <is>
          <t>Sửa thông tin cộng đồng</t>
        </is>
      </c>
      <c r="D58" s="15" t="inlineStr">
        <is>
          <t>Mod, Member, người ngoài không sửa được thông tin cộng đồng</t>
        </is>
      </c>
      <c r="E58" s="15" t="inlineStr">
        <is>
          <t>Bảo mật</t>
        </is>
      </c>
      <c r="F58" s="16" t="inlineStr">
        <is>
          <t>Cao</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58" s="15" t="inlineStr">
        <is>
          <t>1. Đăng nhập member2@ (Mod của X) rồi PATCH {title:'Hack'}
2. Lặp lại với member3@ (Member)
3. Lặp lại với newbie@ (chưa tham gia)</t>
        </is>
      </c>
      <c r="K58" s="15" t="inlineStr">
        <is>
          <t>title='Hack'</t>
        </is>
      </c>
      <c r="L58" s="15" t="inlineStr">
        <is>
          <t>Cả ba nhận 403 FORBIDDEN, message 'Bạn không có quyền thực hiện thao tác này trong cộng đồng'; tên không đổi</t>
        </is>
      </c>
      <c r="M58" s="15" t="inlineStr"/>
      <c r="N58" s="18" t="inlineStr">
        <is>
          <t>Chưa test</t>
        </is>
      </c>
      <c r="O58" s="15" t="inlineStr"/>
      <c r="P58" s="15" t="inlineStr"/>
      <c r="Q58" s="18" t="inlineStr">
        <is>
          <t>Chưa test</t>
        </is>
      </c>
      <c r="R58" s="15" t="inlineStr"/>
    </row>
    <row r="59" ht="75" customHeight="1">
      <c r="A59" s="14" t="inlineStr">
        <is>
          <t>TC-COMM-058</t>
        </is>
      </c>
      <c r="B59" s="15" t="inlineStr">
        <is>
          <t>Cộng đồng</t>
        </is>
      </c>
      <c r="C59" s="15" t="inlineStr">
        <is>
          <t>Sửa thông tin cộng đồng</t>
        </is>
      </c>
      <c r="D59" s="15" t="inlineStr">
        <is>
          <t>Admin cộng đồng không đổi được giá hoặc chế độ riêng tư (chỉ Owner)</t>
        </is>
      </c>
      <c r="E59" s="15" t="inlineStr">
        <is>
          <t>Bảo mật</t>
        </is>
      </c>
      <c r="F59" s="16" t="inlineStr">
        <is>
          <t>Cao</t>
        </is>
      </c>
      <c r="G59" s="17" t="inlineStr">
        <is>
          <t>Đã hoàn thiện</t>
        </is>
      </c>
      <c r="H59" s="17" t="inlineStr">
        <is>
          <t>Có</t>
        </is>
      </c>
      <c r="I5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59" s="15" t="inlineStr">
        <is>
          <t>1. Đăng nhập member1@ (Admin của X)
2. PATCH {priceUsd:20}
3. PATCH {visibility:'private'}
4. PATCH {title:'Ok', priceUsd:5} (kèm trường tiền)
5. Vào Cài đặt trên FE, tab Thông tin chung</t>
        </is>
      </c>
      <c r="K59" s="15" t="inlineStr">
        <is>
          <t>priceUsd=20 / visibility=private</t>
        </is>
      </c>
      <c r="L5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59" s="15" t="inlineStr"/>
      <c r="N59" s="18" t="inlineStr">
        <is>
          <t>Chưa test</t>
        </is>
      </c>
      <c r="O59" s="15" t="inlineStr"/>
      <c r="P59" s="15" t="inlineStr"/>
      <c r="Q59" s="18" t="inlineStr">
        <is>
          <t>Chưa test</t>
        </is>
      </c>
      <c r="R59" s="15" t="inlineStr"/>
    </row>
    <row r="60" ht="75" customHeight="1">
      <c r="A60" s="14" t="inlineStr">
        <is>
          <t>TC-COMM-059</t>
        </is>
      </c>
      <c r="B60" s="15" t="inlineStr">
        <is>
          <t>Cộng đồng</t>
        </is>
      </c>
      <c r="C60" s="15" t="inlineStr">
        <is>
          <t>Sửa thông tin cộng đồng</t>
        </is>
      </c>
      <c r="D60" s="15" t="inlineStr">
        <is>
          <t>Owner đổi giá miễn phí sang có phí và ngược lại (pricing tự chuyển)</t>
        </is>
      </c>
      <c r="E60" s="15" t="inlineStr">
        <is>
          <t>Chức năng</t>
        </is>
      </c>
      <c r="F60" s="16" t="inlineStr">
        <is>
          <t>Cao</t>
        </is>
      </c>
      <c r="G60" s="17" t="inlineStr">
        <is>
          <t>Đã hoàn thiện</t>
        </is>
      </c>
      <c r="H60" s="17" t="inlineStr">
        <is>
          <t>Có</t>
        </is>
      </c>
      <c r="I6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0" s="15" t="inlineStr">
        <is>
          <t>1. Đăng nhập owner@
2. PATCH {priceUsd:15}
3. GET chi tiết
4. PATCH {priceUsd:0}
5. GET chi tiết</t>
        </is>
      </c>
      <c r="K60" s="15" t="inlineStr">
        <is>
          <t>priceUsd 15 rồi 0</t>
        </is>
      </c>
      <c r="L60" s="15" t="inlineStr">
        <is>
          <t>Sau 15: priceUsd=15, pricing='paid' và người mới bấm 'Tham gia ngay' nhận 402 PAYMENT_REQUIRED; sau 0: pricing='free', tham gia trực tiếp được lại. Thành viên cũ không bị đẩy ra (ảnh hưởng thuê bao hiện có: chưa chốt)</t>
        </is>
      </c>
      <c r="M60" s="15" t="inlineStr"/>
      <c r="N60" s="18" t="inlineStr">
        <is>
          <t>Chưa test</t>
        </is>
      </c>
      <c r="O60" s="15" t="inlineStr"/>
      <c r="P60" s="15" t="inlineStr"/>
      <c r="Q60" s="18" t="inlineStr">
        <is>
          <t>Chưa test</t>
        </is>
      </c>
      <c r="R60" s="15" t="inlineStr"/>
    </row>
    <row r="61" ht="45" customHeight="1">
      <c r="A61" s="14" t="inlineStr">
        <is>
          <t>TC-COMM-060</t>
        </is>
      </c>
      <c r="B61" s="15" t="inlineStr">
        <is>
          <t>Cộng đồng</t>
        </is>
      </c>
      <c r="C61" s="15" t="inlineStr">
        <is>
          <t>Sửa thông tin cộng đồng</t>
        </is>
      </c>
      <c r="D61" s="15" t="inlineStr">
        <is>
          <t>Owner đổi cộng đồng công khai sang riêng tư: người mới phải xin duyệt</t>
        </is>
      </c>
      <c r="E61" s="15" t="inlineStr">
        <is>
          <t>Chức năng</t>
        </is>
      </c>
      <c r="F61" s="16" t="inlineStr">
        <is>
          <t>Cao</t>
        </is>
      </c>
      <c r="G61" s="17" t="inlineStr">
        <is>
          <t>Đã hoàn thiện</t>
        </is>
      </c>
      <c r="H61" s="17" t="inlineStr">
        <is>
          <t>Có</t>
        </is>
      </c>
      <c r="I6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1" s="15" t="inlineStr">
        <is>
          <t>1. Đăng nhập owner@, PATCH {visibility:'private'}
2. Đăng nhập newbie@, POST /api/courses/qa-fixture-x/enroll
3. Đổi lại visibility='public'</t>
        </is>
      </c>
      <c r="K61" s="15" t="inlineStr">
        <is>
          <t>visibility=private</t>
        </is>
      </c>
      <c r="L61" s="15" t="inlineStr">
        <is>
          <t>PATCH 200 visibility='private'; newbie nhận 403 JOIN_REQUEST_REQUIRED 'Cộng đồng riêng tư: hãy gửi yêu cầu tham gia hoặc dùng lời mời'; thành viên hiện tại vẫn truy cập bình thường</t>
        </is>
      </c>
      <c r="M61" s="15" t="inlineStr"/>
      <c r="N61" s="18" t="inlineStr">
        <is>
          <t>Chưa test</t>
        </is>
      </c>
      <c r="O61" s="15" t="inlineStr"/>
      <c r="P61" s="15" t="inlineStr"/>
      <c r="Q61" s="18" t="inlineStr">
        <is>
          <t>Chưa test</t>
        </is>
      </c>
      <c r="R61" s="15" t="inlineStr"/>
    </row>
    <row r="62" ht="30" customHeight="1">
      <c r="A62" s="14" t="inlineStr">
        <is>
          <t>TC-COMM-061</t>
        </is>
      </c>
      <c r="B62" s="15" t="inlineStr">
        <is>
          <t>Cộng đồng</t>
        </is>
      </c>
      <c r="C62" s="15" t="inlineStr">
        <is>
          <t>Sửa thông tin cộng đồng</t>
        </is>
      </c>
      <c r="D62" s="15" t="inlineStr">
        <is>
          <t>Sửa cộng đồng không tồn tại hoặc chưa đăng nhập</t>
        </is>
      </c>
      <c r="E62" s="15" t="inlineStr">
        <is>
          <t>Chức năng</t>
        </is>
      </c>
      <c r="F62" s="17" t="inlineStr">
        <is>
          <t>Thấp</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t>
        </is>
      </c>
      <c r="J62" s="15" t="inlineStr">
        <is>
          <t>1. PATCH /api/courses/khong-ton-tai-123 bằng token owner@ với {title:'Abc'}
2. PATCH /api/courses/photo không kèm token</t>
        </is>
      </c>
      <c r="K62" s="15" t="inlineStr">
        <is>
          <t>{title:'Abc'}</t>
        </is>
      </c>
      <c r="L62" s="15" t="inlineStr">
        <is>
          <t>Yêu cầu 1 -&gt; 404 NOT_FOUND, message 'Không tìm thấy khóa học'; yêu cầu 2 -&gt; 401 UNAUTHORIZED, message 'Vui lòng đăng nhập để tiếp tục'</t>
        </is>
      </c>
      <c r="M62" s="15" t="inlineStr"/>
      <c r="N62" s="18" t="inlineStr">
        <is>
          <t>Chưa test</t>
        </is>
      </c>
      <c r="O62" s="15" t="inlineStr"/>
      <c r="P62" s="15" t="inlineStr"/>
      <c r="Q62" s="18" t="inlineStr">
        <is>
          <t>Chưa test</t>
        </is>
      </c>
      <c r="R62" s="15" t="inlineStr"/>
    </row>
    <row r="63" ht="75" customHeight="1">
      <c r="A63" s="14" t="inlineStr">
        <is>
          <t>TC-COMM-062</t>
        </is>
      </c>
      <c r="B63" s="15" t="inlineStr">
        <is>
          <t>Cộng đồng</t>
        </is>
      </c>
      <c r="C63" s="15" t="inlineStr">
        <is>
          <t>Sửa thông tin cộng đồng</t>
        </is>
      </c>
      <c r="D63" s="15" t="inlineStr">
        <is>
          <t>Sửa ngôn ngữ, danh mục, ảnh bìa qua PATCH từng phần</t>
        </is>
      </c>
      <c r="E63" s="15" t="inlineStr">
        <is>
          <t>Chức năng</t>
        </is>
      </c>
      <c r="F63" s="17" t="inlineStr">
        <is>
          <t>Thấp</t>
        </is>
      </c>
      <c r="G63" s="17" t="inlineStr">
        <is>
          <t>Đã hoàn thiện</t>
        </is>
      </c>
      <c r="H63" s="17" t="inlineStr">
        <is>
          <t>Có</t>
        </is>
      </c>
      <c r="I6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3" s="15" t="inlineStr">
        <is>
          <t>1. Đăng nhập owner@
2. PATCH {language:'en'}
3. PATCH {category:'finance'}
4. PATCH {thumbnail:'https://example.com/n.png'}
5. PATCH {category:'xxx'}</t>
        </is>
      </c>
      <c r="K63" s="15" t="inlineStr">
        <is>
          <t>Các giá trị ở trên</t>
        </is>
      </c>
      <c r="L63" s="15" t="inlineStr">
        <is>
          <t>Ba lần đầu 200, chỉ trường gửi lên thay đổi (các trường khác giữ nguyên); category 'xxx' -&gt; 400 VALIDATION_ERROR</t>
        </is>
      </c>
      <c r="M63" s="15" t="inlineStr"/>
      <c r="N63" s="18" t="inlineStr">
        <is>
          <t>Chưa test</t>
        </is>
      </c>
      <c r="O63" s="15" t="inlineStr"/>
      <c r="P63" s="15" t="inlineStr"/>
      <c r="Q63" s="18" t="inlineStr">
        <is>
          <t>Chưa test</t>
        </is>
      </c>
      <c r="R63" s="15" t="inlineStr"/>
    </row>
    <row r="64" ht="60" customHeight="1">
      <c r="A64" s="14" t="inlineStr">
        <is>
          <t>TC-COMM-063</t>
        </is>
      </c>
      <c r="B64" s="15" t="inlineStr">
        <is>
          <t>Cộng đồng</t>
        </is>
      </c>
      <c r="C64" s="15" t="inlineStr">
        <is>
          <t>Xóa cộng đồng</t>
        </is>
      </c>
      <c r="D64" s="15" t="inlineStr">
        <is>
          <t>Owner xóa mềm cộng đồng do mình tạo: biến khỏi danh sách và trả 404</t>
        </is>
      </c>
      <c r="E64" s="15" t="inlineStr">
        <is>
          <t>Chức năng</t>
        </is>
      </c>
      <c r="F64" s="16" t="inlineStr">
        <is>
          <t>Cao</t>
        </is>
      </c>
      <c r="G64" s="17" t="inlineStr">
        <is>
          <t>Đã hoàn thiện</t>
        </is>
      </c>
      <c r="H64" s="17" t="inlineStr">
        <is>
          <t>Có</t>
        </is>
      </c>
      <c r="I6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64" s="15" t="inlineStr">
        <is>
          <t>1. Đăng nhập owner@, DELETE /api/courses/qa-fixture-x
2. GET /api/courses/qa-fixture-x
3. GET /api/courses (danh sách trang chủ)
4. member3@ mở /courses/qa-fixture-x/community</t>
        </is>
      </c>
      <c r="K64" s="15" t="inlineStr">
        <is>
          <t>-</t>
        </is>
      </c>
      <c r="L64" s="15" t="inlineStr">
        <is>
          <t>DELETE 200 {deleted:true}; GET chi tiết -&gt; 404 NOT_FOUND, message 'Không tìm thấy khóa học'; cộng đồng không còn trong danh sách; member3@ nhận 404 hoặc màn hình không tìm thấy (xóa mềm deletedAt)</t>
        </is>
      </c>
      <c r="M64" s="15" t="inlineStr"/>
      <c r="N64" s="18" t="inlineStr">
        <is>
          <t>Chưa test</t>
        </is>
      </c>
      <c r="O64" s="15" t="inlineStr"/>
      <c r="P64" s="15" t="inlineStr"/>
      <c r="Q64" s="18" t="inlineStr">
        <is>
          <t>Chưa test</t>
        </is>
      </c>
      <c r="R64" s="15" t="inlineStr"/>
    </row>
    <row r="65" ht="30" customHeight="1">
      <c r="A65" s="14" t="inlineStr">
        <is>
          <t>TC-COMM-064</t>
        </is>
      </c>
      <c r="B65" s="15" t="inlineStr">
        <is>
          <t>Cộng đồng</t>
        </is>
      </c>
      <c r="C65" s="15" t="inlineStr">
        <is>
          <t>Xóa cộng đồng</t>
        </is>
      </c>
      <c r="D65" s="15" t="inlineStr">
        <is>
          <t>Xóa cộng đồng gửi thông báo hệ thống cho thành viên (trừ người xóa và thành viên minh họa)</t>
        </is>
      </c>
      <c r="E65" s="15" t="inlineStr">
        <is>
          <t>Chức năng</t>
        </is>
      </c>
      <c r="F65" s="20" t="inlineStr">
        <is>
          <t>Trung bình</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5" s="15" t="inlineStr">
        <is>
          <t>1. Đăng nhập owner@, DELETE cộng đồng X
2. Đăng nhập member3@, GET /api/notifications</t>
        </is>
      </c>
      <c r="K65" s="15" t="inlineStr">
        <is>
          <t>-</t>
        </is>
      </c>
      <c r="L65" s="15" t="inlineStr">
        <is>
          <t>member3@ có thông báo type 'system' tiêu đề 'Cộng đồng đã bị xóa', nội dung 'Cộng đồng "QA Fixture X" đã được xóa'; owner@ không nhận thông báo này</t>
        </is>
      </c>
      <c r="M65" s="15" t="inlineStr"/>
      <c r="N65" s="18" t="inlineStr">
        <is>
          <t>Chưa test</t>
        </is>
      </c>
      <c r="O65" s="15" t="inlineStr"/>
      <c r="P65" s="15" t="inlineStr"/>
      <c r="Q65" s="18" t="inlineStr">
        <is>
          <t>Chưa test</t>
        </is>
      </c>
      <c r="R65" s="15" t="inlineStr"/>
    </row>
    <row r="66" ht="60" customHeight="1">
      <c r="A66" s="14" t="inlineStr">
        <is>
          <t>TC-COMM-065</t>
        </is>
      </c>
      <c r="B66" s="15" t="inlineStr">
        <is>
          <t>Cộng đồng</t>
        </is>
      </c>
      <c r="C66" s="15" t="inlineStr">
        <is>
          <t>Xóa cộng đồng</t>
        </is>
      </c>
      <c r="D66" s="15" t="inlineStr">
        <is>
          <t>FE bắt buộc gõ đúng tên cộng đồng mới bật nút Xóa</t>
        </is>
      </c>
      <c r="E66" s="15" t="inlineStr">
        <is>
          <t>Giao diện</t>
        </is>
      </c>
      <c r="F66" s="16" t="inlineStr">
        <is>
          <t>Cao</t>
        </is>
      </c>
      <c r="G66" s="17" t="inlineStr">
        <is>
          <t>Đã hoàn thiện</t>
        </is>
      </c>
      <c r="H66" s="17" t="inlineStr">
        <is>
          <t>Có</t>
        </is>
      </c>
      <c r="I6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6" s="15" t="inlineStr">
        <is>
          <t>1. Đăng nhập owner@, vào /courses/qa-fixture-x/community/cai-dat, tab Vùng nguy hiểm
2. Nhập sai tên 'qa fixture'
3. Nhập đúng 'QA Fixture X'
4. Bấm Xóa cộng đồng</t>
        </is>
      </c>
      <c r="K66" s="15" t="inlineStr">
        <is>
          <t>Tên: QA Fixture X</t>
        </is>
      </c>
      <c r="L66" s="15" t="inlineStr">
        <is>
          <t>Nút Xóa bị vô hiệu khi tên sai (kể cả sai hoa/thường hoặc thừa khoảng trắng), bật khi khớp đúng; xóa xong chuyển về trang chủ, cộng đồng biến mất</t>
        </is>
      </c>
      <c r="M66" s="15" t="inlineStr"/>
      <c r="N66" s="18" t="inlineStr">
        <is>
          <t>Chưa test</t>
        </is>
      </c>
      <c r="O66" s="15" t="inlineStr"/>
      <c r="P66" s="15" t="inlineStr"/>
      <c r="Q66" s="18" t="inlineStr">
        <is>
          <t>Chưa test</t>
        </is>
      </c>
      <c r="R66" s="15" t="inlineStr"/>
    </row>
    <row r="67" ht="45" customHeight="1">
      <c r="A67" s="14" t="inlineStr">
        <is>
          <t>TC-COMM-066</t>
        </is>
      </c>
      <c r="B67" s="15" t="inlineStr">
        <is>
          <t>Cộng đồng</t>
        </is>
      </c>
      <c r="C67" s="15" t="inlineStr">
        <is>
          <t>Xóa cộng đồng</t>
        </is>
      </c>
      <c r="D67" s="15" t="inlineStr">
        <is>
          <t>Admin, Mod, Member, người ngoài không xóa được cộng đồng</t>
        </is>
      </c>
      <c r="E67" s="15" t="inlineStr">
        <is>
          <t>Bảo mật</t>
        </is>
      </c>
      <c r="F67" s="16" t="inlineStr">
        <is>
          <t>Cao</t>
        </is>
      </c>
      <c r="G67" s="17" t="inlineStr">
        <is>
          <t>Đã hoàn thiện</t>
        </is>
      </c>
      <c r="H67" s="17" t="inlineStr">
        <is>
          <t>Có</t>
        </is>
      </c>
      <c r="I6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7" s="15" t="inlineStr">
        <is>
          <t>1. Lần lượt đăng nhập member1@ (Admin), member2@ (Mod), member3@, newbie@
2. DELETE /api/courses/qa-fixture-x
3. Đăng nhập khách (không token) DELETE</t>
        </is>
      </c>
      <c r="K67" s="15" t="inlineStr">
        <is>
          <t>-</t>
        </is>
      </c>
      <c r="L67" s="15" t="inlineStr">
        <is>
          <t>Bốn tài khoản nhận 403 FORBIDDEN, message 'Bạn không có quyền thực hiện thao tác này trong cộng đồng'; khách nhận 401 UNAUTHORIZED, message 'Vui lòng đăng nhập để tiếp tục'; cộng đồng vẫn tồn tại</t>
        </is>
      </c>
      <c r="M67" s="15" t="inlineStr"/>
      <c r="N67" s="18" t="inlineStr">
        <is>
          <t>Chưa test</t>
        </is>
      </c>
      <c r="O67" s="15" t="inlineStr"/>
      <c r="P67" s="15" t="inlineStr"/>
      <c r="Q67" s="18" t="inlineStr">
        <is>
          <t>Chưa test</t>
        </is>
      </c>
      <c r="R67" s="15" t="inlineStr"/>
    </row>
    <row r="68" ht="45" customHeight="1">
      <c r="A68" s="14" t="inlineStr">
        <is>
          <t>TC-COMM-067</t>
        </is>
      </c>
      <c r="B68" s="15" t="inlineStr">
        <is>
          <t>Cộng đồng</t>
        </is>
      </c>
      <c r="C68" s="15" t="inlineStr">
        <is>
          <t>Xóa cộng đồng</t>
        </is>
      </c>
      <c r="D68" s="15" t="inlineStr">
        <is>
          <t>Xóa cộng đồng đã xóa hoặc không tồn tại trả 404</t>
        </is>
      </c>
      <c r="E68" s="15" t="inlineStr">
        <is>
          <t>Chức năng</t>
        </is>
      </c>
      <c r="F68" s="17" t="inlineStr">
        <is>
          <t>Thấp</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Owner xóa X lần 1
2. DELETE lần 2
3. DELETE /api/courses/khong-co</t>
        </is>
      </c>
      <c r="K68" s="15" t="inlineStr">
        <is>
          <t>-</t>
        </is>
      </c>
      <c r="L68" s="15" t="inlineStr">
        <is>
          <t>Lần 1 -&gt; 200; lần 2 và id lạ -&gt; 404 NOT_FOUND, message 'Không tìm thấy khóa học'</t>
        </is>
      </c>
      <c r="M68" s="15" t="inlineStr"/>
      <c r="N68" s="18" t="inlineStr">
        <is>
          <t>Chưa test</t>
        </is>
      </c>
      <c r="O68" s="15" t="inlineStr"/>
      <c r="P68" s="15" t="inlineStr"/>
      <c r="Q68" s="18" t="inlineStr">
        <is>
          <t>Chưa test</t>
        </is>
      </c>
      <c r="R68" s="15" t="inlineStr"/>
    </row>
    <row r="69" ht="30" customHeight="1">
      <c r="A69" s="14" t="inlineStr">
        <is>
          <t>TC-COMM-068</t>
        </is>
      </c>
      <c r="B69" s="15" t="inlineStr">
        <is>
          <t>Cộng đồng</t>
        </is>
      </c>
      <c r="C69" s="15" t="inlineStr">
        <is>
          <t>Xóa cộng đồng</t>
        </is>
      </c>
      <c r="D69" s="15" t="inlineStr">
        <is>
          <t>Cộng đồng seed không có chủ: chỉ Platform Admin xóa được, người khác bị 403</t>
        </is>
      </c>
      <c r="E69" s="15" t="inlineStr">
        <is>
          <t>Bảo mật</t>
        </is>
      </c>
      <c r="F69" s="20" t="inlineStr">
        <is>
          <t>Trung bình</t>
        </is>
      </c>
      <c r="G69" s="17" t="inlineStr">
        <is>
          <t>Đã hoàn thiện</t>
        </is>
      </c>
      <c r="H69" s="17" t="inlineStr">
        <is>
          <t>Có</t>
        </is>
      </c>
      <c r="I69" s="15" t="inlineStr">
        <is>
          <t>Đã chạy npm run db:seed (BE :4000, FE :5173); mật khẩu chung mọi tài khoản seed là Passw0rd!x; PLATFORM_ADMIN_EMAILS chứa admin@sofinhub.test; đăng nhập API: POST /api/auth/login rồi gửi header Authorization: Bearer &lt;accessToken&gt;. Cộng đồng seed 'ai' không có Course.ownerId (chỉ photo, yt, fin có chủ là owner@)</t>
        </is>
      </c>
      <c r="J69" s="15" t="inlineStr">
        <is>
          <t>1. Đăng nhập owner@ (không thuộc cộng đồng 'ai'), DELETE /api/courses/ai
2. Đăng nhập cadmin@ DELETE /api/courses/ai</t>
        </is>
      </c>
      <c r="K69" s="15" t="inlineStr">
        <is>
          <t>-</t>
        </is>
      </c>
      <c r="L69"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69" s="15" t="inlineStr"/>
      <c r="N69" s="18" t="inlineStr">
        <is>
          <t>Chưa test</t>
        </is>
      </c>
      <c r="O69" s="15" t="inlineStr"/>
      <c r="P69" s="15" t="inlineStr"/>
      <c r="Q69" s="18" t="inlineStr">
        <is>
          <t>Chưa test</t>
        </is>
      </c>
      <c r="R69" s="15" t="inlineStr"/>
    </row>
    <row r="70" ht="45" customHeight="1">
      <c r="A70" s="14" t="inlineStr">
        <is>
          <t>TC-COMM-069</t>
        </is>
      </c>
      <c r="B70" s="15" t="inlineStr">
        <is>
          <t>Cộng đồng</t>
        </is>
      </c>
      <c r="C70" s="15" t="inlineStr">
        <is>
          <t>Khóa / mở khóa cộng đồng (Platform Admin)</t>
        </is>
      </c>
      <c r="D70" s="15" t="inlineStr">
        <is>
          <t>Platform Admin khóa cộng đồng kèm lý do</t>
        </is>
      </c>
      <c r="E70" s="15" t="inlineStr">
        <is>
          <t>Chức năng</t>
        </is>
      </c>
      <c r="F70" s="16" t="inlineStr">
        <is>
          <t>Cao</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70" s="15" t="inlineStr">
        <is>
          <t>1. Đăng nhập admin@sofinhub.test
2. POST /api/admin/courses/qa-fixture-x/lock {reason:'Vi phạm điều khoản'}
3. Đăng nhập owner@ GET /api/notifications</t>
        </is>
      </c>
      <c r="K70" s="15" t="inlineStr">
        <is>
          <t>reason='Vi phạm điều khoản'</t>
        </is>
      </c>
      <c r="L70" s="15" t="inlineStr">
        <is>
          <t>200 {id:'qa-fixture-x', locked:true, reason:'Vi phạm điều khoản'}; owner@ nhận thông báo 'Cộng đồng bị khóa' với nội dung 'Cộng đồng "QA Fixture X" đã bị khóa. Lý do: Vi phạm điều khoản'</t>
        </is>
      </c>
      <c r="M70" s="15" t="inlineStr"/>
      <c r="N70" s="18" t="inlineStr">
        <is>
          <t>Chưa test</t>
        </is>
      </c>
      <c r="O70" s="15" t="inlineStr"/>
      <c r="P70" s="15" t="inlineStr"/>
      <c r="Q70" s="18" t="inlineStr">
        <is>
          <t>Chưa test</t>
        </is>
      </c>
      <c r="R70" s="15" t="inlineStr"/>
    </row>
    <row r="71" ht="75" customHeight="1">
      <c r="A71" s="14" t="inlineStr">
        <is>
          <t>TC-COMM-070</t>
        </is>
      </c>
      <c r="B71" s="15" t="inlineStr">
        <is>
          <t>Cộng đồng</t>
        </is>
      </c>
      <c r="C71" s="15" t="inlineStr">
        <is>
          <t>Khóa / mở khóa cộng đồng (Platform Admin)</t>
        </is>
      </c>
      <c r="D71" s="15" t="inlineStr">
        <is>
          <t>Lý do khóa: rỗng, khoảng trắng, &gt; 500 ký tự bị từ chối</t>
        </is>
      </c>
      <c r="E71" s="15" t="inlineStr">
        <is>
          <t>Chức năng</t>
        </is>
      </c>
      <c r="F71" s="20" t="inlineStr">
        <is>
          <t>Trung bình</t>
        </is>
      </c>
      <c r="G71" s="17" t="inlineStr">
        <is>
          <t>Đã hoàn thiện</t>
        </is>
      </c>
      <c r="H71" s="17" t="inlineStr">
        <is>
          <t>Có</t>
        </is>
      </c>
      <c r="I7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1" s="15" t="inlineStr">
        <is>
          <t>1. Đăng nhập admin@
2. POST lock với reason ''
3. reason '   '
4. reason 501 ký tự
5. reason đúng 500 ký tự</t>
        </is>
      </c>
      <c r="K71" s="15" t="inlineStr">
        <is>
          <t>reason các biến thể</t>
        </is>
      </c>
      <c r="L71" s="15" t="inlineStr">
        <is>
          <t>Ba trường hợp đầu 400 VALIDATION_ERROR (fieldErrors.reason 'Vui lòng nhập lý do' cho rỗng); 500 ký tự -&gt; 200</t>
        </is>
      </c>
      <c r="M71" s="15" t="inlineStr"/>
      <c r="N71" s="18" t="inlineStr">
        <is>
          <t>Chưa test</t>
        </is>
      </c>
      <c r="O71" s="15" t="inlineStr"/>
      <c r="P71" s="15" t="inlineStr"/>
      <c r="Q71" s="18" t="inlineStr">
        <is>
          <t>Chưa test</t>
        </is>
      </c>
      <c r="R71" s="15" t="inlineStr"/>
    </row>
    <row r="72" ht="45" customHeight="1">
      <c r="A72" s="14" t="inlineStr">
        <is>
          <t>TC-COMM-071</t>
        </is>
      </c>
      <c r="B72" s="15" t="inlineStr">
        <is>
          <t>Cộng đồng</t>
        </is>
      </c>
      <c r="C72" s="15" t="inlineStr">
        <is>
          <t>Khóa / mở khóa cộng đồng (Platform Admin)</t>
        </is>
      </c>
      <c r="D72" s="15" t="inlineStr">
        <is>
          <t>Người không phải Platform Admin không khóa được (kể cả Owner)</t>
        </is>
      </c>
      <c r="E72" s="15" t="inlineStr">
        <is>
          <t>Bảo mật</t>
        </is>
      </c>
      <c r="F72" s="16" t="inlineStr">
        <is>
          <t>Cao</t>
        </is>
      </c>
      <c r="G72" s="17" t="inlineStr">
        <is>
          <t>Đã hoàn thiện</t>
        </is>
      </c>
      <c r="H72" s="17" t="inlineStr">
        <is>
          <t>Có</t>
        </is>
      </c>
      <c r="I7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2" s="15" t="inlineStr">
        <is>
          <t>1. Đăng nhập owner@, POST lock X
2. Đăng nhập member1@ (Admin cộng đồng) POST lock
3. Không token POST lock</t>
        </is>
      </c>
      <c r="K72" s="15" t="inlineStr">
        <is>
          <t>reason='x'</t>
        </is>
      </c>
      <c r="L72" s="15" t="inlineStr">
        <is>
          <t>Owner và Admin cộng đồng nhận 403 FORBIDDEN, message 'Chỉ Platform Admin mới có quyền này'; khách nhận 401 UNAUTHORIZED, message 'Vui lòng đăng nhập để tiếp tục'</t>
        </is>
      </c>
      <c r="M72" s="15" t="inlineStr"/>
      <c r="N72" s="18" t="inlineStr">
        <is>
          <t>Chưa test</t>
        </is>
      </c>
      <c r="O72" s="15" t="inlineStr"/>
      <c r="P72" s="15" t="inlineStr"/>
      <c r="Q72" s="18" t="inlineStr">
        <is>
          <t>Chưa test</t>
        </is>
      </c>
      <c r="R72" s="15" t="inlineStr"/>
    </row>
    <row r="73" ht="60" customHeight="1">
      <c r="A73" s="14" t="inlineStr">
        <is>
          <t>TC-COMM-072</t>
        </is>
      </c>
      <c r="B73" s="15" t="inlineStr">
        <is>
          <t>Cộng đồng</t>
        </is>
      </c>
      <c r="C73" s="15" t="inlineStr">
        <is>
          <t>Khóa / mở khóa cộng đồng (Platform Admin)</t>
        </is>
      </c>
      <c r="D73" s="15" t="inlineStr">
        <is>
          <t>Cộng đồng bị khóa: thành viên thường bị chặn COMMUNITY_LOCKED</t>
        </is>
      </c>
      <c r="E73" s="15" t="inlineStr">
        <is>
          <t>Chức năng</t>
        </is>
      </c>
      <c r="F73" s="16" t="inlineStr">
        <is>
          <t>Cao</t>
        </is>
      </c>
      <c r="G73" s="17" t="inlineStr">
        <is>
          <t>Đã hoàn thiện</t>
        </is>
      </c>
      <c r="H73" s="17" t="inlineStr">
        <is>
          <t>Có</t>
        </is>
      </c>
      <c r="I73"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73" s="15" t="inlineStr">
        <is>
          <t>1. Đăng nhập member3@ (Member)
2. GET /api/courses/qa-fixture-x/members
3. GET /api/courses/qa-fixture-x/posts
4. Mở /courses/qa-fixture-x/community trên FE</t>
        </is>
      </c>
      <c r="K73" s="15" t="inlineStr">
        <is>
          <t>-</t>
        </is>
      </c>
      <c r="L73" s="15" t="inlineStr">
        <is>
          <t>API trả 403 error.code='COMMUNITY_LOCKED', message 'Cộng đồng này đang bị khóa'; FE hiện dải đỏ 'đang bị khóa'; chi tiết GET /api/courses/qa-fixture-x vẫn 200</t>
        </is>
      </c>
      <c r="M73" s="15" t="inlineStr"/>
      <c r="N73" s="18" t="inlineStr">
        <is>
          <t>Chưa test</t>
        </is>
      </c>
      <c r="O73" s="15" t="inlineStr"/>
      <c r="P73" s="15" t="inlineStr"/>
      <c r="Q73" s="18" t="inlineStr">
        <is>
          <t>Chưa test</t>
        </is>
      </c>
      <c r="R73" s="15" t="inlineStr"/>
    </row>
    <row r="74" ht="45" customHeight="1">
      <c r="A74" s="14" t="inlineStr">
        <is>
          <t>TC-COMM-073</t>
        </is>
      </c>
      <c r="B74" s="15" t="inlineStr">
        <is>
          <t>Cộng đồng</t>
        </is>
      </c>
      <c r="C74" s="15" t="inlineStr">
        <is>
          <t>Khóa / mở khóa cộng đồng (Platform Admin)</t>
        </is>
      </c>
      <c r="D74" s="15" t="inlineStr">
        <is>
          <t>Cộng đồng bị khóa: người ngoài không tham gia được, thành viên vẫn rời được</t>
        </is>
      </c>
      <c r="E74" s="15" t="inlineStr">
        <is>
          <t>Chức năng</t>
        </is>
      </c>
      <c r="F74" s="20" t="inlineStr">
        <is>
          <t>Trung bình</t>
        </is>
      </c>
      <c r="G74" s="17" t="inlineStr">
        <is>
          <t>Đã hoàn thiện</t>
        </is>
      </c>
      <c r="H74" s="17" t="inlineStr">
        <is>
          <t>Có</t>
        </is>
      </c>
      <c r="I74"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74" s="15" t="inlineStr">
        <is>
          <t>1. newbie@ POST /api/courses/qa-fixture-x/enroll
2. newbie@ POST join-requests và POST /api/invites/&lt;mã&gt; /accept (nếu có)
3. member3@ POST /enroll để rời</t>
        </is>
      </c>
      <c r="K74" s="15" t="inlineStr">
        <is>
          <t>-</t>
        </is>
      </c>
      <c r="L74" s="15" t="inlineStr">
        <is>
          <t>newbie@ nhận 403 COMMUNITY_LOCKED 'Cộng đồng này đang bị khóa' ở /enroll (và ở accept lời mời/gửi yêu cầu); member3@ rời được: 200 {enrolled:false} (rời luôn được)</t>
        </is>
      </c>
      <c r="M74" s="15" t="inlineStr"/>
      <c r="N74" s="18" t="inlineStr">
        <is>
          <t>Chưa test</t>
        </is>
      </c>
      <c r="O74" s="15" t="inlineStr"/>
      <c r="P74" s="15" t="inlineStr"/>
      <c r="Q74" s="18" t="inlineStr">
        <is>
          <t>Chưa test</t>
        </is>
      </c>
      <c r="R74" s="15" t="inlineStr"/>
    </row>
    <row r="75" ht="60" customHeight="1">
      <c r="A75" s="14" t="inlineStr">
        <is>
          <t>TC-COMM-074</t>
        </is>
      </c>
      <c r="B75" s="15" t="inlineStr">
        <is>
          <t>Cộng đồng</t>
        </is>
      </c>
      <c r="C75" s="15" t="inlineStr">
        <is>
          <t>Khóa / mở khóa cộng đồng (Platform Admin)</t>
        </is>
      </c>
      <c r="D75" s="15" t="inlineStr">
        <is>
          <t>Cộng đồng bị khóa ẩn khỏi danh sách; Platform Admin (kể cả chưa ghi danh) vẫn vào được</t>
        </is>
      </c>
      <c r="E75" s="15" t="inlineStr">
        <is>
          <t>Chức năng</t>
        </is>
      </c>
      <c r="F75" s="20" t="inlineStr">
        <is>
          <t>Trung bình</t>
        </is>
      </c>
      <c r="G75" s="17" t="inlineStr">
        <is>
          <t>Đã hoàn thiện</t>
        </is>
      </c>
      <c r="H75" s="17" t="inlineStr">
        <is>
          <t>Có</t>
        </is>
      </c>
      <c r="I75"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75" s="15" t="inlineStr">
        <is>
          <t>1. Khóa X bằng admin@
2. GET /api/courses (danh sách công khai)
3. admin@ GET /api/courses/qa-fixture-x/members
4. admin@ chưa tham gia cộng đồng khác bị khóa GET members</t>
        </is>
      </c>
      <c r="K75" s="15" t="inlineStr">
        <is>
          <t>-</t>
        </is>
      </c>
      <c r="L75"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75" s="15" t="inlineStr"/>
      <c r="N75" s="18" t="inlineStr">
        <is>
          <t>Chưa test</t>
        </is>
      </c>
      <c r="O75" s="15" t="inlineStr"/>
      <c r="P75" s="15" t="inlineStr"/>
      <c r="Q75" s="18" t="inlineStr">
        <is>
          <t>Chưa test</t>
        </is>
      </c>
      <c r="R75" s="15" t="inlineStr"/>
    </row>
    <row r="76" ht="45" customHeight="1">
      <c r="A76" s="14" t="inlineStr">
        <is>
          <t>TC-COMM-075</t>
        </is>
      </c>
      <c r="B76" s="15" t="inlineStr">
        <is>
          <t>Cộng đồng</t>
        </is>
      </c>
      <c r="C76" s="15" t="inlineStr">
        <is>
          <t>Khóa / mở khóa cộng đồng (Platform Admin)</t>
        </is>
      </c>
      <c r="D76" s="15" t="inlineStr">
        <is>
          <t>Mở khóa cộng đồng khôi phục truy cập và gửi thông báo cho chủ</t>
        </is>
      </c>
      <c r="E76" s="15" t="inlineStr">
        <is>
          <t>Chức năng</t>
        </is>
      </c>
      <c r="F76" s="16" t="inlineStr">
        <is>
          <t>Cao</t>
        </is>
      </c>
      <c r="G76" s="17" t="inlineStr">
        <is>
          <t>Đã hoàn thiện</t>
        </is>
      </c>
      <c r="H76" s="17" t="inlineStr">
        <is>
          <t>Có</t>
        </is>
      </c>
      <c r="I76"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76" s="15" t="inlineStr">
        <is>
          <t>1. Đăng nhập admin@, POST /api/admin/courses/qa-fixture-x/unlock
2. member3@ GET /api/courses/qa-fixture-x/members
3. owner@ GET /api/notifications</t>
        </is>
      </c>
      <c r="K76" s="15" t="inlineStr">
        <is>
          <t>-</t>
        </is>
      </c>
      <c r="L76" s="15" t="inlineStr">
        <is>
          <t>200 {id:'qa-fixture-x', locked:false}; member3@ vào được (200); cộng đồng quay lại danh sách; owner@ có thông báo 'Cộng đồng đã được mở khóa'</t>
        </is>
      </c>
      <c r="M76" s="15" t="inlineStr"/>
      <c r="N76" s="18" t="inlineStr">
        <is>
          <t>Chưa test</t>
        </is>
      </c>
      <c r="O76" s="15" t="inlineStr"/>
      <c r="P76" s="15" t="inlineStr"/>
      <c r="Q76" s="18" t="inlineStr">
        <is>
          <t>Chưa test</t>
        </is>
      </c>
      <c r="R76" s="15" t="inlineStr"/>
    </row>
    <row r="77" ht="60" customHeight="1">
      <c r="A77" s="14" t="inlineStr">
        <is>
          <t>TC-COMM-076</t>
        </is>
      </c>
      <c r="B77" s="15" t="inlineStr">
        <is>
          <t>Cộng đồng</t>
        </is>
      </c>
      <c r="C77" s="15" t="inlineStr">
        <is>
          <t>Khóa / mở khóa cộng đồng (Platform Admin)</t>
        </is>
      </c>
      <c r="D77" s="15" t="inlineStr">
        <is>
          <t>Khóa/mở khóa cộng đồng không tồn tại hoặc đã xóa trả 404</t>
        </is>
      </c>
      <c r="E77" s="15" t="inlineStr">
        <is>
          <t>Chức năng</t>
        </is>
      </c>
      <c r="F77" s="17" t="inlineStr">
        <is>
          <t>Thấp</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t>
        </is>
      </c>
      <c r="J77" s="15" t="inlineStr">
        <is>
          <t>1. Đăng nhập admin@
2. POST lock /api/admin/courses/khong-co
3. POST unlock /api/admin/courses/khong-co
4. Xóa mềm X rồi POST lock X</t>
        </is>
      </c>
      <c r="K77" s="15" t="inlineStr">
        <is>
          <t>reason='x'</t>
        </is>
      </c>
      <c r="L77" s="15" t="inlineStr">
        <is>
          <t>Tất cả 404 NOT_FOUND, message 'Không tìm thấy khóa học'</t>
        </is>
      </c>
      <c r="M77" s="15" t="inlineStr"/>
      <c r="N77" s="18" t="inlineStr">
        <is>
          <t>Chưa test</t>
        </is>
      </c>
      <c r="O77" s="15" t="inlineStr"/>
      <c r="P77" s="15" t="inlineStr"/>
      <c r="Q77" s="18" t="inlineStr">
        <is>
          <t>Chưa test</t>
        </is>
      </c>
      <c r="R77" s="15" t="inlineStr"/>
    </row>
    <row r="78" ht="30" customHeight="1">
      <c r="A78" s="14" t="inlineStr">
        <is>
          <t>TC-COMM-077</t>
        </is>
      </c>
      <c r="B78" s="15" t="inlineStr">
        <is>
          <t>Cộng đồng</t>
        </is>
      </c>
      <c r="C78" s="15" t="inlineStr">
        <is>
          <t>Khóa / mở khóa cộng đồng (Platform Admin)</t>
        </is>
      </c>
      <c r="D78" s="15" t="inlineStr">
        <is>
          <t>Chủ cộng đồng bị khóa vẫn sửa được thông tin (không kiểm tra khóa ở PATCH)</t>
        </is>
      </c>
      <c r="E78" s="15" t="inlineStr">
        <is>
          <t>Chức năng</t>
        </is>
      </c>
      <c r="F78" s="17" t="inlineStr">
        <is>
          <t>Thấp</t>
        </is>
      </c>
      <c r="G78" s="17" t="inlineStr">
        <is>
          <t>Đã hoàn thiện</t>
        </is>
      </c>
      <c r="H78" s="17" t="inlineStr">
        <is>
          <t>Có</t>
        </is>
      </c>
      <c r="I78"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78" s="15" t="inlineStr">
        <is>
          <t>1. Đăng nhập owner@
2. PATCH /api/courses/qa-fixture-x {title:'Đổi khi khóa'}</t>
        </is>
      </c>
      <c r="K78" s="15" t="inlineStr">
        <is>
          <t>title='Đổi khi khóa'</t>
        </is>
      </c>
      <c r="L78" s="15" t="inlineStr">
        <is>
          <t>200 (hành vi thực tế: PATCH không chặn khi khóa; chưa chốt có nên chặn Owner sửa khi cộng đồng đang bị khóa)</t>
        </is>
      </c>
      <c r="M78" s="15" t="inlineStr"/>
      <c r="N78" s="18" t="inlineStr">
        <is>
          <t>Chưa test</t>
        </is>
      </c>
      <c r="O78" s="15" t="inlineStr"/>
      <c r="P78" s="15" t="inlineStr"/>
      <c r="Q78" s="18" t="inlineStr">
        <is>
          <t>Chưa test</t>
        </is>
      </c>
      <c r="R78" s="15" t="inlineStr"/>
    </row>
    <row r="79" ht="45" customHeight="1">
      <c r="A79" s="14" t="inlineStr">
        <is>
          <t>TC-COMM-078</t>
        </is>
      </c>
      <c r="B79" s="15" t="inlineStr">
        <is>
          <t>Cộng đồng</t>
        </is>
      </c>
      <c r="C79" s="15" t="inlineStr">
        <is>
          <t>Ba luồng tham gia cộng đồng</t>
        </is>
      </c>
      <c r="D79" s="15" t="inlineStr">
        <is>
          <t>Cộng đồng công khai miễn phí: POST /enroll vào rồi bấm lần nữa để rời (toggle)</t>
        </is>
      </c>
      <c r="E79" s="15" t="inlineStr">
        <is>
          <t>Chức năng</t>
        </is>
      </c>
      <c r="F79" s="16" t="inlineStr">
        <is>
          <t>Cao</t>
        </is>
      </c>
      <c r="G79" s="17" t="inlineStr">
        <is>
          <t>Đã hoàn thiện</t>
        </is>
      </c>
      <c r="H79" s="17" t="inlineStr">
        <is>
          <t>Có</t>
        </is>
      </c>
      <c r="I7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79" s="15" t="inlineStr">
        <is>
          <t>1. POST /api/courses/photo/enroll
2. GET /api/courses/photo/members (kiểm tra có newbie)
3. POST /api/courses/photo/enroll lần 2</t>
        </is>
      </c>
      <c r="K79" s="15" t="inlineStr">
        <is>
          <t>-</t>
        </is>
      </c>
      <c r="L79" s="15" t="inlineStr">
        <is>
          <t>Lần 1 200 {enrolled:true}, newbie xuất hiện với roleDetail='member'; lần 2 200 {enrolled:false}, mất quyền truy cập (members -&gt; 403, message 'Bạn cần tham gia cộng đồng này trước')</t>
        </is>
      </c>
      <c r="M79" s="15" t="inlineStr"/>
      <c r="N79" s="18" t="inlineStr">
        <is>
          <t>Chưa test</t>
        </is>
      </c>
      <c r="O79" s="15" t="inlineStr"/>
      <c r="P79" s="15" t="inlineStr"/>
      <c r="Q79" s="18" t="inlineStr">
        <is>
          <t>Chưa test</t>
        </is>
      </c>
      <c r="R79" s="15" t="inlineStr"/>
    </row>
    <row r="80" ht="45" customHeight="1">
      <c r="A80" s="14" t="inlineStr">
        <is>
          <t>TC-COMM-079</t>
        </is>
      </c>
      <c r="B80" s="15" t="inlineStr">
        <is>
          <t>Cộng đồng</t>
        </is>
      </c>
      <c r="C80" s="15" t="inlineStr">
        <is>
          <t>Ba luồng tham gia cộng đồng</t>
        </is>
      </c>
      <c r="D80" s="15" t="inlineStr">
        <is>
          <t>Cộng đồng công khai có phí ($12 yt): 402 PAYMENT_REQUIRED kèm courseId</t>
        </is>
      </c>
      <c r="E80" s="15" t="inlineStr">
        <is>
          <t>Chức năng</t>
        </is>
      </c>
      <c r="F80" s="16" t="inlineStr">
        <is>
          <t>Cao</t>
        </is>
      </c>
      <c r="G80" s="17" t="inlineStr">
        <is>
          <t>Đã hoàn thiện</t>
        </is>
      </c>
      <c r="H80" s="17" t="inlineStr">
        <is>
          <t>Có</t>
        </is>
      </c>
      <c r="I8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80" s="15" t="inlineStr">
        <is>
          <t>1. POST /api/courses/yt/enroll
2. Kiểm tra body lỗi
3. Trên FE /courses/yt bấm 'Tham gia ngay'</t>
        </is>
      </c>
      <c r="K80" s="15" t="inlineStr">
        <is>
          <t>-</t>
        </is>
      </c>
      <c r="L80" s="15" t="inlineStr">
        <is>
          <t>402, error.code='PAYMENT_REQUIRED', message 'Cộng đồng có phí: vui lòng thanh toán để tham gia', details={courseId:'yt'}; newbie chưa được ghi danh; FE hiện hộp thoại 'Khóa học có phí' -&gt; Đi tới thanh toán /courses/yt/checkout</t>
        </is>
      </c>
      <c r="M80" s="15" t="inlineStr"/>
      <c r="N80" s="18" t="inlineStr">
        <is>
          <t>Chưa test</t>
        </is>
      </c>
      <c r="O80" s="15" t="inlineStr"/>
      <c r="P80" s="15" t="inlineStr"/>
      <c r="Q80" s="18" t="inlineStr">
        <is>
          <t>Chưa test</t>
        </is>
      </c>
      <c r="R80" s="15" t="inlineStr"/>
    </row>
    <row r="81" ht="30" customHeight="1">
      <c r="A81" s="14" t="inlineStr">
        <is>
          <t>TC-COMM-080</t>
        </is>
      </c>
      <c r="B81" s="15" t="inlineStr">
        <is>
          <t>Cộng đồng</t>
        </is>
      </c>
      <c r="C81" s="15" t="inlineStr">
        <is>
          <t>Ba luồng tham gia cộng đồng</t>
        </is>
      </c>
      <c r="D81" s="15" t="inlineStr">
        <is>
          <t>Cộng đồng riêng tư có phí ($5 fin): riêng tư ưu tiên hơn phí -&gt; 403 JOIN_REQUEST_REQUIRED</t>
        </is>
      </c>
      <c r="E81" s="15" t="inlineStr">
        <is>
          <t>Chức năng</t>
        </is>
      </c>
      <c r="F81" s="20" t="inlineStr">
        <is>
          <t>Trung bình</t>
        </is>
      </c>
      <c r="G81" s="17" t="inlineStr">
        <is>
          <t>Đã hoàn thiện</t>
        </is>
      </c>
      <c r="H81" s="17" t="inlineStr">
        <is>
          <t>Có</t>
        </is>
      </c>
      <c r="I8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81" s="15" t="inlineStr">
        <is>
          <t>1. POST /api/courses/fin/enroll</t>
        </is>
      </c>
      <c r="K81" s="15" t="inlineStr">
        <is>
          <t>-</t>
        </is>
      </c>
      <c r="L81" s="15" t="inlineStr">
        <is>
          <t>403 error.code='JOIN_REQUEST_REQUIRED', message 'Cộng đồng riêng tư: hãy gửi yêu cầu tham gia hoặc dùng lời mời' (kiểm tra riêng tư trước kiểm tra giá, không phải 402)</t>
        </is>
      </c>
      <c r="M81" s="15" t="inlineStr"/>
      <c r="N81" s="18" t="inlineStr">
        <is>
          <t>Chưa test</t>
        </is>
      </c>
      <c r="O81" s="15" t="inlineStr"/>
      <c r="P81" s="15" t="inlineStr"/>
      <c r="Q81" s="18" t="inlineStr">
        <is>
          <t>Chưa test</t>
        </is>
      </c>
      <c r="R81" s="15" t="inlineStr"/>
    </row>
    <row r="82" ht="30" customHeight="1">
      <c r="A82" s="14" t="inlineStr">
        <is>
          <t>TC-COMM-081</t>
        </is>
      </c>
      <c r="B82" s="15" t="inlineStr">
        <is>
          <t>Cộng đồng</t>
        </is>
      </c>
      <c r="C82" s="15" t="inlineStr">
        <is>
          <t>Ba luồng tham gia cộng đồng</t>
        </is>
      </c>
      <c r="D82" s="15" t="inlineStr">
        <is>
          <t>Cộng đồng riêng tư miễn phí (private-demo): 403 JOIN_REQUEST_REQUIRED, FE hiện nút xin tham gia</t>
        </is>
      </c>
      <c r="E82" s="15" t="inlineStr">
        <is>
          <t>Chức năng</t>
        </is>
      </c>
      <c r="F82" s="16" t="inlineStr">
        <is>
          <t>Cao</t>
        </is>
      </c>
      <c r="G82" s="17" t="inlineStr">
        <is>
          <t>Đã hoàn thiện</t>
        </is>
      </c>
      <c r="H82" s="17" t="inlineStr">
        <is>
          <t>Có</t>
        </is>
      </c>
      <c r="I82"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82" s="15" t="inlineStr">
        <is>
          <t>1. POST /api/courses/private-demo/enroll
2. Mở /courses/private-demo trên FE</t>
        </is>
      </c>
      <c r="K82" s="15" t="inlineStr">
        <is>
          <t>-</t>
        </is>
      </c>
      <c r="L82" s="15" t="inlineStr">
        <is>
          <t>403 JOIN_REQUEST_REQUIRED; FE hiển thị nút 'Gửi yêu cầu tham gia' và ghi chú cần quản trị viên duyệt (không có nút 'Tham gia ngay')</t>
        </is>
      </c>
      <c r="M82" s="15" t="inlineStr"/>
      <c r="N82" s="18" t="inlineStr">
        <is>
          <t>Chưa test</t>
        </is>
      </c>
      <c r="O82" s="15" t="inlineStr"/>
      <c r="P82" s="15" t="inlineStr"/>
      <c r="Q82" s="18" t="inlineStr">
        <is>
          <t>Chưa test</t>
        </is>
      </c>
      <c r="R82" s="15" t="inlineStr"/>
    </row>
    <row r="83" ht="30" customHeight="1">
      <c r="A83" s="14" t="inlineStr">
        <is>
          <t>TC-COMM-082</t>
        </is>
      </c>
      <c r="B83" s="15" t="inlineStr">
        <is>
          <t>Cộng đồng</t>
        </is>
      </c>
      <c r="C83" s="15" t="inlineStr">
        <is>
          <t>Ba luồng tham gia cộng đồng</t>
        </is>
      </c>
      <c r="D83" s="15" t="inlineStr">
        <is>
          <t>Tham gia cộng đồng không tồn tại hoặc đã xóa trả 404; chưa đăng nhập 401</t>
        </is>
      </c>
      <c r="E83" s="15" t="inlineStr">
        <is>
          <t>Chức năng</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t>
        </is>
      </c>
      <c r="J83" s="15" t="inlineStr">
        <is>
          <t>1. newbie@ POST /api/courses/khong-co/enroll
2. Không token POST /api/courses/photo/enroll</t>
        </is>
      </c>
      <c r="K83" s="15" t="inlineStr">
        <is>
          <t>-</t>
        </is>
      </c>
      <c r="L83" s="15" t="inlineStr">
        <is>
          <t>Yêu cầu 1 -&gt; 404 NOT_FOUND, message 'Không tìm thấy khóa học'; yêu cầu 2 -&gt; 401 UNAUTHORIZED, message 'Vui lòng đăng nhập để tiếp tục'</t>
        </is>
      </c>
      <c r="M83" s="15" t="inlineStr"/>
      <c r="N83" s="18" t="inlineStr">
        <is>
          <t>Chưa test</t>
        </is>
      </c>
      <c r="O83" s="15" t="inlineStr"/>
      <c r="P83" s="15" t="inlineStr"/>
      <c r="Q83" s="18" t="inlineStr">
        <is>
          <t>Chưa test</t>
        </is>
      </c>
      <c r="R83" s="15" t="inlineStr"/>
    </row>
    <row r="84" ht="30" customHeight="1">
      <c r="A84" s="14" t="inlineStr">
        <is>
          <t>TC-COMM-083</t>
        </is>
      </c>
      <c r="B84" s="15" t="inlineStr">
        <is>
          <t>Cộng đồng</t>
        </is>
      </c>
      <c r="C84" s="15" t="inlineStr">
        <is>
          <t>Ba luồng tham gia cộng đồng</t>
        </is>
      </c>
      <c r="D84" s="15" t="inlineStr">
        <is>
          <t>Người bị cấm bấm tham gia: 403 'Bạn đã bị cấm khỏi cộng đồng này'</t>
        </is>
      </c>
      <c r="E84" s="15" t="inlineStr">
        <is>
          <t>Chức năng</t>
        </is>
      </c>
      <c r="F84" s="16" t="inlineStr">
        <is>
          <t>Cao</t>
        </is>
      </c>
      <c r="G84" s="17" t="inlineStr">
        <is>
          <t>Đã hoàn thiện</t>
        </is>
      </c>
      <c r="H84" s="17" t="inlineStr">
        <is>
          <t>Có</t>
        </is>
      </c>
      <c r="I84"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84" s="15" t="inlineStr">
        <is>
          <t>1. POST /api/courses/photo/enroll
2. Trên FE mở /courses/photo và bấm 'Tham gia ngay'</t>
        </is>
      </c>
      <c r="K84" s="15" t="inlineStr">
        <is>
          <t>-</t>
        </is>
      </c>
      <c r="L84" s="15" t="inlineStr">
        <is>
          <t>403 FORBIDDEN, message 'Bạn đã bị cấm khỏi cộng đồng này'; FE hiện thông báo đỏ dưới nút; banned@ không được ghi danh</t>
        </is>
      </c>
      <c r="M84" s="15" t="inlineStr"/>
      <c r="N84" s="18" t="inlineStr">
        <is>
          <t>Chưa test</t>
        </is>
      </c>
      <c r="O84" s="15" t="inlineStr"/>
      <c r="P84" s="15" t="inlineStr"/>
      <c r="Q84" s="18" t="inlineStr">
        <is>
          <t>Chưa test</t>
        </is>
      </c>
      <c r="R84" s="15" t="inlineStr"/>
    </row>
    <row r="85" ht="30" customHeight="1">
      <c r="A85" s="14" t="inlineStr">
        <is>
          <t>TC-COMM-084</t>
        </is>
      </c>
      <c r="B85" s="15" t="inlineStr">
        <is>
          <t>Cộng đồng</t>
        </is>
      </c>
      <c r="C85" s="15" t="inlineStr">
        <is>
          <t>Ba luồng tham gia cộng đồng</t>
        </is>
      </c>
      <c r="D85" s="15" t="inlineStr">
        <is>
          <t>Nhấp đúp 'Tham gia ngay' không tạo hai bản ghi ghi danh</t>
        </is>
      </c>
      <c r="E85" s="15" t="inlineStr">
        <is>
          <t>Chức năng</t>
        </is>
      </c>
      <c r="F85" s="20" t="inlineStr">
        <is>
          <t>Trung bình</t>
        </is>
      </c>
      <c r="G85" s="17" t="inlineStr">
        <is>
          <t>Đã hoàn thiện</t>
        </is>
      </c>
      <c r="H85" s="20" t="inlineStr">
        <is>
          <t>Một phần</t>
        </is>
      </c>
      <c r="I8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85" s="15" t="inlineStr">
        <is>
          <t>1. Gửi song song 2 request POST /api/courses/photo/enroll bằng Promise.all
2. GET /api/courses/photo/members?q=Newbie</t>
        </is>
      </c>
      <c r="K85" s="15" t="inlineStr">
        <is>
          <t>-</t>
        </is>
      </c>
      <c r="L85"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85" s="15" t="inlineStr"/>
      <c r="N85" s="18" t="inlineStr">
        <is>
          <t>Chưa test</t>
        </is>
      </c>
      <c r="O85" s="15" t="inlineStr"/>
      <c r="P85" s="15" t="inlineStr"/>
      <c r="Q85" s="18" t="inlineStr">
        <is>
          <t>Chưa test</t>
        </is>
      </c>
      <c r="R85" s="15" t="inlineStr"/>
    </row>
    <row r="86" ht="45" customHeight="1">
      <c r="A86" s="14" t="inlineStr">
        <is>
          <t>TC-COMM-085</t>
        </is>
      </c>
      <c r="B86" s="15" t="inlineStr">
        <is>
          <t>Cộng đồng</t>
        </is>
      </c>
      <c r="C86" s="15" t="inlineStr">
        <is>
          <t>Yêu cầu tham gia (cộng đồng riêng tư)</t>
        </is>
      </c>
      <c r="D86" s="15" t="inlineStr">
        <is>
          <t>Gửi yêu cầu tham gia private-demo thành công kèm lời nhắn</t>
        </is>
      </c>
      <c r="E86" s="15" t="inlineStr">
        <is>
          <t>Chức năng</t>
        </is>
      </c>
      <c r="F86" s="16" t="inlineStr">
        <is>
          <t>Cao</t>
        </is>
      </c>
      <c r="G86" s="17" t="inlineStr">
        <is>
          <t>Đã hoàn thiện</t>
        </is>
      </c>
      <c r="H86" s="17" t="inlineStr">
        <is>
          <t>Có</t>
        </is>
      </c>
      <c r="I8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86" s="15" t="inlineStr">
        <is>
          <t>1. POST /api/courses/private-demo/join-requests {message}
2. Đăng nhập owner@ GET /api/notifications
3. owner@ GET /api/courses/private-demo/join-requests?status=pending</t>
        </is>
      </c>
      <c r="K86" s="15" t="inlineStr">
        <is>
          <t>message='Xin vào nhóm ạ'</t>
        </is>
      </c>
      <c r="L86" s="15" t="inlineStr">
        <is>
          <t>201, data.status='pending', message đúng, userId=member2; owner@ nhận thông báo type 'system' 'Yêu cầu tham gia mới' ('&lt;tên&gt; xin tham gia cộng đồng "Cộng đồng riêng tư (demo)"'); danh sách pending có 3 yêu cầu (newbie, member1 seed + member2)</t>
        </is>
      </c>
      <c r="M86" s="15" t="inlineStr"/>
      <c r="N86" s="18" t="inlineStr">
        <is>
          <t>Chưa test</t>
        </is>
      </c>
      <c r="O86" s="15" t="inlineStr"/>
      <c r="P86" s="15" t="inlineStr"/>
      <c r="Q86" s="18" t="inlineStr">
        <is>
          <t>Chưa test</t>
        </is>
      </c>
      <c r="R86" s="15" t="inlineStr"/>
    </row>
    <row r="87" ht="60" customHeight="1">
      <c r="A87" s="14" t="inlineStr">
        <is>
          <t>TC-COMM-086</t>
        </is>
      </c>
      <c r="B87" s="15" t="inlineStr">
        <is>
          <t>Cộng đồng</t>
        </is>
      </c>
      <c r="C87" s="15" t="inlineStr">
        <is>
          <t>Yêu cầu tham gia (cộng đồng riêng tư)</t>
        </is>
      </c>
      <c r="D87" s="15" t="inlineStr">
        <is>
          <t>Lời nhắn yêu cầu: bỏ trống mặc định '', trim khoảng trắng, &gt; 500 ký tự bị từ chối</t>
        </is>
      </c>
      <c r="E87" s="15" t="inlineStr">
        <is>
          <t>Chức năng</t>
        </is>
      </c>
      <c r="F87" s="20" t="inlineStr">
        <is>
          <t>Trung bình</t>
        </is>
      </c>
      <c r="G87" s="17" t="inlineStr">
        <is>
          <t>Đã hoàn thiện</t>
        </is>
      </c>
      <c r="H87" s="17" t="inlineStr">
        <is>
          <t>Có</t>
        </is>
      </c>
      <c r="I8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87" s="15" t="inlineStr">
        <is>
          <t>1. POST join-requests với body {}
2. Hủy yêu cầu vừa tạo, POST với message '  chào  '
3. Hủy, POST message 501 ký tự
4. Hủy, POST message đúng 500 ký tự</t>
        </is>
      </c>
      <c r="K87" s="15" t="inlineStr">
        <is>
          <t>message: (bỏ trống) / '  chào  ' / 501 ký tự / 500 ký tự</t>
        </is>
      </c>
      <c r="L87" s="15" t="inlineStr">
        <is>
          <t>Body {} -&gt; 201 message=''; '  chào  ' -&gt; message='chào'; 501 ký tự -&gt; 400 VALIDATION_ERROR; 500 ký tự -&gt; 201</t>
        </is>
      </c>
      <c r="M87" s="15" t="inlineStr"/>
      <c r="N87" s="18" t="inlineStr">
        <is>
          <t>Chưa test</t>
        </is>
      </c>
      <c r="O87" s="15" t="inlineStr"/>
      <c r="P87" s="15" t="inlineStr"/>
      <c r="Q87" s="18" t="inlineStr">
        <is>
          <t>Chưa test</t>
        </is>
      </c>
      <c r="R87" s="15" t="inlineStr"/>
    </row>
    <row r="88" ht="30" customHeight="1">
      <c r="A88" s="14" t="inlineStr">
        <is>
          <t>TC-COMM-087</t>
        </is>
      </c>
      <c r="B88" s="15" t="inlineStr">
        <is>
          <t>Cộng đồng</t>
        </is>
      </c>
      <c r="C88" s="15" t="inlineStr">
        <is>
          <t>Yêu cầu tham gia (cộng đồng riêng tư)</t>
        </is>
      </c>
      <c r="D88" s="15" t="inlineStr">
        <is>
          <t>Gửi yêu cầu trùng khi đã có yêu cầu chờ: 409</t>
        </is>
      </c>
      <c r="E88" s="15" t="inlineStr">
        <is>
          <t>Chức năng</t>
        </is>
      </c>
      <c r="F88" s="16" t="inlineStr">
        <is>
          <t>Cao</t>
        </is>
      </c>
      <c r="G88" s="17" t="inlineStr">
        <is>
          <t>Đã hoàn thiện</t>
        </is>
      </c>
      <c r="H88" s="17" t="inlineStr">
        <is>
          <t>Có</t>
        </is>
      </c>
      <c r="I88"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88" s="15" t="inlineStr">
        <is>
          <t>1. Đăng nhập newbie@
2. POST /api/courses/private-demo/join-requests {}</t>
        </is>
      </c>
      <c r="K88" s="15" t="inlineStr">
        <is>
          <t>-</t>
        </is>
      </c>
      <c r="L88" s="15" t="inlineStr">
        <is>
          <t>409 CONFLICT, message 'Bạn đã có một yêu cầu tham gia đang chờ duyệt'; danh sách pending không tăng</t>
        </is>
      </c>
      <c r="M88" s="15" t="inlineStr"/>
      <c r="N88" s="18" t="inlineStr">
        <is>
          <t>Chưa test</t>
        </is>
      </c>
      <c r="O88" s="15" t="inlineStr"/>
      <c r="P88" s="15" t="inlineStr"/>
      <c r="Q88" s="18" t="inlineStr">
        <is>
          <t>Chưa test</t>
        </is>
      </c>
      <c r="R88" s="15" t="inlineStr"/>
    </row>
    <row r="89" ht="30" customHeight="1">
      <c r="A89" s="14" t="inlineStr">
        <is>
          <t>TC-COMM-088</t>
        </is>
      </c>
      <c r="B89" s="15" t="inlineStr">
        <is>
          <t>Cộng đồng</t>
        </is>
      </c>
      <c r="C89" s="15" t="inlineStr">
        <is>
          <t>Yêu cầu tham gia (cộng đồng riêng tư)</t>
        </is>
      </c>
      <c r="D89" s="15" t="inlineStr">
        <is>
          <t>Gửi yêu cầu đồng thời hai lần chỉ tạo một yêu cầu chờ</t>
        </is>
      </c>
      <c r="E89" s="15" t="inlineStr">
        <is>
          <t>Bảo mật</t>
        </is>
      </c>
      <c r="F89" s="20" t="inlineStr">
        <is>
          <t>Trung bình</t>
        </is>
      </c>
      <c r="G89" s="17" t="inlineStr">
        <is>
          <t>Đã hoàn thiện</t>
        </is>
      </c>
      <c r="H89" s="17" t="inlineStr">
        <is>
          <t>Có</t>
        </is>
      </c>
      <c r="I8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89" s="15" t="inlineStr">
        <is>
          <t>1. Promise.all hai POST /api/courses/private-demo/join-requests
2. Owner GET join-requests?status=pending</t>
        </is>
      </c>
      <c r="K89" s="15" t="inlineStr">
        <is>
          <t>-</t>
        </is>
      </c>
      <c r="L89" s="15" t="inlineStr">
        <is>
          <t>Một request 201, một request 409 'Bạn đã có một yêu cầu tham gia đang chờ duyệt' (khóa cố vấn theo course+user); chỉ có 1 yêu cầu pending của member3@</t>
        </is>
      </c>
      <c r="M89" s="15" t="inlineStr"/>
      <c r="N89" s="18" t="inlineStr">
        <is>
          <t>Chưa test</t>
        </is>
      </c>
      <c r="O89" s="15" t="inlineStr"/>
      <c r="P89" s="15" t="inlineStr"/>
      <c r="Q89" s="18" t="inlineStr">
        <is>
          <t>Chưa test</t>
        </is>
      </c>
      <c r="R89" s="15" t="inlineStr"/>
    </row>
    <row r="90" ht="30" customHeight="1">
      <c r="A90" s="14" t="inlineStr">
        <is>
          <t>TC-COMM-089</t>
        </is>
      </c>
      <c r="B90" s="15" t="inlineStr">
        <is>
          <t>Cộng đồng</t>
        </is>
      </c>
      <c r="C90" s="15" t="inlineStr">
        <is>
          <t>Yêu cầu tham gia (cộng đồng riêng tư)</t>
        </is>
      </c>
      <c r="D90" s="15" t="inlineStr">
        <is>
          <t>Xin tham gia cộng đồng công khai hoặc khi đã là thành viên: 409</t>
        </is>
      </c>
      <c r="E90" s="15" t="inlineStr">
        <is>
          <t>Chức năng</t>
        </is>
      </c>
      <c r="F90" s="20" t="inlineStr">
        <is>
          <t>Trung bình</t>
        </is>
      </c>
      <c r="G90" s="17" t="inlineStr">
        <is>
          <t>Đã hoàn thiện</t>
        </is>
      </c>
      <c r="H90" s="17" t="inlineStr">
        <is>
          <t>Có</t>
        </is>
      </c>
      <c r="I90" s="15" t="inlineStr">
        <is>
          <t>Đã chạy npm run db:seed (BE :4000, FE :5173); mật khẩu chung mọi tài khoản seed là Passw0rd!x; PLATFORM_ADMIN_EMAILS chứa admin@sofinhub.test; đăng nhập API: POST /api/auth/login rồi gửi header Authorization: Bearer &lt;accessToken&gt;</t>
        </is>
      </c>
      <c r="J90" s="15" t="inlineStr">
        <is>
          <t>1. newbie@ POST /api/courses/photo/join-requests (photo công khai)
2. owner@ POST /api/courses/private-demo/join-requests (đã là Owner)</t>
        </is>
      </c>
      <c r="K90" s="15" t="inlineStr">
        <is>
          <t>-</t>
        </is>
      </c>
      <c r="L90" s="15" t="inlineStr">
        <is>
          <t>Yêu cầu 1: 409 'Cộng đồng công khai, bạn có thể tham gia trực tiếp'; yêu cầu 2: 409 'Bạn đã là thành viên của cộng đồng này'</t>
        </is>
      </c>
      <c r="M90" s="15" t="inlineStr"/>
      <c r="N90" s="18" t="inlineStr">
        <is>
          <t>Chưa test</t>
        </is>
      </c>
      <c r="O90" s="15" t="inlineStr"/>
      <c r="P90" s="15" t="inlineStr"/>
      <c r="Q90" s="18" t="inlineStr">
        <is>
          <t>Chưa test</t>
        </is>
      </c>
      <c r="R90" s="15" t="inlineStr"/>
    </row>
    <row r="91" ht="30" customHeight="1">
      <c r="A91" s="14" t="inlineStr">
        <is>
          <t>TC-COMM-090</t>
        </is>
      </c>
      <c r="B91" s="15" t="inlineStr">
        <is>
          <t>Cộng đồng</t>
        </is>
      </c>
      <c r="C91" s="15" t="inlineStr">
        <is>
          <t>Yêu cầu tham gia (cộng đồng riêng tư)</t>
        </is>
      </c>
      <c r="D91" s="15" t="inlineStr">
        <is>
          <t>Người bị cấm gửi yêu cầu tham gia: 403</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91" s="15" t="inlineStr">
        <is>
          <t>1. Đăng nhập member3@
2. POST /api/courses/qa-fixture-x/join-requests {}</t>
        </is>
      </c>
      <c r="K91" s="15" t="inlineStr">
        <is>
          <t>-</t>
        </is>
      </c>
      <c r="L91" s="15" t="inlineStr">
        <is>
          <t>403 FORBIDDEN, message 'Bạn đã bị cấm khỏi cộng đồng này'</t>
        </is>
      </c>
      <c r="M91" s="15" t="inlineStr"/>
      <c r="N91" s="18" t="inlineStr">
        <is>
          <t>Chưa test</t>
        </is>
      </c>
      <c r="O91" s="15" t="inlineStr"/>
      <c r="P91" s="15" t="inlineStr"/>
      <c r="Q91" s="18" t="inlineStr">
        <is>
          <t>Chưa test</t>
        </is>
      </c>
      <c r="R91" s="15" t="inlineStr"/>
    </row>
    <row r="92" ht="45" customHeight="1">
      <c r="A92" s="14" t="inlineStr">
        <is>
          <t>TC-COMM-091</t>
        </is>
      </c>
      <c r="B92" s="15" t="inlineStr">
        <is>
          <t>Cộng đồng</t>
        </is>
      </c>
      <c r="C92" s="15" t="inlineStr">
        <is>
          <t>Yêu cầu tham gia (cộng đồng riêng tư)</t>
        </is>
      </c>
      <c r="D92" s="15" t="inlineStr">
        <is>
          <t>Người xin hủy yêu cầu của chính mình</t>
        </is>
      </c>
      <c r="E92" s="15" t="inlineStr">
        <is>
          <t>Chức năng</t>
        </is>
      </c>
      <c r="F92" s="16" t="inlineStr">
        <is>
          <t>Cao</t>
        </is>
      </c>
      <c r="G92" s="17" t="inlineStr">
        <is>
          <t>Đã hoàn thiện</t>
        </is>
      </c>
      <c r="H92" s="17" t="inlineStr">
        <is>
          <t>Có</t>
        </is>
      </c>
      <c r="I92"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92" s="15" t="inlineStr">
        <is>
          <t>1. DELETE /api/join-requests/&lt;id&gt;
2. GET join-requests?status=pending bằng owner@
3. POST lại join-requests</t>
        </is>
      </c>
      <c r="K92" s="15" t="inlineStr">
        <is>
          <t>-</t>
        </is>
      </c>
      <c r="L92" s="15" t="inlineStr">
        <is>
          <t>DELETE 200 {cancelled:true}; yêu cầu biến khỏi danh sách; gửi lại được (201)</t>
        </is>
      </c>
      <c r="M92" s="15" t="inlineStr"/>
      <c r="N92" s="18" t="inlineStr">
        <is>
          <t>Chưa test</t>
        </is>
      </c>
      <c r="O92" s="15" t="inlineStr"/>
      <c r="P92" s="15" t="inlineStr"/>
      <c r="Q92" s="18" t="inlineStr">
        <is>
          <t>Chưa test</t>
        </is>
      </c>
      <c r="R92" s="15" t="inlineStr"/>
    </row>
    <row r="93" ht="45" customHeight="1">
      <c r="A93" s="14" t="inlineStr">
        <is>
          <t>TC-COMM-092</t>
        </is>
      </c>
      <c r="B93" s="15" t="inlineStr">
        <is>
          <t>Cộng đồng</t>
        </is>
      </c>
      <c r="C93" s="15" t="inlineStr">
        <is>
          <t>Yêu cầu tham gia (cộng đồng riêng tư)</t>
        </is>
      </c>
      <c r="D93" s="15" t="inlineStr">
        <is>
          <t>Không hủy được yêu cầu của người khác (IDOR): 404</t>
        </is>
      </c>
      <c r="E93" s="15" t="inlineStr">
        <is>
          <t>Bảo mật</t>
        </is>
      </c>
      <c r="F93" s="16" t="inlineStr">
        <is>
          <t>Cao</t>
        </is>
      </c>
      <c r="G93" s="17" t="inlineStr">
        <is>
          <t>Đã hoàn thiện</t>
        </is>
      </c>
      <c r="H93" s="17" t="inlineStr">
        <is>
          <t>Có</t>
        </is>
      </c>
      <c r="I93" s="15" t="inlineStr">
        <is>
          <t>Đã chạy npm run db:seed (BE :4000, FE :5173); mật khẩu chung mọi tài khoản seed là Passw0rd!x; PLATFORM_ADMIN_EMAILS chứa admin@sofinhub.test; đăng nhập API: POST /api/auth/login rồi gửi header Authorization: Bearer &lt;accessToken&gt;</t>
        </is>
      </c>
      <c r="J93" s="15" t="inlineStr">
        <is>
          <t>1. Đăng nhập member3@
2. DELETE /api/join-requests/seed-jr-private-demo-newbie
3. Đăng nhập owner@ (admin cộng đồng) DELETE cùng id</t>
        </is>
      </c>
      <c r="K93" s="15" t="inlineStr">
        <is>
          <t>-</t>
        </is>
      </c>
      <c r="L93" s="15" t="inlineStr">
        <is>
          <t>Cả hai nhận 404 NOT_FOUND 'Không tìm thấy yêu cầu tham gia' (chỉ chính người xin hủy được, kể cả Owner cũng không); yêu cầu vẫn pending</t>
        </is>
      </c>
      <c r="M93" s="15" t="inlineStr"/>
      <c r="N93" s="18" t="inlineStr">
        <is>
          <t>Chưa test</t>
        </is>
      </c>
      <c r="O93" s="15" t="inlineStr"/>
      <c r="P93" s="15" t="inlineStr"/>
      <c r="Q93" s="18" t="inlineStr">
        <is>
          <t>Chưa test</t>
        </is>
      </c>
      <c r="R93" s="15" t="inlineStr"/>
    </row>
    <row r="94" ht="30" customHeight="1">
      <c r="A94" s="14" t="inlineStr">
        <is>
          <t>TC-COMM-093</t>
        </is>
      </c>
      <c r="B94" s="15" t="inlineStr">
        <is>
          <t>Cộng đồng</t>
        </is>
      </c>
      <c r="C94" s="15" t="inlineStr">
        <is>
          <t>Yêu cầu tham gia (cộng đồng riêng tư)</t>
        </is>
      </c>
      <c r="D94" s="15" t="inlineStr">
        <is>
          <t>Hủy yêu cầu đã được xử lý: 409</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94" s="15" t="inlineStr">
        <is>
          <t>1. member2@ DELETE /api/join-requests/&lt;id&gt;</t>
        </is>
      </c>
      <c r="K94" s="15" t="inlineStr">
        <is>
          <t>-</t>
        </is>
      </c>
      <c r="L94" s="15" t="inlineStr">
        <is>
          <t>409 CONFLICT, message 'Yêu cầu này đã được xử lý, không thể hủy'; FE báo đã xử lý và cho phép gửi lại</t>
        </is>
      </c>
      <c r="M94" s="15" t="inlineStr"/>
      <c r="N94" s="18" t="inlineStr">
        <is>
          <t>Chưa test</t>
        </is>
      </c>
      <c r="O94" s="15" t="inlineStr"/>
      <c r="P94" s="15" t="inlineStr"/>
      <c r="Q94" s="18" t="inlineStr">
        <is>
          <t>Chưa test</t>
        </is>
      </c>
      <c r="R94" s="15" t="inlineStr"/>
    </row>
    <row r="95" ht="60" customHeight="1">
      <c r="A95" s="14" t="inlineStr">
        <is>
          <t>TC-COMM-094</t>
        </is>
      </c>
      <c r="B95" s="15" t="inlineStr">
        <is>
          <t>Cộng đồng</t>
        </is>
      </c>
      <c r="C95" s="15" t="inlineStr">
        <is>
          <t>Yêu cầu tham gia (cộng đồng riêng tư)</t>
        </is>
      </c>
      <c r="D95" s="15" t="inlineStr">
        <is>
          <t>Owner duyệt yêu cầu của newbie: thành viên mới, thông báo member_joined</t>
        </is>
      </c>
      <c r="E95" s="15" t="inlineStr">
        <is>
          <t>Chức năng</t>
        </is>
      </c>
      <c r="F95" s="16" t="inlineStr">
        <is>
          <t>Cao</t>
        </is>
      </c>
      <c r="G95" s="17" t="inlineStr">
        <is>
          <t>Đã hoàn thiện</t>
        </is>
      </c>
      <c r="H95" s="17" t="inlineStr">
        <is>
          <t>Có</t>
        </is>
      </c>
      <c r="I95"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95" s="15" t="inlineStr">
        <is>
          <t>1. Đăng nhập owner@
2. POST /api/join-requests/seed-jr-private-demo-newbie/approve
3. Đăng nhập newbie@ GET /api/courses/private-demo/members
4. newbie@ GET /api/notifications</t>
        </is>
      </c>
      <c r="K95" s="15" t="inlineStr">
        <is>
          <t>-</t>
        </is>
      </c>
      <c r="L95" s="15" t="inlineStr">
        <is>
          <t>200 status='approved'; newbie truy cập được private-demo (roleDetail 'member'); newbie có thông báo type 'member_joined' 'Yêu cầu tham gia được chấp nhận', link /courses/private-demo/community; owner@ có thông báo 'Thành viên mới'. Ghi chú: thay đổi dữ liệu seed, cần db:seed lại</t>
        </is>
      </c>
      <c r="M95" s="15" t="inlineStr"/>
      <c r="N95" s="18" t="inlineStr">
        <is>
          <t>Chưa test</t>
        </is>
      </c>
      <c r="O95" s="15" t="inlineStr"/>
      <c r="P95" s="15" t="inlineStr"/>
      <c r="Q95" s="18" t="inlineStr">
        <is>
          <t>Chưa test</t>
        </is>
      </c>
      <c r="R95" s="15" t="inlineStr"/>
    </row>
    <row r="96" ht="45" customHeight="1">
      <c r="A96" s="14" t="inlineStr">
        <is>
          <t>TC-COMM-095</t>
        </is>
      </c>
      <c r="B96" s="15" t="inlineStr">
        <is>
          <t>Cộng đồng</t>
        </is>
      </c>
      <c r="C96" s="15" t="inlineStr">
        <is>
          <t>Yêu cầu tham gia (cộng đồng riêng tư)</t>
        </is>
      </c>
      <c r="D96" s="15" t="inlineStr">
        <is>
          <t>Owner từ chối yêu cầu: không được ghi danh, có thông báo, gửi lại được</t>
        </is>
      </c>
      <c r="E96" s="15" t="inlineStr">
        <is>
          <t>Chức năng</t>
        </is>
      </c>
      <c r="F96" s="16" t="inlineStr">
        <is>
          <t>Cao</t>
        </is>
      </c>
      <c r="G96" s="17" t="inlineStr">
        <is>
          <t>Đã hoàn thiện</t>
        </is>
      </c>
      <c r="H96" s="17" t="inlineStr">
        <is>
          <t>Có</t>
        </is>
      </c>
      <c r="I96"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96" s="15" t="inlineStr">
        <is>
          <t>1. owner@ POST /api/join-requests/seed-jr-private-demo-member1/reject
2. member1@ GET /api/courses/private-demo/members
3. member1@ POST /join-requests lần nữa</t>
        </is>
      </c>
      <c r="K96" s="15" t="inlineStr">
        <is>
          <t>-</t>
        </is>
      </c>
      <c r="L96" s="15" t="inlineStr">
        <is>
          <t>200 status='rejected'; member1@ vẫn 403 'Bạn cần tham gia cộng đồng này trước'; nhận thông báo type 'system' 'Yêu cầu tham gia bị từ chối'; gửi lại được 201</t>
        </is>
      </c>
      <c r="M96" s="15" t="inlineStr"/>
      <c r="N96" s="18" t="inlineStr">
        <is>
          <t>Chưa test</t>
        </is>
      </c>
      <c r="O96" s="15" t="inlineStr"/>
      <c r="P96" s="15" t="inlineStr"/>
      <c r="Q96" s="18" t="inlineStr">
        <is>
          <t>Chưa test</t>
        </is>
      </c>
      <c r="R96" s="15" t="inlineStr"/>
    </row>
    <row r="97" ht="45" customHeight="1">
      <c r="A97" s="14" t="inlineStr">
        <is>
          <t>TC-COMM-096</t>
        </is>
      </c>
      <c r="B97" s="15" t="inlineStr">
        <is>
          <t>Cộng đồng</t>
        </is>
      </c>
      <c r="C97" s="15" t="inlineStr">
        <is>
          <t>Yêu cầu tham gia (cộng đồng riêng tư)</t>
        </is>
      </c>
      <c r="D97" s="15" t="inlineStr">
        <is>
          <t>Duyệt/từ chối yêu cầu đã xử lý: 409; id không tồn tại: 404</t>
        </is>
      </c>
      <c r="E97" s="15" t="inlineStr">
        <is>
          <t>Chức năng</t>
        </is>
      </c>
      <c r="F97" s="20" t="inlineStr">
        <is>
          <t>Trung bình</t>
        </is>
      </c>
      <c r="G97" s="17" t="inlineStr">
        <is>
          <t>Đã hoàn thiện</t>
        </is>
      </c>
      <c r="H97" s="17" t="inlineStr">
        <is>
          <t>Có</t>
        </is>
      </c>
      <c r="I97"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97" s="15" t="inlineStr">
        <is>
          <t>1. owner@ POST approve lần 2
2. owner@ POST reject cùng id
3. owner@ POST /api/join-requests/khong-co/approve</t>
        </is>
      </c>
      <c r="K97" s="15" t="inlineStr">
        <is>
          <t>-</t>
        </is>
      </c>
      <c r="L97" s="15" t="inlineStr">
        <is>
          <t>Hai yêu cầu đầu 409 'Yêu cầu này đã được xử lý'; id lạ 404 'Không tìm thấy yêu cầu tham gia'</t>
        </is>
      </c>
      <c r="M97" s="15" t="inlineStr"/>
      <c r="N97" s="18" t="inlineStr">
        <is>
          <t>Chưa test</t>
        </is>
      </c>
      <c r="O97" s="15" t="inlineStr"/>
      <c r="P97" s="15" t="inlineStr"/>
      <c r="Q97" s="18" t="inlineStr">
        <is>
          <t>Chưa test</t>
        </is>
      </c>
      <c r="R97" s="15" t="inlineStr"/>
    </row>
    <row r="98" ht="60" customHeight="1">
      <c r="A98" s="14" t="inlineStr">
        <is>
          <t>TC-COMM-097</t>
        </is>
      </c>
      <c r="B98" s="15" t="inlineStr">
        <is>
          <t>Cộng đồng</t>
        </is>
      </c>
      <c r="C98" s="15" t="inlineStr">
        <is>
          <t>Yêu cầu tham gia (cộng đồng riêng tư)</t>
        </is>
      </c>
      <c r="D98" s="15" t="inlineStr">
        <is>
          <t>Chỉ Admin trở lên của đúng cộng đồng mới duyệt được (IDOR chéo cộng đồng)</t>
        </is>
      </c>
      <c r="E98" s="15" t="inlineStr">
        <is>
          <t>Bảo mật</t>
        </is>
      </c>
      <c r="F98" s="16" t="inlineStr">
        <is>
          <t>Cao</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98" s="15" t="inlineStr">
        <is>
          <t>1. Đăng nhập member1@ (Admin của X nhưng không thuộc private-demo)
2. POST /api/join-requests/seed-jr-private-demo-newbie/approve
3. Đăng nhập member3@ (Member X) thử cùng thao tác
4. GET /api/courses/private-demo/join-requests bằng cả hai</t>
        </is>
      </c>
      <c r="K98" s="15" t="inlineStr">
        <is>
          <t>-</t>
        </is>
      </c>
      <c r="L98" s="15" t="inlineStr">
        <is>
          <t>Approve và GET đều 403 FORBIDDEN, message 'Bạn không có quyền thực hiện thao tác này trong cộng đồng'; yêu cầu vẫn pending (quyền tính theo cộng đồng của yêu cầu, không theo cộng đồng khác)</t>
        </is>
      </c>
      <c r="M98" s="15" t="inlineStr"/>
      <c r="N98" s="18" t="inlineStr">
        <is>
          <t>Chưa test</t>
        </is>
      </c>
      <c r="O98" s="15" t="inlineStr"/>
      <c r="P98" s="15" t="inlineStr"/>
      <c r="Q98" s="18" t="inlineStr">
        <is>
          <t>Chưa test</t>
        </is>
      </c>
      <c r="R98" s="15" t="inlineStr"/>
    </row>
    <row r="99" ht="60" customHeight="1">
      <c r="A99" s="14" t="inlineStr">
        <is>
          <t>TC-COMM-098</t>
        </is>
      </c>
      <c r="B99" s="15" t="inlineStr">
        <is>
          <t>Cộng đồng</t>
        </is>
      </c>
      <c r="C99" s="15" t="inlineStr">
        <is>
          <t>Yêu cầu tham gia (cộng đồng riêng tư)</t>
        </is>
      </c>
      <c r="D99" s="15" t="inlineStr">
        <is>
          <t>Danh sách yêu cầu: lọc theo trạng thái và trường user; status lạ bị từ chối</t>
        </is>
      </c>
      <c r="E99" s="15" t="inlineStr">
        <is>
          <t>Chức năng</t>
        </is>
      </c>
      <c r="F99" s="20" t="inlineStr">
        <is>
          <t>Trung bình</t>
        </is>
      </c>
      <c r="G99" s="17" t="inlineStr">
        <is>
          <t>Đã hoàn thiện</t>
        </is>
      </c>
      <c r="H99" s="17" t="inlineStr">
        <is>
          <t>Có</t>
        </is>
      </c>
      <c r="I99"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99" s="15" t="inlineStr">
        <is>
          <t>1. GET /api/courses/private-demo/join-requests
2. ?status=pending
3. ?status=approved
4. ?status=all</t>
        </is>
      </c>
      <c r="K99" s="15" t="inlineStr">
        <is>
          <t>status: (bỏ trống)/pending/approved/all</t>
        </is>
      </c>
      <c r="L99" s="15" t="inlineStr">
        <is>
          <t>Mặc định và pending trả 2 dòng, mỗi dòng có user {id,name} (newbie 'Nam Newbie', member1 'Minh Member1') và message seed; approved trả mảng rỗng khi chưa duyệt; status=all -&gt; 400 VALIDATION_ERROR</t>
        </is>
      </c>
      <c r="M99" s="15" t="inlineStr"/>
      <c r="N99" s="18" t="inlineStr">
        <is>
          <t>Chưa test</t>
        </is>
      </c>
      <c r="O99" s="15" t="inlineStr"/>
      <c r="P99" s="15" t="inlineStr"/>
      <c r="Q99" s="18" t="inlineStr">
        <is>
          <t>Chưa test</t>
        </is>
      </c>
      <c r="R99" s="15" t="inlineStr"/>
    </row>
    <row r="100" ht="30" customHeight="1">
      <c r="A100" s="14" t="inlineStr">
        <is>
          <t>TC-COMM-099</t>
        </is>
      </c>
      <c r="B100" s="15" t="inlineStr">
        <is>
          <t>Cộng đồng</t>
        </is>
      </c>
      <c r="C100" s="15" t="inlineStr">
        <is>
          <t>Yêu cầu tham gia (cộng đồng riêng tư)</t>
        </is>
      </c>
      <c r="D100" s="15" t="inlineStr">
        <is>
          <t>Duyệt yêu cầu của người đã bị cấm: 409</t>
        </is>
      </c>
      <c r="E100" s="15" t="inlineStr">
        <is>
          <t>Chức năng</t>
        </is>
      </c>
      <c r="F100" s="20" t="inlineStr">
        <is>
          <t>Trung bình</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 X riêng tư; member3@ gửi yêu cầu rồi bị owner@ cấm trước khi duyệt</t>
        </is>
      </c>
      <c r="J100" s="15" t="inlineStr">
        <is>
          <t>1. owner@ POST /api/join-requests/&lt;id member3&gt;/approve</t>
        </is>
      </c>
      <c r="K100" s="15" t="inlineStr">
        <is>
          <t>-</t>
        </is>
      </c>
      <c r="L100" s="15" t="inlineStr">
        <is>
          <t>409 CONFLICT, message 'Người này đã bị cấm khỏi cộng đồng'; yêu cầu vẫn pending</t>
        </is>
      </c>
      <c r="M100" s="15" t="inlineStr"/>
      <c r="N100" s="18" t="inlineStr">
        <is>
          <t>Chưa test</t>
        </is>
      </c>
      <c r="O100" s="15" t="inlineStr"/>
      <c r="P100" s="15" t="inlineStr"/>
      <c r="Q100" s="18" t="inlineStr">
        <is>
          <t>Chưa test</t>
        </is>
      </c>
      <c r="R100" s="15" t="inlineStr"/>
    </row>
    <row r="101" ht="30" customHeight="1">
      <c r="A101" s="14" t="inlineStr">
        <is>
          <t>TC-COMM-100</t>
        </is>
      </c>
      <c r="B101" s="15" t="inlineStr">
        <is>
          <t>Cộng đồng</t>
        </is>
      </c>
      <c r="C101" s="15" t="inlineStr">
        <is>
          <t>Yêu cầu tham gia (cộng đồng riêng tư)</t>
        </is>
      </c>
      <c r="D101" s="15" t="inlineStr">
        <is>
          <t>Nhận lời mời khi đang có yêu cầu chờ: yêu cầu tự chuyển sang approved</t>
        </is>
      </c>
      <c r="E101" s="15" t="inlineStr">
        <is>
          <t>Chức năng</t>
        </is>
      </c>
      <c r="F101" s="20" t="inlineStr">
        <is>
          <t>Trung bình</t>
        </is>
      </c>
      <c r="G101" s="17" t="inlineStr">
        <is>
          <t>Đã hoàn thiện</t>
        </is>
      </c>
      <c r="H101" s="17" t="inlineStr">
        <is>
          <t>Có</t>
        </is>
      </c>
      <c r="I101"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101" s="15" t="inlineStr">
        <is>
          <t>1. newbie@ POST /api/invites/DEMO-VALID/accept
2. owner@ GET join-requests?status=pending và ?status=approved</t>
        </is>
      </c>
      <c r="K101" s="15" t="inlineStr">
        <is>
          <t>-</t>
        </is>
      </c>
      <c r="L101" s="15" t="inlineStr">
        <is>
          <t>accept 200 {courseId:'private-demo', joined:true}; yêu cầu của newbie không còn pending mà thành approved (dọn yêu cầu chờ)</t>
        </is>
      </c>
      <c r="M101" s="15" t="inlineStr"/>
      <c r="N101" s="18" t="inlineStr">
        <is>
          <t>Chưa test</t>
        </is>
      </c>
      <c r="O101" s="15" t="inlineStr"/>
      <c r="P101" s="15" t="inlineStr"/>
      <c r="Q101" s="18" t="inlineStr">
        <is>
          <t>Chưa test</t>
        </is>
      </c>
      <c r="R101" s="15" t="inlineStr"/>
    </row>
    <row r="102" ht="45" customHeight="1">
      <c r="A102" s="14" t="inlineStr">
        <is>
          <t>TC-COMM-101</t>
        </is>
      </c>
      <c r="B102" s="15" t="inlineStr">
        <is>
          <t>Cộng đồng</t>
        </is>
      </c>
      <c r="C102" s="15" t="inlineStr">
        <is>
          <t>Lời mời tham gia</t>
        </is>
      </c>
      <c r="D102" s="15" t="inlineStr">
        <is>
          <t>Admin tạo lời mời không giới hạn: mã 12 ký tự ngẫu nhiên</t>
        </is>
      </c>
      <c r="E102" s="15" t="inlineStr">
        <is>
          <t>Chức năng</t>
        </is>
      </c>
      <c r="F102" s="16" t="inlineStr">
        <is>
          <t>Cao</t>
        </is>
      </c>
      <c r="G102" s="17" t="inlineStr">
        <is>
          <t>Đã hoàn thiện</t>
        </is>
      </c>
      <c r="H102" s="17" t="inlineStr">
        <is>
          <t>Có</t>
        </is>
      </c>
      <c r="I10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2" s="15" t="inlineStr">
        <is>
          <t>1. Đăng nhập member1@ (Admin X)
2. POST /api/courses/qa-fixture-x/invites {}
3. Tạo thêm 5 lời mời và so sánh mã</t>
        </is>
      </c>
      <c r="K102" s="15" t="inlineStr">
        <is>
          <t>{}</t>
        </is>
      </c>
      <c r="L102" s="15" t="inlineStr">
        <is>
          <t>201 data.code dài 12 ký tự base64url (72 bit), maxUses=null, usedCount=0, expiresAt=null, revokedAt=null; 6 mã đều khác nhau</t>
        </is>
      </c>
      <c r="M102" s="15" t="inlineStr"/>
      <c r="N102" s="18" t="inlineStr">
        <is>
          <t>Chưa test</t>
        </is>
      </c>
      <c r="O102" s="15" t="inlineStr"/>
      <c r="P102" s="15" t="inlineStr"/>
      <c r="Q102" s="18" t="inlineStr">
        <is>
          <t>Chưa test</t>
        </is>
      </c>
      <c r="R102" s="15" t="inlineStr"/>
    </row>
    <row r="103" ht="30" customHeight="1">
      <c r="A103" s="14" t="inlineStr">
        <is>
          <t>TC-COMM-102</t>
        </is>
      </c>
      <c r="B103" s="15" t="inlineStr">
        <is>
          <t>Cộng đồng</t>
        </is>
      </c>
      <c r="C103" s="15" t="inlineStr">
        <is>
          <t>Lời mời tham gia</t>
        </is>
      </c>
      <c r="D103" s="15" t="inlineStr">
        <is>
          <t>Biên số lượt tối đa: 1 và 100000 hợp lệ; 0, 100001, 1.5, '5' bị từ chối</t>
        </is>
      </c>
      <c r="E103" s="15" t="inlineStr">
        <is>
          <t>Chức năng</t>
        </is>
      </c>
      <c r="F103" s="20" t="inlineStr">
        <is>
          <t>Trung bình</t>
        </is>
      </c>
      <c r="G103" s="17" t="inlineStr">
        <is>
          <t>Đã hoàn thiện</t>
        </is>
      </c>
      <c r="H103" s="17" t="inlineStr">
        <is>
          <t>Có</t>
        </is>
      </c>
      <c r="I10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3" s="15" t="inlineStr">
        <is>
          <t>1. Đăng nhập owner@
2. POST invites lần lượt với maxUses 1, 100000, 0, 100001, 1.5, '5'</t>
        </is>
      </c>
      <c r="K103" s="15" t="inlineStr">
        <is>
          <t>maxUses các giá trị</t>
        </is>
      </c>
      <c r="L103" s="15" t="inlineStr">
        <is>
          <t>1 và 100000 -&gt; 201; 0, 100001, 1.5, '5' -&gt; 400 VALIDATION_ERROR (fieldErrors.maxUses)</t>
        </is>
      </c>
      <c r="M103" s="15" t="inlineStr"/>
      <c r="N103" s="18" t="inlineStr">
        <is>
          <t>Chưa test</t>
        </is>
      </c>
      <c r="O103" s="15" t="inlineStr"/>
      <c r="P103" s="15" t="inlineStr"/>
      <c r="Q103" s="18" t="inlineStr">
        <is>
          <t>Chưa test</t>
        </is>
      </c>
      <c r="R103" s="15" t="inlineStr"/>
    </row>
    <row r="104" ht="75" customHeight="1">
      <c r="A104" s="14" t="inlineStr">
        <is>
          <t>TC-COMM-103</t>
        </is>
      </c>
      <c r="B104" s="15" t="inlineStr">
        <is>
          <t>Cộng đồng</t>
        </is>
      </c>
      <c r="C104" s="15" t="inlineStr">
        <is>
          <t>Lời mời tham gia</t>
        </is>
      </c>
      <c r="D104" s="15" t="inlineStr">
        <is>
          <t>Hạn dùng lời mời: tương lai hợp lệ; quá khứ, sai định dạng, thiếu múi giờ bị từ chối</t>
        </is>
      </c>
      <c r="E104" s="15" t="inlineStr">
        <is>
          <t>Chức năng</t>
        </is>
      </c>
      <c r="F104" s="20" t="inlineStr">
        <is>
          <t>Trung bình</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4" s="15" t="inlineStr">
        <is>
          <t>1. Đăng nhập owner@
2. POST expiresAt = hiện tại + 1 ngày (ISO có Z)
3. expiresAt = hiện tại - 1 giờ
4. expiresAt='abc'
5. expiresAt='2035-01-01T00:00:00' (không offset)</t>
        </is>
      </c>
      <c r="K104" s="15" t="inlineStr">
        <is>
          <t>expiresAt các giá trị</t>
        </is>
      </c>
      <c r="L104" s="15" t="inlineStr">
        <is>
          <t>Tương lai -&gt; 201; quá khứ -&gt; 400 'Hạn dùng phải ở tương lai'; 'abc' -&gt; 400 'Hạn dùng không hợp lệ'; không offset -&gt; 400</t>
        </is>
      </c>
      <c r="M104" s="15" t="inlineStr"/>
      <c r="N104" s="18" t="inlineStr">
        <is>
          <t>Chưa test</t>
        </is>
      </c>
      <c r="O104" s="15" t="inlineStr"/>
      <c r="P104" s="15" t="inlineStr"/>
      <c r="Q104" s="18" t="inlineStr">
        <is>
          <t>Chưa test</t>
        </is>
      </c>
      <c r="R104" s="15" t="inlineStr"/>
    </row>
    <row r="105" ht="30" customHeight="1">
      <c r="A105" s="14" t="inlineStr">
        <is>
          <t>TC-COMM-104</t>
        </is>
      </c>
      <c r="B105" s="15" t="inlineStr">
        <is>
          <t>Cộng đồng</t>
        </is>
      </c>
      <c r="C105" s="15" t="inlineStr">
        <is>
          <t>Lời mời tham gia</t>
        </is>
      </c>
      <c r="D105" s="15" t="inlineStr">
        <is>
          <t>Xem trước lời mời DEMO-VALID không cần đăng nhập</t>
        </is>
      </c>
      <c r="E105" s="15" t="inlineStr">
        <is>
          <t>Chức năng</t>
        </is>
      </c>
      <c r="F105" s="16" t="inlineStr">
        <is>
          <t>Cao</t>
        </is>
      </c>
      <c r="G105" s="17" t="inlineStr">
        <is>
          <t>Đã hoàn thiện</t>
        </is>
      </c>
      <c r="H105" s="17" t="inlineStr">
        <is>
          <t>Có</t>
        </is>
      </c>
      <c r="I105"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105" s="15" t="inlineStr">
        <is>
          <t>1. GET /api/invites/DEMO-VALID</t>
        </is>
      </c>
      <c r="K105" s="15" t="inlineStr">
        <is>
          <t>-</t>
        </is>
      </c>
      <c r="L105" s="15" t="inlineStr">
        <is>
          <t>200 data={code:'DEMO-VALID', course:{id:'private-demo', title:'Cộng đồng riêng tư (demo)', thumbnail, members, visibility:'private', priceUsd:0}, expiresAt (~+30 ngày), remainingUses:5}; không lộ createdBy hay danh sách thành viên</t>
        </is>
      </c>
      <c r="M105" s="15" t="inlineStr"/>
      <c r="N105" s="18" t="inlineStr">
        <is>
          <t>Chưa test</t>
        </is>
      </c>
      <c r="O105" s="15" t="inlineStr"/>
      <c r="P105" s="15" t="inlineStr"/>
      <c r="Q105" s="18" t="inlineStr">
        <is>
          <t>Chưa test</t>
        </is>
      </c>
      <c r="R105" s="15" t="inlineStr"/>
    </row>
    <row r="106" ht="45" customHeight="1">
      <c r="A106" s="14" t="inlineStr">
        <is>
          <t>TC-COMM-105</t>
        </is>
      </c>
      <c r="B106" s="15" t="inlineStr">
        <is>
          <t>Cộng đồng</t>
        </is>
      </c>
      <c r="C106" s="15" t="inlineStr">
        <is>
          <t>Lời mời tham gia</t>
        </is>
      </c>
      <c r="D106" s="15" t="inlineStr">
        <is>
          <t>DEMO-EXPIRED: xem trước và nhận đều 410 INVITE_EXPIRED</t>
        </is>
      </c>
      <c r="E106" s="15" t="inlineStr">
        <is>
          <t>Chức năng</t>
        </is>
      </c>
      <c r="F106" s="16" t="inlineStr">
        <is>
          <t>Cao</t>
        </is>
      </c>
      <c r="G106" s="17" t="inlineStr">
        <is>
          <t>Đã hoàn thiện</t>
        </is>
      </c>
      <c r="H106" s="17" t="inlineStr">
        <is>
          <t>Có</t>
        </is>
      </c>
      <c r="I106"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106" s="15" t="inlineStr">
        <is>
          <t>1. GET /api/invites/DEMO-EXPIRED
2. newbie@ POST /api/invites/DEMO-EXPIRED/accept
3. Mở /invite/DEMO-EXPIRED trên FE</t>
        </is>
      </c>
      <c r="K106" s="15" t="inlineStr">
        <is>
          <t>-</t>
        </is>
      </c>
      <c r="L106" s="15" t="inlineStr">
        <is>
          <t>Cả hai API 410, error.code='INVITE_EXPIRED', message 'Lời mời đã hết hạn'; FE hiện màn hình 'Lời mời đã hết hạn'; newbie chưa thành viên</t>
        </is>
      </c>
      <c r="M106" s="15" t="inlineStr"/>
      <c r="N106" s="18" t="inlineStr">
        <is>
          <t>Chưa test</t>
        </is>
      </c>
      <c r="O106" s="15" t="inlineStr"/>
      <c r="P106" s="15" t="inlineStr"/>
      <c r="Q106" s="18" t="inlineStr">
        <is>
          <t>Chưa test</t>
        </is>
      </c>
      <c r="R106" s="15" t="inlineStr"/>
    </row>
    <row r="107" ht="45" customHeight="1">
      <c r="A107" s="14" t="inlineStr">
        <is>
          <t>TC-COMM-106</t>
        </is>
      </c>
      <c r="B107" s="15" t="inlineStr">
        <is>
          <t>Cộng đồng</t>
        </is>
      </c>
      <c r="C107" s="15" t="inlineStr">
        <is>
          <t>Lời mời tham gia</t>
        </is>
      </c>
      <c r="D107" s="15" t="inlineStr">
        <is>
          <t>DEMO-REVOKED: 410 INVITE_REVOKED</t>
        </is>
      </c>
      <c r="E107" s="15" t="inlineStr">
        <is>
          <t>Chức năng</t>
        </is>
      </c>
      <c r="F107" s="16" t="inlineStr">
        <is>
          <t>Cao</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107" s="15" t="inlineStr">
        <is>
          <t>1. GET /api/invites/DEMO-REVOKED
2. newbie@ POST accept
3. Mở /invite/DEMO-REVOKED</t>
        </is>
      </c>
      <c r="K107" s="15" t="inlineStr">
        <is>
          <t>-</t>
        </is>
      </c>
      <c r="L107" s="15" t="inlineStr">
        <is>
          <t>410, error.code='INVITE_REVOKED', message 'Lời mời đã bị thu hồi'; FE hiện 'Lời mời đã bị thu hồi'</t>
        </is>
      </c>
      <c r="M107" s="15" t="inlineStr"/>
      <c r="N107" s="18" t="inlineStr">
        <is>
          <t>Chưa test</t>
        </is>
      </c>
      <c r="O107" s="15" t="inlineStr"/>
      <c r="P107" s="15" t="inlineStr"/>
      <c r="Q107" s="18" t="inlineStr">
        <is>
          <t>Chưa test</t>
        </is>
      </c>
      <c r="R107" s="15" t="inlineStr"/>
    </row>
    <row r="108" ht="45" customHeight="1">
      <c r="A108" s="14" t="inlineStr">
        <is>
          <t>TC-COMM-107</t>
        </is>
      </c>
      <c r="B108" s="15" t="inlineStr">
        <is>
          <t>Cộng đồng</t>
        </is>
      </c>
      <c r="C108" s="15" t="inlineStr">
        <is>
          <t>Lời mời tham gia</t>
        </is>
      </c>
      <c r="D108" s="15" t="inlineStr">
        <is>
          <t>DEMO-USED (maxUses 1, usedCount 1): 410 INVITE_EXHAUSTED</t>
        </is>
      </c>
      <c r="E108" s="15" t="inlineStr">
        <is>
          <t>Chức năng</t>
        </is>
      </c>
      <c r="F108" s="16" t="inlineStr">
        <is>
          <t>Cao</t>
        </is>
      </c>
      <c r="G108" s="17" t="inlineStr">
        <is>
          <t>Đã hoàn thiện</t>
        </is>
      </c>
      <c r="H108" s="17" t="inlineStr">
        <is>
          <t>Có</t>
        </is>
      </c>
      <c r="I108" s="15" t="inlineStr">
        <is>
          <t>Đã chạy npm run db:seed (BE :4000, FE :5173); mật khẩu chung mọi tài khoản seed là Passw0rd!x; PLATFORM_ADMIN_EMAILS chứa admin@sofinhub.test; đăng nhập API: POST /api/auth/login rồi gửi header Authorization: Bearer &lt;accessToken&gt;. DEMO-USED</t>
        </is>
      </c>
      <c r="J108" s="15" t="inlineStr">
        <is>
          <t>1. GET /api/invites/DEMO-USED
2. newbie@ POST accept
3. Mở /invite/DEMO-USED</t>
        </is>
      </c>
      <c r="K108" s="15" t="inlineStr">
        <is>
          <t>-</t>
        </is>
      </c>
      <c r="L108" s="15" t="inlineStr">
        <is>
          <t>410, error.code='INVITE_EXHAUSTED', message 'Lời mời đã hết lượt sử dụng'; FE hiện 'Lời mời đã hết lượt sử dụng'; usedCount vẫn 1</t>
        </is>
      </c>
      <c r="M108" s="15" t="inlineStr"/>
      <c r="N108" s="18" t="inlineStr">
        <is>
          <t>Chưa test</t>
        </is>
      </c>
      <c r="O108" s="15" t="inlineStr"/>
      <c r="P108" s="15" t="inlineStr"/>
      <c r="Q108" s="18" t="inlineStr">
        <is>
          <t>Chưa test</t>
        </is>
      </c>
      <c r="R108" s="15" t="inlineStr"/>
    </row>
    <row r="109" ht="45" customHeight="1">
      <c r="A109" s="14" t="inlineStr">
        <is>
          <t>TC-COMM-108</t>
        </is>
      </c>
      <c r="B109" s="15" t="inlineStr">
        <is>
          <t>Cộng đồng</t>
        </is>
      </c>
      <c r="C109" s="15" t="inlineStr">
        <is>
          <t>Lời mời tham gia</t>
        </is>
      </c>
      <c r="D109" s="15" t="inlineStr">
        <is>
          <t>Mã lời mời không tồn tại hoặc sai hoa/thường: 404</t>
        </is>
      </c>
      <c r="E109" s="15" t="inlineStr">
        <is>
          <t>Chức năng</t>
        </is>
      </c>
      <c r="F109" s="20" t="inlineStr">
        <is>
          <t>Trung bình</t>
        </is>
      </c>
      <c r="G109" s="17" t="inlineStr">
        <is>
          <t>Đã hoàn thiện</t>
        </is>
      </c>
      <c r="H109" s="17" t="inlineStr">
        <is>
          <t>Có</t>
        </is>
      </c>
      <c r="I109" s="15" t="inlineStr">
        <is>
          <t>Đã chạy npm run db:seed (BE :4000, FE :5173); mật khẩu chung mọi tài khoản seed là Passw0rd!x; PLATFORM_ADMIN_EMAILS chứa admin@sofinhub.test; đăng nhập API: POST /api/auth/login rồi gửi header Authorization: Bearer &lt;accessToken&gt;</t>
        </is>
      </c>
      <c r="J109" s="15" t="inlineStr">
        <is>
          <t>1. GET /api/invites/KHONG-CO
2. GET /api/invites/demo-valid (viết thường)
3. newbie@ POST /api/invites/demo-valid/accept</t>
        </is>
      </c>
      <c r="K109" s="15" t="inlineStr">
        <is>
          <t>-</t>
        </is>
      </c>
      <c r="L109" s="15" t="inlineStr">
        <is>
          <t>Cả ba 404 NOT_FOUND 'Không tìm thấy lời mời' (mã phân biệt hoa/thường); FE /invite/KHONG-CO hiện 'Không tìm thấy lời mời'</t>
        </is>
      </c>
      <c r="M109" s="15" t="inlineStr"/>
      <c r="N109" s="18" t="inlineStr">
        <is>
          <t>Chưa test</t>
        </is>
      </c>
      <c r="O109" s="15" t="inlineStr"/>
      <c r="P109" s="15" t="inlineStr"/>
      <c r="Q109" s="18" t="inlineStr">
        <is>
          <t>Chưa test</t>
        </is>
      </c>
      <c r="R109" s="15" t="inlineStr"/>
    </row>
    <row r="110" ht="60" customHeight="1">
      <c r="A110" s="14" t="inlineStr">
        <is>
          <t>TC-COMM-109</t>
        </is>
      </c>
      <c r="B110" s="15" t="inlineStr">
        <is>
          <t>Cộng đồng</t>
        </is>
      </c>
      <c r="C110" s="15" t="inlineStr">
        <is>
          <t>Lời mời tham gia</t>
        </is>
      </c>
      <c r="D110" s="15" t="inlineStr">
        <is>
          <t>Nhận DEMO-VALID bỏ qua bước duyệt của cộng đồng riêng tư và trừ 1 lượt</t>
        </is>
      </c>
      <c r="E110" s="15" t="inlineStr">
        <is>
          <t>Chức năng</t>
        </is>
      </c>
      <c r="F110" s="16" t="inlineStr">
        <is>
          <t>Cao</t>
        </is>
      </c>
      <c r="G110" s="17" t="inlineStr">
        <is>
          <t>Đã hoàn thiện</t>
        </is>
      </c>
      <c r="H110" s="17" t="inlineStr">
        <is>
          <t>Có</t>
        </is>
      </c>
      <c r="I110"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110" s="15" t="inlineStr">
        <is>
          <t>1. Đăng nhập newbie@
2. POST /api/invites/DEMO-VALID/accept
3. GET /api/invites/DEMO-VALID
4. newbie@ GET /api/courses/private-demo/members</t>
        </is>
      </c>
      <c r="K110" s="15" t="inlineStr">
        <is>
          <t>-</t>
        </is>
      </c>
      <c r="L110" s="15" t="inlineStr">
        <is>
          <t>200 {courseId:'private-demo', joined:true}; preview có remainingUses=4; newbie vào được cộng đồng (roleDetail 'member'); owner@ nhận thông báo 'Thành viên mới'</t>
        </is>
      </c>
      <c r="M110" s="15" t="inlineStr"/>
      <c r="N110" s="18" t="inlineStr">
        <is>
          <t>Chưa test</t>
        </is>
      </c>
      <c r="O110" s="15" t="inlineStr"/>
      <c r="P110" s="15" t="inlineStr"/>
      <c r="Q110" s="18" t="inlineStr">
        <is>
          <t>Chưa test</t>
        </is>
      </c>
      <c r="R110" s="15" t="inlineStr"/>
    </row>
    <row r="111" ht="30" customHeight="1">
      <c r="A111" s="14" t="inlineStr">
        <is>
          <t>TC-COMM-110</t>
        </is>
      </c>
      <c r="B111" s="15" t="inlineStr">
        <is>
          <t>Cộng đồng</t>
        </is>
      </c>
      <c r="C111" s="15" t="inlineStr">
        <is>
          <t>Lời mời tham gia</t>
        </is>
      </c>
      <c r="D111" s="15" t="inlineStr">
        <is>
          <t>Nhận lời mời khi đã là thành viên: 409, không trừ lượt</t>
        </is>
      </c>
      <c r="E111" s="15" t="inlineStr">
        <is>
          <t>Chức năng</t>
        </is>
      </c>
      <c r="F111" s="20" t="inlineStr">
        <is>
          <t>Trung bình</t>
        </is>
      </c>
      <c r="G111" s="17" t="inlineStr">
        <is>
          <t>Đã hoàn thiện</t>
        </is>
      </c>
      <c r="H111" s="17" t="inlineStr">
        <is>
          <t>Có</t>
        </is>
      </c>
      <c r="I111"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111" s="15" t="inlineStr">
        <is>
          <t>1. owner@ POST /api/invites/DEMO-VALID/accept
2. GET preview kiểm tra remainingUses</t>
        </is>
      </c>
      <c r="K111" s="15" t="inlineStr">
        <is>
          <t>-</t>
        </is>
      </c>
      <c r="L111" s="15" t="inlineStr">
        <is>
          <t>409 CONFLICT 'Bạn đã là thành viên của cộng đồng này'; remainingUses không đổi</t>
        </is>
      </c>
      <c r="M111" s="15" t="inlineStr"/>
      <c r="N111" s="18" t="inlineStr">
        <is>
          <t>Chưa test</t>
        </is>
      </c>
      <c r="O111" s="15" t="inlineStr"/>
      <c r="P111" s="15" t="inlineStr"/>
      <c r="Q111" s="18" t="inlineStr">
        <is>
          <t>Chưa test</t>
        </is>
      </c>
      <c r="R111" s="15" t="inlineStr"/>
    </row>
    <row r="112" ht="45" customHeight="1">
      <c r="A112" s="14" t="inlineStr">
        <is>
          <t>TC-COMM-111</t>
        </is>
      </c>
      <c r="B112" s="15" t="inlineStr">
        <is>
          <t>Cộng đồng</t>
        </is>
      </c>
      <c r="C112" s="15" t="inlineStr">
        <is>
          <t>Lời mời tham gia</t>
        </is>
      </c>
      <c r="D112" s="15" t="inlineStr">
        <is>
          <t>DEMO-PAID: xem trước được nhưng nhận vẫn 402 PAYMENT_REQUIRED</t>
        </is>
      </c>
      <c r="E112" s="15" t="inlineStr">
        <is>
          <t>Chức năng</t>
        </is>
      </c>
      <c r="F112" s="16" t="inlineStr">
        <is>
          <t>Cao</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112" s="15" t="inlineStr">
        <is>
          <t>1. GET /api/invites/DEMO-PAID
2. newbie@ POST /api/invites/DEMO-PAID/accept
3. Mở /invite/DEMO-PAID và bấm Tham gia</t>
        </is>
      </c>
      <c r="K112" s="15" t="inlineStr">
        <is>
          <t>-</t>
        </is>
      </c>
      <c r="L112" s="15" t="inlineStr">
        <is>
          <t>Preview 200 với course.priceUsd=19, visibility='public'; accept 402 PAYMENT_REQUIRED, message 'Cộng đồng có phí: vui lòng thanh toán để tham gia', details={courseId:'paid-demo'}; usedCount không tăng; FE hiện 'Cộng đồng này có phí…' và link 'Đi tới thanh toán'</t>
        </is>
      </c>
      <c r="M112" s="15" t="inlineStr"/>
      <c r="N112" s="18" t="inlineStr">
        <is>
          <t>Chưa test</t>
        </is>
      </c>
      <c r="O112" s="15" t="inlineStr"/>
      <c r="P112" s="15" t="inlineStr"/>
      <c r="Q112" s="18" t="inlineStr">
        <is>
          <t>Chưa test</t>
        </is>
      </c>
      <c r="R112" s="15" t="inlineStr"/>
    </row>
    <row r="113" ht="30" customHeight="1">
      <c r="A113" s="14" t="inlineStr">
        <is>
          <t>TC-COMM-112</t>
        </is>
      </c>
      <c r="B113" s="15" t="inlineStr">
        <is>
          <t>Cộng đồng</t>
        </is>
      </c>
      <c r="C113" s="15" t="inlineStr">
        <is>
          <t>Lời mời tham gia</t>
        </is>
      </c>
      <c r="D113" s="15" t="inlineStr">
        <is>
          <t>Người bị cấm dùng lời mời: 403 và lượt dùng không bị trừ</t>
        </is>
      </c>
      <c r="E113" s="15" t="inlineStr">
        <is>
          <t>Bảo mật</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113" s="15" t="inlineStr">
        <is>
          <t>1. member3@ POST /api/invites/&lt;L&gt;/accept
2. GET /api/invites/&lt;L&gt;</t>
        </is>
      </c>
      <c r="K113" s="15" t="inlineStr">
        <is>
          <t>-</t>
        </is>
      </c>
      <c r="L113" s="15" t="inlineStr">
        <is>
          <t>403 FORBIDDEN 'Bạn đã bị cấm khỏi cộng đồng này'; remainingUses vẫn 3</t>
        </is>
      </c>
      <c r="M113" s="15" t="inlineStr"/>
      <c r="N113" s="18" t="inlineStr">
        <is>
          <t>Chưa test</t>
        </is>
      </c>
      <c r="O113" s="15" t="inlineStr"/>
      <c r="P113" s="15" t="inlineStr"/>
      <c r="Q113" s="18" t="inlineStr">
        <is>
          <t>Chưa test</t>
        </is>
      </c>
      <c r="R113" s="15" t="inlineStr"/>
    </row>
    <row r="114" ht="30" customHeight="1">
      <c r="A114" s="14" t="inlineStr">
        <is>
          <t>TC-COMM-113</t>
        </is>
      </c>
      <c r="B114" s="15" t="inlineStr">
        <is>
          <t>Cộng đồng</t>
        </is>
      </c>
      <c r="C114" s="15" t="inlineStr">
        <is>
          <t>Lời mời tham gia</t>
        </is>
      </c>
      <c r="D114" s="15" t="inlineStr">
        <is>
          <t>Lời mời 1 lượt bị nhiều người nhận đồng thời: chỉ một người thành công</t>
        </is>
      </c>
      <c r="E114" s="15" t="inlineStr">
        <is>
          <t>Bảo mật</t>
        </is>
      </c>
      <c r="F114" s="16" t="inlineStr">
        <is>
          <t>Cao</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114" s="15" t="inlineStr">
        <is>
          <t>1. Gửi song song 3 POST /api/invites/&lt;L&gt;/accept bằng 3 token
2. GET /api/invites/&lt;L&gt;</t>
        </is>
      </c>
      <c r="K114" s="15" t="inlineStr">
        <is>
          <t>maxUses=1</t>
        </is>
      </c>
      <c r="L114" s="15" t="inlineStr">
        <is>
          <t>Đúng 1 request 200 joined:true; 2 request còn lại 410 INVITE_EXHAUSTED 'Lời mời đã hết lượt sử dụng'; usedCount=1 (không vượt maxUses)</t>
        </is>
      </c>
      <c r="M114" s="15" t="inlineStr"/>
      <c r="N114" s="18" t="inlineStr">
        <is>
          <t>Chưa test</t>
        </is>
      </c>
      <c r="O114" s="15" t="inlineStr"/>
      <c r="P114" s="15" t="inlineStr"/>
      <c r="Q114" s="18" t="inlineStr">
        <is>
          <t>Chưa test</t>
        </is>
      </c>
      <c r="R114" s="15" t="inlineStr"/>
    </row>
    <row r="115" ht="60" customHeight="1">
      <c r="A115" s="14" t="inlineStr">
        <is>
          <t>TC-COMM-114</t>
        </is>
      </c>
      <c r="B115" s="15" t="inlineStr">
        <is>
          <t>Cộng đồng</t>
        </is>
      </c>
      <c r="C115" s="15" t="inlineStr">
        <is>
          <t>Lời mời tham gia</t>
        </is>
      </c>
      <c r="D115" s="15" t="inlineStr">
        <is>
          <t>Admin thu hồi lời mời: preview chuyển 410 INVITE_REVOKED, thu hồi lại vẫn 200</t>
        </is>
      </c>
      <c r="E115" s="15" t="inlineStr">
        <is>
          <t>Chức năng</t>
        </is>
      </c>
      <c r="F115" s="16" t="inlineStr">
        <is>
          <t>Cao</t>
        </is>
      </c>
      <c r="G115" s="17" t="inlineStr">
        <is>
          <t>Đã hoàn thiện</t>
        </is>
      </c>
      <c r="H115" s="17" t="inlineStr">
        <is>
          <t>Có</t>
        </is>
      </c>
      <c r="I115"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115" s="15" t="inlineStr">
        <is>
          <t>1. member1@ (Admin) DELETE /api/invites/&lt;L&gt;
2. GET /api/invites/&lt;L&gt;
3. DELETE /api/invites/&lt;L&gt; lần 2
4. GET /api/courses/qa-fixture-x/invites</t>
        </is>
      </c>
      <c r="K115" s="15" t="inlineStr">
        <is>
          <t>-</t>
        </is>
      </c>
      <c r="L115" s="15" t="inlineStr">
        <is>
          <t>DELETE 200 {revoked:true} (cả lần 2, idempotent); preview 410 INVITE_REVOKED; danh sách lời mời hiển thị revokedAt khác null</t>
        </is>
      </c>
      <c r="M115" s="15" t="inlineStr"/>
      <c r="N115" s="18" t="inlineStr">
        <is>
          <t>Chưa test</t>
        </is>
      </c>
      <c r="O115" s="15" t="inlineStr"/>
      <c r="P115" s="15" t="inlineStr"/>
      <c r="Q115" s="18" t="inlineStr">
        <is>
          <t>Chưa test</t>
        </is>
      </c>
      <c r="R115" s="15" t="inlineStr"/>
    </row>
    <row r="116" ht="60" customHeight="1">
      <c r="A116" s="14" t="inlineStr">
        <is>
          <t>TC-COMM-115</t>
        </is>
      </c>
      <c r="B116" s="15" t="inlineStr">
        <is>
          <t>Cộng đồng</t>
        </is>
      </c>
      <c r="C116" s="15" t="inlineStr">
        <is>
          <t>Lời mời tham gia</t>
        </is>
      </c>
      <c r="D116" s="15" t="inlineStr">
        <is>
          <t>Chỉ Admin trở lên tạo/xem/thu hồi lời mời; Mod, Member bị 403</t>
        </is>
      </c>
      <c r="E116" s="15" t="inlineStr">
        <is>
          <t>Bảo mật</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6" s="15" t="inlineStr">
        <is>
          <t>1. member2@ (Mod) POST /courses/qa-fixture-x/invites
2. member3@ GET /courses/qa-fixture-x/invites
3. member3@ DELETE /api/invites/&lt;L&gt;
4. DELETE /api/invites/KHONG-CO bằng owner@</t>
        </is>
      </c>
      <c r="K116" s="15" t="inlineStr">
        <is>
          <t>-</t>
        </is>
      </c>
      <c r="L116" s="15" t="inlineStr">
        <is>
          <t>Ba yêu cầu đầu 403 FORBIDDEN, message 'Bạn không có quyền thực hiện thao tác này trong cộng đồng'; mã không tồn tại 404 'Không tìm thấy lời mời'</t>
        </is>
      </c>
      <c r="M116" s="15" t="inlineStr"/>
      <c r="N116" s="18" t="inlineStr">
        <is>
          <t>Chưa test</t>
        </is>
      </c>
      <c r="O116" s="15" t="inlineStr"/>
      <c r="P116" s="15" t="inlineStr"/>
      <c r="Q116" s="18" t="inlineStr">
        <is>
          <t>Chưa test</t>
        </is>
      </c>
      <c r="R116" s="15" t="inlineStr"/>
    </row>
    <row r="117" ht="30" customHeight="1">
      <c r="A117" s="14" t="inlineStr">
        <is>
          <t>TC-COMM-116</t>
        </is>
      </c>
      <c r="B117" s="15" t="inlineStr">
        <is>
          <t>Cộng đồng</t>
        </is>
      </c>
      <c r="C117" s="15" t="inlineStr">
        <is>
          <t>Lời mời tham gia</t>
        </is>
      </c>
      <c r="D117" s="15" t="inlineStr">
        <is>
          <t>Danh sách lời mời hiển thị đúng usedCount và trạng thái</t>
        </is>
      </c>
      <c r="E117" s="15" t="inlineStr">
        <is>
          <t>Giao diện</t>
        </is>
      </c>
      <c r="F117" s="17" t="inlineStr">
        <is>
          <t>Thấp</t>
        </is>
      </c>
      <c r="G117" s="17" t="inlineStr">
        <is>
          <t>Đã hoàn thiện</t>
        </is>
      </c>
      <c r="H117" s="17" t="inlineStr">
        <is>
          <t>Có</t>
        </is>
      </c>
      <c r="I117"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117" s="15" t="inlineStr">
        <is>
          <t>1. GET /api/courses/private-demo/invites
2. Vào Cài đặt tab Lời mời trên FE</t>
        </is>
      </c>
      <c r="K117" s="15" t="inlineStr">
        <is>
          <t>-</t>
        </is>
      </c>
      <c r="L117" s="15" t="inlineStr">
        <is>
          <t>API trả 4 mã (DEMO-VALID, DEMO-EXPIRED, DEMO-REVOKED, DEMO-USED); FE gán trạng thái: Đang hoạt động / Đã hết hạn / Đã thu hồi / Hết lượt; DEMO-USED hiển thị 1/1; có nút Sao chép link và Thu hồi (xác nhận)</t>
        </is>
      </c>
      <c r="M117" s="15" t="inlineStr"/>
      <c r="N117" s="18" t="inlineStr">
        <is>
          <t>Chưa test</t>
        </is>
      </c>
      <c r="O117" s="15" t="inlineStr"/>
      <c r="P117" s="15" t="inlineStr"/>
      <c r="Q117" s="18" t="inlineStr">
        <is>
          <t>Chưa test</t>
        </is>
      </c>
      <c r="R117" s="15" t="inlineStr"/>
    </row>
    <row r="118" ht="30" customHeight="1">
      <c r="A118" s="14" t="inlineStr">
        <is>
          <t>TC-COMM-117</t>
        </is>
      </c>
      <c r="B118" s="15" t="inlineStr">
        <is>
          <t>Cộng đồng</t>
        </is>
      </c>
      <c r="C118" s="15" t="inlineStr">
        <is>
          <t>Lời mời tham gia</t>
        </is>
      </c>
      <c r="D118" s="15" t="inlineStr">
        <is>
          <t>Lời mời của cộng đồng đã xóa mềm trả 404</t>
        </is>
      </c>
      <c r="E118" s="15" t="inlineStr">
        <is>
          <t>Chức năng</t>
        </is>
      </c>
      <c r="F118" s="17" t="inlineStr">
        <is>
          <t>Thấp</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118" s="15" t="inlineStr">
        <is>
          <t>1. GET /api/invites/&lt;L&gt;</t>
        </is>
      </c>
      <c r="K118" s="15" t="inlineStr">
        <is>
          <t>-</t>
        </is>
      </c>
      <c r="L118" s="15" t="inlineStr">
        <is>
          <t>404 NOT_FOUND, message 'Không tìm thấy khóa học' (kiểm tra cộng đồng trước trạng thái lời mời)</t>
        </is>
      </c>
      <c r="M118" s="15" t="inlineStr"/>
      <c r="N118" s="18" t="inlineStr">
        <is>
          <t>Chưa test</t>
        </is>
      </c>
      <c r="O118" s="15" t="inlineStr"/>
      <c r="P118" s="15" t="inlineStr"/>
      <c r="Q118" s="18" t="inlineStr">
        <is>
          <t>Chưa test</t>
        </is>
      </c>
      <c r="R118" s="15" t="inlineStr"/>
    </row>
    <row r="119" ht="30" customHeight="1">
      <c r="A119" s="14" t="inlineStr">
        <is>
          <t>TC-COMM-118</t>
        </is>
      </c>
      <c r="B119" s="15" t="inlineStr">
        <is>
          <t>Cộng đồng</t>
        </is>
      </c>
      <c r="C119" s="15" t="inlineStr">
        <is>
          <t>Vai trò trong cộng đồng</t>
        </is>
      </c>
      <c r="D119" s="15" t="inlineStr">
        <is>
          <t>Owner đặt Member thành Mod, người được đổi nhận thông báo role_changed</t>
        </is>
      </c>
      <c r="E119" s="15" t="inlineStr">
        <is>
          <t>Chức năng</t>
        </is>
      </c>
      <c r="F119" s="16" t="inlineStr">
        <is>
          <t>Cao</t>
        </is>
      </c>
      <c r="G119" s="17" t="inlineStr">
        <is>
          <t>Đã hoàn thiện</t>
        </is>
      </c>
      <c r="H119" s="17" t="inlineStr">
        <is>
          <t>Có</t>
        </is>
      </c>
      <c r="I11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9" s="15" t="inlineStr">
        <is>
          <t>1. owner@ PATCH /api/courses/qa-fixture-x/members/&lt;id member3&gt;/role {role:'mod'}
2. member3@ GET /api/notifications</t>
        </is>
      </c>
      <c r="K119" s="15" t="inlineStr">
        <is>
          <t>role='mod'</t>
        </is>
      </c>
      <c r="L119" s="15" t="inlineStr">
        <is>
          <t>200 {userId, role:'mod'}; danh sách thành viên roleDetail='mod', role='admin' (FE quản trị); thông báo type 'role_changed' nội dung 'Bạn hiện là điều hành viên của "QA Fixture X"'</t>
        </is>
      </c>
      <c r="M119" s="15" t="inlineStr"/>
      <c r="N119" s="18" t="inlineStr">
        <is>
          <t>Chưa test</t>
        </is>
      </c>
      <c r="O119" s="15" t="inlineStr"/>
      <c r="P119" s="15" t="inlineStr"/>
      <c r="Q119" s="18" t="inlineStr">
        <is>
          <t>Chưa test</t>
        </is>
      </c>
      <c r="R119" s="15" t="inlineStr"/>
    </row>
    <row r="120" ht="30" customHeight="1">
      <c r="A120" s="14" t="inlineStr">
        <is>
          <t>TC-COMM-119</t>
        </is>
      </c>
      <c r="B120" s="15" t="inlineStr">
        <is>
          <t>Cộng đồng</t>
        </is>
      </c>
      <c r="C120" s="15" t="inlineStr">
        <is>
          <t>Vai trò trong cộng đồng</t>
        </is>
      </c>
      <c r="D120" s="15" t="inlineStr">
        <is>
          <t>Owner bỏ Mod về Member</t>
        </is>
      </c>
      <c r="E120" s="15" t="inlineStr">
        <is>
          <t>Chức năng</t>
        </is>
      </c>
      <c r="F120" s="20" t="inlineStr">
        <is>
          <t>Trung bình</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120" s="15" t="inlineStr">
        <is>
          <t>1. owner@ PATCH role {role:'member'} cho member2@</t>
        </is>
      </c>
      <c r="K120" s="15" t="inlineStr">
        <is>
          <t>role='member'</t>
        </is>
      </c>
      <c r="L120" s="15" t="inlineStr">
        <is>
          <t>200 {role:'member'}; roleDetail='member'; thông báo 'Bạn hiện là thành viên của "QA Fixture X"'</t>
        </is>
      </c>
      <c r="M120" s="15" t="inlineStr"/>
      <c r="N120" s="18" t="inlineStr">
        <is>
          <t>Chưa test</t>
        </is>
      </c>
      <c r="O120" s="15" t="inlineStr"/>
      <c r="P120" s="15" t="inlineStr"/>
      <c r="Q120" s="18" t="inlineStr">
        <is>
          <t>Chưa test</t>
        </is>
      </c>
      <c r="R120" s="15" t="inlineStr"/>
    </row>
    <row r="121" ht="30" customHeight="1">
      <c r="A121" s="14" t="inlineStr">
        <is>
          <t>TC-COMM-120</t>
        </is>
      </c>
      <c r="B121" s="15" t="inlineStr">
        <is>
          <t>Cộng đồng</t>
        </is>
      </c>
      <c r="C121" s="15" t="inlineStr">
        <is>
          <t>Vai trò trong cộng đồng</t>
        </is>
      </c>
      <c r="D121" s="15" t="inlineStr">
        <is>
          <t>Đặt vai trò trùng vai trò hiện tại: 200 nhưng không gửi thông báo</t>
        </is>
      </c>
      <c r="E121" s="15" t="inlineStr">
        <is>
          <t>Chức năng</t>
        </is>
      </c>
      <c r="F121" s="17" t="inlineStr">
        <is>
          <t>Thấp</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121" s="15" t="inlineStr">
        <is>
          <t>1. owner@ PATCH role {role:'mod'} cho member2@
2. member2@ đếm thông báo trước và sau</t>
        </is>
      </c>
      <c r="K121" s="15" t="inlineStr">
        <is>
          <t>role='mod'</t>
        </is>
      </c>
      <c r="L121" s="15" t="inlineStr">
        <is>
          <t>200 {userId, role:'mod'}; số thông báo của member2@ không tăng</t>
        </is>
      </c>
      <c r="M121" s="15" t="inlineStr"/>
      <c r="N121" s="18" t="inlineStr">
        <is>
          <t>Chưa test</t>
        </is>
      </c>
      <c r="O121" s="15" t="inlineStr"/>
      <c r="P121" s="15" t="inlineStr"/>
      <c r="Q121" s="18" t="inlineStr">
        <is>
          <t>Chưa test</t>
        </is>
      </c>
      <c r="R121" s="15" t="inlineStr"/>
    </row>
    <row r="122" ht="45" customHeight="1">
      <c r="A122" s="14" t="inlineStr">
        <is>
          <t>TC-COMM-121</t>
        </is>
      </c>
      <c r="B122" s="15" t="inlineStr">
        <is>
          <t>Cộng đồng</t>
        </is>
      </c>
      <c r="C122" s="15" t="inlineStr">
        <is>
          <t>Vai trò trong cộng đồng</t>
        </is>
      </c>
      <c r="D122" s="15" t="inlineStr">
        <is>
          <t>Owner cấp quyền Admin, Admin cộng đồng mới có quyền quản trị</t>
        </is>
      </c>
      <c r="E122" s="15" t="inlineStr">
        <is>
          <t>Chức năng</t>
        </is>
      </c>
      <c r="F122" s="16" t="inlineStr">
        <is>
          <t>Cao</t>
        </is>
      </c>
      <c r="G122" s="17" t="inlineStr">
        <is>
          <t>Đã hoàn thiện</t>
        </is>
      </c>
      <c r="H122" s="17" t="inlineStr">
        <is>
          <t>Có</t>
        </is>
      </c>
      <c r="I12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2" s="15" t="inlineStr">
        <is>
          <t>1. owner@ PATCH role {role:'admin'} cho member3@
2. member3@ GET /api/courses/qa-fixture-x/join-requests
3. member3@ PATCH title</t>
        </is>
      </c>
      <c r="K122" s="15" t="inlineStr">
        <is>
          <t>role='admin'</t>
        </is>
      </c>
      <c r="L122" s="15" t="inlineStr">
        <is>
          <t>200; member3@ vào được danh sách yêu cầu (200) và sửa được tên (200) nhưng đổi giá vẫn 403</t>
        </is>
      </c>
      <c r="M122" s="15" t="inlineStr"/>
      <c r="N122" s="18" t="inlineStr">
        <is>
          <t>Chưa test</t>
        </is>
      </c>
      <c r="O122" s="15" t="inlineStr"/>
      <c r="P122" s="15" t="inlineStr"/>
      <c r="Q122" s="18" t="inlineStr">
        <is>
          <t>Chưa test</t>
        </is>
      </c>
      <c r="R122" s="15" t="inlineStr"/>
    </row>
    <row r="123" ht="45" customHeight="1">
      <c r="A123" s="14" t="inlineStr">
        <is>
          <t>TC-COMM-122</t>
        </is>
      </c>
      <c r="B123" s="15" t="inlineStr">
        <is>
          <t>Cộng đồng</t>
        </is>
      </c>
      <c r="C123" s="15" t="inlineStr">
        <is>
          <t>Vai trò trong cộng đồng</t>
        </is>
      </c>
      <c r="D123" s="15" t="inlineStr">
        <is>
          <t>Admin cộng đồng không đặt/bỏ được Admin, chỉ đặt/bỏ Mod</t>
        </is>
      </c>
      <c r="E123" s="15" t="inlineStr">
        <is>
          <t>Bảo mật</t>
        </is>
      </c>
      <c r="F123" s="16" t="inlineStr">
        <is>
          <t>Cao</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123" s="15" t="inlineStr">
        <is>
          <t>1. member1@ PATCH role {role:'admin'} cho member3@
2. member1@ PATCH role {role:'mod'} cho member3@
3. Owner đặt member2@ thành admin; member1@ PATCH role {role:'member'} cho member2@</t>
        </is>
      </c>
      <c r="K123" s="15" t="inlineStr">
        <is>
          <t>-</t>
        </is>
      </c>
      <c r="L123" s="15" t="inlineStr">
        <is>
          <t>Yêu cầu 1 và 3: 403 FORBIDDEN 'Chỉ chủ cộng đồng mới đặt hoặc bỏ quản trị viên'; yêu cầu 2: 200 role='mod'</t>
        </is>
      </c>
      <c r="M123" s="15" t="inlineStr"/>
      <c r="N123" s="18" t="inlineStr">
        <is>
          <t>Chưa test</t>
        </is>
      </c>
      <c r="O123" s="15" t="inlineStr"/>
      <c r="P123" s="15" t="inlineStr"/>
      <c r="Q123" s="18" t="inlineStr">
        <is>
          <t>Chưa test</t>
        </is>
      </c>
      <c r="R123" s="15" t="inlineStr"/>
    </row>
    <row r="124" ht="45" customHeight="1">
      <c r="A124" s="14" t="inlineStr">
        <is>
          <t>TC-COMM-123</t>
        </is>
      </c>
      <c r="B124" s="15" t="inlineStr">
        <is>
          <t>Cộng đồng</t>
        </is>
      </c>
      <c r="C124" s="15" t="inlineStr">
        <is>
          <t>Vai trò trong cộng đồng</t>
        </is>
      </c>
      <c r="D124" s="15" t="inlineStr">
        <is>
          <t>Mod và Member không đổi được vai trò của ai</t>
        </is>
      </c>
      <c r="E124" s="15" t="inlineStr">
        <is>
          <t>Bảo mật</t>
        </is>
      </c>
      <c r="F124" s="16" t="inlineStr">
        <is>
          <t>Cao</t>
        </is>
      </c>
      <c r="G124" s="17" t="inlineStr">
        <is>
          <t>Đã hoàn thiện</t>
        </is>
      </c>
      <c r="H124" s="17" t="inlineStr">
        <is>
          <t>Có</t>
        </is>
      </c>
      <c r="I12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4" s="15" t="inlineStr">
        <is>
          <t>1. member2@ (Mod) PATCH role {role:'mod'} cho member3@
2. member3@ PATCH role cho chính mình
3. newbie@ PATCH role cho member3@</t>
        </is>
      </c>
      <c r="K124" s="15" t="inlineStr">
        <is>
          <t>-</t>
        </is>
      </c>
      <c r="L124" s="15" t="inlineStr">
        <is>
          <t>Cả ba 403 FORBIDDEN, message 'Bạn không có quyền thực hiện thao tác này trong cộng đồng'</t>
        </is>
      </c>
      <c r="M124" s="15" t="inlineStr"/>
      <c r="N124" s="18" t="inlineStr">
        <is>
          <t>Chưa test</t>
        </is>
      </c>
      <c r="O124" s="15" t="inlineStr"/>
      <c r="P124" s="15" t="inlineStr"/>
      <c r="Q124" s="18" t="inlineStr">
        <is>
          <t>Chưa test</t>
        </is>
      </c>
      <c r="R124" s="15" t="inlineStr"/>
    </row>
    <row r="125" ht="30" customHeight="1">
      <c r="A125" s="14" t="inlineStr">
        <is>
          <t>TC-COMM-124</t>
        </is>
      </c>
      <c r="B125" s="15" t="inlineStr">
        <is>
          <t>Cộng đồng</t>
        </is>
      </c>
      <c r="C125" s="15" t="inlineStr">
        <is>
          <t>Vai trò trong cộng đồng</t>
        </is>
      </c>
      <c r="D125" s="15" t="inlineStr">
        <is>
          <t>Không thể tự đổi vai trò của chính mình</t>
        </is>
      </c>
      <c r="E125" s="15" t="inlineStr">
        <is>
          <t>Chức năng</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owner@ PATCH role {role:'member'} cho chính owner@
2. member1@ (Admin) PATCH role cho chính mình</t>
        </is>
      </c>
      <c r="K125" s="15" t="inlineStr">
        <is>
          <t>-</t>
        </is>
      </c>
      <c r="L125" s="15" t="inlineStr">
        <is>
          <t>Cả hai 400 BAD_REQUEST 'Bạn không thể tự đổi vai trò của mình'</t>
        </is>
      </c>
      <c r="M125" s="15" t="inlineStr"/>
      <c r="N125" s="18" t="inlineStr">
        <is>
          <t>Chưa test</t>
        </is>
      </c>
      <c r="O125" s="15" t="inlineStr"/>
      <c r="P125" s="15" t="inlineStr"/>
      <c r="Q125" s="18" t="inlineStr">
        <is>
          <t>Chưa test</t>
        </is>
      </c>
      <c r="R125" s="15" t="inlineStr"/>
    </row>
    <row r="126" ht="45" customHeight="1">
      <c r="A126" s="14" t="inlineStr">
        <is>
          <t>TC-COMM-125</t>
        </is>
      </c>
      <c r="B126" s="15" t="inlineStr">
        <is>
          <t>Cộng đồng</t>
        </is>
      </c>
      <c r="C126" s="15" t="inlineStr">
        <is>
          <t>Vai trò trong cộng đồng</t>
        </is>
      </c>
      <c r="D126" s="15" t="inlineStr">
        <is>
          <t>Không thể đổi vai trò của Owner; không thể đặt role 'owner' qua endpoint này</t>
        </is>
      </c>
      <c r="E126" s="15" t="inlineStr">
        <is>
          <t>Bảo mật</t>
        </is>
      </c>
      <c r="F126" s="16" t="inlineStr">
        <is>
          <t>Cao</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member1@ (Admin) PATCH role {role:'member'} cho owner@
2. owner@ PATCH role {role:'owner'} cho member3@
3. Platform Admin admin@ PATCH role cho owner@</t>
        </is>
      </c>
      <c r="K126" s="15" t="inlineStr">
        <is>
          <t>-</t>
        </is>
      </c>
      <c r="L126" s="15" t="inlineStr">
        <is>
          <t>Yêu cầu 1 và 3: 403 'Không thể đổi vai trò của chủ cộng đồng'; yêu cầu 2: 400 VALIDATION_ERROR (role chỉ nhận member|mod|admin)</t>
        </is>
      </c>
      <c r="M126" s="15" t="inlineStr"/>
      <c r="N126" s="18" t="inlineStr">
        <is>
          <t>Chưa test</t>
        </is>
      </c>
      <c r="O126" s="15" t="inlineStr"/>
      <c r="P126" s="15" t="inlineStr"/>
      <c r="Q126" s="18" t="inlineStr">
        <is>
          <t>Chưa test</t>
        </is>
      </c>
      <c r="R126" s="15" t="inlineStr"/>
    </row>
    <row r="127" ht="45" customHeight="1">
      <c r="A127" s="14" t="inlineStr">
        <is>
          <t>TC-COMM-126</t>
        </is>
      </c>
      <c r="B127" s="15" t="inlineStr">
        <is>
          <t>Cộng đồng</t>
        </is>
      </c>
      <c r="C127" s="15" t="inlineStr">
        <is>
          <t>Vai trò trong cộng đồng</t>
        </is>
      </c>
      <c r="D127" s="15" t="inlineStr">
        <is>
          <t>Đổi vai trò người không phải thành viên hoặc bị cấm: 404</t>
        </is>
      </c>
      <c r="E127" s="15" t="inlineStr">
        <is>
          <t>Chức năng</t>
        </is>
      </c>
      <c r="F127" s="17" t="inlineStr">
        <is>
          <t>Thấp</t>
        </is>
      </c>
      <c r="G127" s="17" t="inlineStr">
        <is>
          <t>Đã hoàn thiện</t>
        </is>
      </c>
      <c r="H127" s="17" t="inlineStr">
        <is>
          <t>Có</t>
        </is>
      </c>
      <c r="I127"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127" s="15" t="inlineStr">
        <is>
          <t>1. owner@ PATCH role cho newbie@
2. owner@ PATCH role cho member3@ (đang bị cấm)
3. PATCH role cho userId 'khong-co'</t>
        </is>
      </c>
      <c r="K127" s="15" t="inlineStr">
        <is>
          <t>role='mod'</t>
        </is>
      </c>
      <c r="L127" s="15" t="inlineStr">
        <is>
          <t>Cả ba 404 NOT_FOUND 'Không tìm thấy thành viên'</t>
        </is>
      </c>
      <c r="M127" s="15" t="inlineStr"/>
      <c r="N127" s="18" t="inlineStr">
        <is>
          <t>Chưa test</t>
        </is>
      </c>
      <c r="O127" s="15" t="inlineStr"/>
      <c r="P127" s="15" t="inlineStr"/>
      <c r="Q127" s="18" t="inlineStr">
        <is>
          <t>Chưa test</t>
        </is>
      </c>
      <c r="R127" s="15" t="inlineStr"/>
    </row>
    <row r="128" ht="30" customHeight="1">
      <c r="A128" s="14" t="inlineStr">
        <is>
          <t>TC-COMM-127</t>
        </is>
      </c>
      <c r="B128" s="15" t="inlineStr">
        <is>
          <t>Cộng đồng</t>
        </is>
      </c>
      <c r="C128" s="15" t="inlineStr">
        <is>
          <t>Vai trò trong cộng đồng</t>
        </is>
      </c>
      <c r="D128" s="15" t="inlineStr">
        <is>
          <t>Thành viên minh họa (isDemo) không đổi được vai trò: 404</t>
        </is>
      </c>
      <c r="E128" s="15" t="inlineStr">
        <is>
          <t>Chức năng</t>
        </is>
      </c>
      <c r="F128" s="20" t="inlineStr">
        <is>
          <t>Trung bình</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128" s="15" t="inlineStr">
        <is>
          <t>1. PATCH /api/courses/photo/members/demo-photo-3/role {role:'mod'}</t>
        </is>
      </c>
      <c r="K128" s="15" t="inlineStr">
        <is>
          <t>role='mod'</t>
        </is>
      </c>
      <c r="L128" s="15" t="inlineStr">
        <is>
          <t>404 NOT_FOUND 'Không tìm thấy thành viên'; FE hiện toast đỏ 'Đây là thành viên minh họa…' không vỡ giao diện</t>
        </is>
      </c>
      <c r="M128" s="15" t="inlineStr"/>
      <c r="N128" s="18" t="inlineStr">
        <is>
          <t>Chưa test</t>
        </is>
      </c>
      <c r="O128" s="15" t="inlineStr"/>
      <c r="P128" s="15" t="inlineStr"/>
      <c r="Q128" s="18" t="inlineStr">
        <is>
          <t>Chưa test</t>
        </is>
      </c>
      <c r="R128" s="15" t="inlineStr"/>
    </row>
    <row r="129" ht="30" customHeight="1">
      <c r="A129" s="14" t="inlineStr">
        <is>
          <t>TC-COMM-128</t>
        </is>
      </c>
      <c r="B129" s="15" t="inlineStr">
        <is>
          <t>Cộng đồng</t>
        </is>
      </c>
      <c r="C129" s="15" t="inlineStr">
        <is>
          <t>Vai trò trong cộng đồng</t>
        </is>
      </c>
      <c r="D129" s="15" t="inlineStr">
        <is>
          <t>Platform Admin đặt Admin cho thành viên ở cộng đồng chưa tham gia</t>
        </is>
      </c>
      <c r="E129" s="15" t="inlineStr">
        <is>
          <t>Chức năng</t>
        </is>
      </c>
      <c r="F129" s="20" t="inlineStr">
        <is>
          <t>Trung bình</t>
        </is>
      </c>
      <c r="G129" s="17" t="inlineStr">
        <is>
          <t>Đã hoàn thiện</t>
        </is>
      </c>
      <c r="H129" s="17" t="inlineStr">
        <is>
          <t>Có</t>
        </is>
      </c>
      <c r="I129"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129" s="15" t="inlineStr">
        <is>
          <t>1. admin@ PATCH role {role:'admin'} cho member3@</t>
        </is>
      </c>
      <c r="K129" s="15" t="inlineStr">
        <is>
          <t>role='admin'</t>
        </is>
      </c>
      <c r="L129" s="15" t="inlineStr">
        <is>
          <t>200 {role:'admin'} (getRole = platform_admin, xếp trên Owner)</t>
        </is>
      </c>
      <c r="M129" s="15" t="inlineStr"/>
      <c r="N129" s="18" t="inlineStr">
        <is>
          <t>Chưa test</t>
        </is>
      </c>
      <c r="O129" s="15" t="inlineStr"/>
      <c r="P129" s="15" t="inlineStr"/>
      <c r="Q129" s="18" t="inlineStr">
        <is>
          <t>Chưa test</t>
        </is>
      </c>
      <c r="R129" s="15" t="inlineStr"/>
    </row>
    <row r="130" ht="45" customHeight="1">
      <c r="A130" s="14" t="inlineStr">
        <is>
          <t>TC-COMM-129</t>
        </is>
      </c>
      <c r="B130" s="15" t="inlineStr">
        <is>
          <t>Cộng đồng</t>
        </is>
      </c>
      <c r="C130" s="15" t="inlineStr">
        <is>
          <t>Kick, cấm và bỏ cấm thành viên</t>
        </is>
      </c>
      <c r="D130" s="15" t="inlineStr">
        <is>
          <t>Admin kick Mod và Member (bậc thấp hơn): thành viên bị gỡ và nhận thông báo</t>
        </is>
      </c>
      <c r="E130" s="15" t="inlineStr">
        <is>
          <t>Chức năng</t>
        </is>
      </c>
      <c r="F130" s="16" t="inlineStr">
        <is>
          <t>Cao</t>
        </is>
      </c>
      <c r="G130" s="17" t="inlineStr">
        <is>
          <t>Đã hoàn thiện</t>
        </is>
      </c>
      <c r="H130" s="17" t="inlineStr">
        <is>
          <t>Có</t>
        </is>
      </c>
      <c r="I1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0" s="15" t="inlineStr">
        <is>
          <t>1. member1@ (Admin) DELETE /api/courses/qa-fixture-x/members/&lt;id member2&gt;
2. DELETE cho member3@
3. member3@ GET /api/notifications và members</t>
        </is>
      </c>
      <c r="K130" s="15" t="inlineStr">
        <is>
          <t>-</t>
        </is>
      </c>
      <c r="L130"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t>
        </is>
      </c>
      <c r="M130" s="15" t="inlineStr"/>
      <c r="N130" s="18" t="inlineStr">
        <is>
          <t>Chưa test</t>
        </is>
      </c>
      <c r="O130" s="15" t="inlineStr"/>
      <c r="P130" s="15" t="inlineStr"/>
      <c r="Q130" s="18" t="inlineStr">
        <is>
          <t>Chưa test</t>
        </is>
      </c>
      <c r="R130" s="15" t="inlineStr"/>
    </row>
    <row r="131" ht="45" customHeight="1">
      <c r="A131" s="14" t="inlineStr">
        <is>
          <t>TC-COMM-130</t>
        </is>
      </c>
      <c r="B131" s="15" t="inlineStr">
        <is>
          <t>Cộng đồng</t>
        </is>
      </c>
      <c r="C131" s="15" t="inlineStr">
        <is>
          <t>Kick, cấm và bỏ cấm thành viên</t>
        </is>
      </c>
      <c r="D131" s="15" t="inlineStr">
        <is>
          <t>Kick: Admin không kick được Admin ngang cấp, Mod không kick ai</t>
        </is>
      </c>
      <c r="E131" s="15" t="inlineStr">
        <is>
          <t>Bảo mật</t>
        </is>
      </c>
      <c r="F131" s="16" t="inlineStr">
        <is>
          <t>Cao</t>
        </is>
      </c>
      <c r="G131" s="17" t="inlineStr">
        <is>
          <t>Đã hoàn thiện</t>
        </is>
      </c>
      <c r="H131" s="17" t="inlineStr">
        <is>
          <t>Có</t>
        </is>
      </c>
      <c r="I131"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131" s="15" t="inlineStr">
        <is>
          <t>1. member1@ (Admin) DELETE members/&lt;id member3 Admin&gt;
2. member2@ (Mod) DELETE members/&lt;id newbie/member&gt;
3. member1@ DELETE members/&lt;id owner&gt;</t>
        </is>
      </c>
      <c r="K131" s="15" t="inlineStr">
        <is>
          <t>-</t>
        </is>
      </c>
      <c r="L131"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131" s="15" t="inlineStr"/>
      <c r="N131" s="18" t="inlineStr">
        <is>
          <t>Chưa test</t>
        </is>
      </c>
      <c r="O131" s="15" t="inlineStr"/>
      <c r="P131" s="15" t="inlineStr"/>
      <c r="Q131" s="18" t="inlineStr">
        <is>
          <t>Chưa test</t>
        </is>
      </c>
      <c r="R131" s="15" t="inlineStr"/>
    </row>
    <row r="132" ht="30" customHeight="1">
      <c r="A132" s="14" t="inlineStr">
        <is>
          <t>TC-COMM-131</t>
        </is>
      </c>
      <c r="B132" s="15" t="inlineStr">
        <is>
          <t>Cộng đồng</t>
        </is>
      </c>
      <c r="C132" s="15" t="inlineStr">
        <is>
          <t>Kick, cấm và bỏ cấm thành viên</t>
        </is>
      </c>
      <c r="D132" s="15" t="inlineStr">
        <is>
          <t>Không thể kick hoặc cấm chính mình: 400</t>
        </is>
      </c>
      <c r="E132" s="15" t="inlineStr">
        <is>
          <t>Chức năng</t>
        </is>
      </c>
      <c r="F132" s="20" t="inlineStr">
        <is>
          <t>Trung bình</t>
        </is>
      </c>
      <c r="G132" s="17" t="inlineStr">
        <is>
          <t>Đã hoàn thiện</t>
        </is>
      </c>
      <c r="H132" s="17" t="inlineStr">
        <is>
          <t>Có</t>
        </is>
      </c>
      <c r="I13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2" s="15" t="inlineStr">
        <is>
          <t>1. owner@ DELETE members/&lt;id owner&gt;
2. member1@ POST members/&lt;id member1&gt;/ban</t>
        </is>
      </c>
      <c r="K132" s="15" t="inlineStr">
        <is>
          <t>-</t>
        </is>
      </c>
      <c r="L132" s="15" t="inlineStr">
        <is>
          <t>Cả hai 400 BAD_REQUEST 'Bạn không thể thực hiện thao tác này với chính mình'</t>
        </is>
      </c>
      <c r="M132" s="15" t="inlineStr"/>
      <c r="N132" s="18" t="inlineStr">
        <is>
          <t>Chưa test</t>
        </is>
      </c>
      <c r="O132" s="15" t="inlineStr"/>
      <c r="P132" s="15" t="inlineStr"/>
      <c r="Q132" s="18" t="inlineStr">
        <is>
          <t>Chưa test</t>
        </is>
      </c>
      <c r="R132" s="15" t="inlineStr"/>
    </row>
    <row r="133" ht="30" customHeight="1">
      <c r="A133" s="14" t="inlineStr">
        <is>
          <t>TC-COMM-132</t>
        </is>
      </c>
      <c r="B133" s="15" t="inlineStr">
        <is>
          <t>Cộng đồng</t>
        </is>
      </c>
      <c r="C133" s="15" t="inlineStr">
        <is>
          <t>Kick, cấm và bỏ cấm thành viên</t>
        </is>
      </c>
      <c r="D133" s="15" t="inlineStr">
        <is>
          <t>Kick người không phải thành viên hoặc thành viên minh họa: 404</t>
        </is>
      </c>
      <c r="E133" s="15" t="inlineStr">
        <is>
          <t>Chức năng</t>
        </is>
      </c>
      <c r="F133" s="17" t="inlineStr">
        <is>
          <t>Thấp</t>
        </is>
      </c>
      <c r="G133" s="17" t="inlineStr">
        <is>
          <t>Đã hoàn thiện</t>
        </is>
      </c>
      <c r="H133" s="17" t="inlineStr">
        <is>
          <t>Có</t>
        </is>
      </c>
      <c r="I133"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133" s="15" t="inlineStr">
        <is>
          <t>1. owner@ DELETE /api/courses/qa-fixture-x/members/&lt;id newbie&gt; (chưa tham gia)
2. owner@ DELETE /api/courses/photo/members/demo-photo-5</t>
        </is>
      </c>
      <c r="K133" s="15" t="inlineStr">
        <is>
          <t>-</t>
        </is>
      </c>
      <c r="L133" s="15" t="inlineStr">
        <is>
          <t>Cả hai 404 NOT_FOUND 'Không tìm thấy thành viên'</t>
        </is>
      </c>
      <c r="M133" s="15" t="inlineStr"/>
      <c r="N133" s="18" t="inlineStr">
        <is>
          <t>Chưa test</t>
        </is>
      </c>
      <c r="O133" s="15" t="inlineStr"/>
      <c r="P133" s="15" t="inlineStr"/>
      <c r="Q133" s="18" t="inlineStr">
        <is>
          <t>Chưa test</t>
        </is>
      </c>
      <c r="R133" s="15" t="inlineStr"/>
    </row>
    <row r="134" ht="45" customHeight="1">
      <c r="A134" s="14" t="inlineStr">
        <is>
          <t>TC-COMM-133</t>
        </is>
      </c>
      <c r="B134" s="15" t="inlineStr">
        <is>
          <t>Cộng đồng</t>
        </is>
      </c>
      <c r="C134" s="15" t="inlineStr">
        <is>
          <t>Kick, cấm và bỏ cấm thành viên</t>
        </is>
      </c>
      <c r="D134" s="15" t="inlineStr">
        <is>
          <t>Owner cấm Admin: bị gỡ khỏi cộng đồng, ghi vào danh sách cấm kèm lý do</t>
        </is>
      </c>
      <c r="E134" s="15" t="inlineStr">
        <is>
          <t>Chức năng</t>
        </is>
      </c>
      <c r="F134" s="16" t="inlineStr">
        <is>
          <t>Cao</t>
        </is>
      </c>
      <c r="G134" s="17" t="inlineStr">
        <is>
          <t>Đã hoàn thiện</t>
        </is>
      </c>
      <c r="H134" s="17" t="inlineStr">
        <is>
          <t>Có</t>
        </is>
      </c>
      <c r="I13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4" s="15" t="inlineStr">
        <is>
          <t>1. owner@ POST /api/courses/qa-fixture-x/members/&lt;id member1&gt;/ban {reason:'Spam liên tục'}
2. owner@ GET /api/courses/qa-fixture-x/bans
3. member1@ GET /api/notifications</t>
        </is>
      </c>
      <c r="K134" s="15" t="inlineStr">
        <is>
          <t>reason='Spam liên tục'</t>
        </is>
      </c>
      <c r="L134" s="15" t="inlineStr">
        <is>
          <t>200 {banned:true}; bans có {userId, reason:'Spam liên tục', bannedBy:&lt;id owner&gt;, bannedAt, user:{id,name}}; member1@ mất vai trò và nhận thông báo 'Bạn đã bị cấm khỏi cộng đồng' ('… Lý do: Spam liên tục')</t>
        </is>
      </c>
      <c r="M134" s="15" t="inlineStr"/>
      <c r="N134" s="18" t="inlineStr">
        <is>
          <t>Chưa test</t>
        </is>
      </c>
      <c r="O134" s="15" t="inlineStr"/>
      <c r="P134" s="15" t="inlineStr"/>
      <c r="Q134" s="18" t="inlineStr">
        <is>
          <t>Chưa test</t>
        </is>
      </c>
      <c r="R134" s="15" t="inlineStr"/>
    </row>
    <row r="135" ht="30" customHeight="1">
      <c r="A135" s="14" t="inlineStr">
        <is>
          <t>TC-COMM-134</t>
        </is>
      </c>
      <c r="B135" s="15" t="inlineStr">
        <is>
          <t>Cộng đồng</t>
        </is>
      </c>
      <c r="C135" s="15" t="inlineStr">
        <is>
          <t>Kick, cấm và bỏ cấm thành viên</t>
        </is>
      </c>
      <c r="D135" s="15" t="inlineStr">
        <is>
          <t>Cấm không lý do và lý do &gt; 500 ký tự</t>
        </is>
      </c>
      <c r="E135" s="15" t="inlineStr">
        <is>
          <t>Chức năng</t>
        </is>
      </c>
      <c r="F135" s="17" t="inlineStr">
        <is>
          <t>Thấp</t>
        </is>
      </c>
      <c r="G135" s="17" t="inlineStr">
        <is>
          <t>Đã hoàn thiện</t>
        </is>
      </c>
      <c r="H135" s="17" t="inlineStr">
        <is>
          <t>Có</t>
        </is>
      </c>
      <c r="I1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5" s="15" t="inlineStr">
        <is>
          <t>1. owner@ POST ban cho member3@ với body {}
2. Bỏ cấm, POST ban với reason 501 ký tự</t>
        </is>
      </c>
      <c r="K135" s="15" t="inlineStr">
        <is>
          <t>reason: (bỏ trống) / 501 ký tự</t>
        </is>
      </c>
      <c r="L135" s="15" t="inlineStr">
        <is>
          <t>Body {} -&gt; 200, reason='' (thông báo không có đoạn 'Lý do'); 501 ký tự -&gt; 400 VALIDATION_ERROR</t>
        </is>
      </c>
      <c r="M135" s="15" t="inlineStr"/>
      <c r="N135" s="18" t="inlineStr">
        <is>
          <t>Chưa test</t>
        </is>
      </c>
      <c r="O135" s="15" t="inlineStr"/>
      <c r="P135" s="15" t="inlineStr"/>
      <c r="Q135" s="18" t="inlineStr">
        <is>
          <t>Chưa test</t>
        </is>
      </c>
      <c r="R135" s="15" t="inlineStr"/>
    </row>
    <row r="136" ht="30" customHeight="1">
      <c r="A136" s="14" t="inlineStr">
        <is>
          <t>TC-COMM-135</t>
        </is>
      </c>
      <c r="B136" s="15" t="inlineStr">
        <is>
          <t>Cộng đồng</t>
        </is>
      </c>
      <c r="C136" s="15" t="inlineStr">
        <is>
          <t>Kick, cấm và bỏ cấm thành viên</t>
        </is>
      </c>
      <c r="D136" s="15" t="inlineStr">
        <is>
          <t>Cấm người chưa tham gia cộng đồng (cấm phòng ngừa) được chấp nhận</t>
        </is>
      </c>
      <c r="E136" s="15" t="inlineStr">
        <is>
          <t>Chức năng</t>
        </is>
      </c>
      <c r="F136" s="20" t="inlineStr">
        <is>
          <t>Trung bình</t>
        </is>
      </c>
      <c r="G136" s="17" t="inlineStr">
        <is>
          <t>Đã hoàn thiện</t>
        </is>
      </c>
      <c r="H136" s="17" t="inlineStr">
        <is>
          <t>Có</t>
        </is>
      </c>
      <c r="I13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136" s="15" t="inlineStr">
        <is>
          <t>1. owner@ POST ban cho newbie@
2. newbie@ POST /api/courses/qa-fixture-x/enroll</t>
        </is>
      </c>
      <c r="K136" s="15" t="inlineStr">
        <is>
          <t>-</t>
        </is>
      </c>
      <c r="L136" s="15" t="inlineStr">
        <is>
          <t>Ban 200 {banned:true} (hành vi thực tế: không bắt buộc đã là thành viên); newbie@ bị 403 'Bạn đã bị cấm khỏi cộng đồng này' khi tham gia</t>
        </is>
      </c>
      <c r="M136" s="15" t="inlineStr"/>
      <c r="N136" s="18" t="inlineStr">
        <is>
          <t>Chưa test</t>
        </is>
      </c>
      <c r="O136" s="15" t="inlineStr"/>
      <c r="P136" s="15" t="inlineStr"/>
      <c r="Q136" s="18" t="inlineStr">
        <is>
          <t>Chưa test</t>
        </is>
      </c>
      <c r="R136" s="15" t="inlineStr"/>
    </row>
    <row r="137" ht="45" customHeight="1">
      <c r="A137" s="14" t="inlineStr">
        <is>
          <t>TC-COMM-136</t>
        </is>
      </c>
      <c r="B137" s="15" t="inlineStr">
        <is>
          <t>Cộng đồng</t>
        </is>
      </c>
      <c r="C137" s="15" t="inlineStr">
        <is>
          <t>Kick, cấm và bỏ cấm thành viên</t>
        </is>
      </c>
      <c r="D137" s="15" t="inlineStr">
        <is>
          <t>Người bị cấm thử tham gia lại (toggle, yêu cầu, lời mời) đều bị chặn</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37" s="15" t="inlineStr">
        <is>
          <t>1. banned@ POST /api/courses/photo/enroll
2. banned@ POST /api/invites/&lt;mã mời cộng đồng công khai&gt;/accept (tạo mã cho photo bằng owner@)
3. Cấm banned@ khỏi private-demo rồi POST join-requests</t>
        </is>
      </c>
      <c r="K137" s="15" t="inlineStr">
        <is>
          <t>-</t>
        </is>
      </c>
      <c r="L137" s="15" t="inlineStr">
        <is>
          <t>Cả ba 403 FORBIDDEN 'Bạn đã bị cấm khỏi cộng đồng này'; banned@ không trở thành thành viên</t>
        </is>
      </c>
      <c r="M137" s="15" t="inlineStr"/>
      <c r="N137" s="18" t="inlineStr">
        <is>
          <t>Chưa test</t>
        </is>
      </c>
      <c r="O137" s="15" t="inlineStr"/>
      <c r="P137" s="15" t="inlineStr"/>
      <c r="Q137" s="18" t="inlineStr">
        <is>
          <t>Chưa test</t>
        </is>
      </c>
      <c r="R137" s="15" t="inlineStr"/>
    </row>
    <row r="138" ht="60" customHeight="1">
      <c r="A138" s="14" t="inlineStr">
        <is>
          <t>TC-COMM-137</t>
        </is>
      </c>
      <c r="B138" s="15" t="inlineStr">
        <is>
          <t>Cộng đồng</t>
        </is>
      </c>
      <c r="C138" s="15" t="inlineStr">
        <is>
          <t>Kick, cấm và bỏ cấm thành viên</t>
        </is>
      </c>
      <c r="D138" s="15" t="inlineStr">
        <is>
          <t>Người bị cấm không xem được nội dung dù còn dòng ghi danh trong DB</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38" s="15" t="inlineStr">
        <is>
          <t>1. banned@ GET /api/courses/photo/members
2. GET /api/courses/photo/posts
3. GET /api/courses/photo/leaderboard
4. Mở /courses/photo/community trên FE</t>
        </is>
      </c>
      <c r="K138" s="15" t="inlineStr">
        <is>
          <t>-</t>
        </is>
      </c>
      <c r="L138" s="15" t="inlineStr">
        <is>
          <t>Tất cả 403 'Bạn cần tham gia cộng đồng này trước'; FE chuyển hướng/chặn; GET /api/courses/photo (chi tiết công khai) vẫn 200 viewerEnrolled=false</t>
        </is>
      </c>
      <c r="M138" s="15" t="inlineStr"/>
      <c r="N138" s="18" t="inlineStr">
        <is>
          <t>Chưa test</t>
        </is>
      </c>
      <c r="O138" s="15" t="inlineStr"/>
      <c r="P138" s="15" t="inlineStr"/>
      <c r="Q138" s="18" t="inlineStr">
        <is>
          <t>Chưa test</t>
        </is>
      </c>
      <c r="R138" s="15" t="inlineStr"/>
    </row>
    <row r="139" ht="60" customHeight="1">
      <c r="A139" s="14" t="inlineStr">
        <is>
          <t>TC-COMM-138</t>
        </is>
      </c>
      <c r="B139" s="15" t="inlineStr">
        <is>
          <t>Cộng đồng</t>
        </is>
      </c>
      <c r="C139" s="15" t="inlineStr">
        <is>
          <t>Kick, cấm và bỏ cấm thành viên</t>
        </is>
      </c>
      <c r="D139" s="15" t="inlineStr">
        <is>
          <t>Bỏ cấm: người dùng tham gia lại được, vai trò về Member</t>
        </is>
      </c>
      <c r="E139" s="15" t="inlineStr">
        <is>
          <t>Chức năng</t>
        </is>
      </c>
      <c r="F139" s="16" t="inlineStr">
        <is>
          <t>Cao</t>
        </is>
      </c>
      <c r="G139" s="17" t="inlineStr">
        <is>
          <t>Đã hoàn thiện</t>
        </is>
      </c>
      <c r="H139" s="17" t="inlineStr">
        <is>
          <t>Có</t>
        </is>
      </c>
      <c r="I13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39" s="15" t="inlineStr">
        <is>
          <t>1. owner@ DELETE /api/courses/qa-fixture-x/members/&lt;id member1&gt;/ban
2. GET /bans
3. member1@ POST /enroll
4. member1@ GET members</t>
        </is>
      </c>
      <c r="K139" s="15" t="inlineStr">
        <is>
          <t>-</t>
        </is>
      </c>
      <c r="L139" s="15" t="inlineStr">
        <is>
          <t>Bỏ cấm 200 {banned:false}; bans không còn member1@; sau /enroll 200 {enrolled:true} với vai trò 'member' (mất quyền Admin cũ vì ban đã xóa ghi danh)</t>
        </is>
      </c>
      <c r="M139" s="15" t="inlineStr"/>
      <c r="N139" s="18" t="inlineStr">
        <is>
          <t>Chưa test</t>
        </is>
      </c>
      <c r="O139" s="15" t="inlineStr"/>
      <c r="P139" s="15" t="inlineStr"/>
      <c r="Q139" s="18" t="inlineStr">
        <is>
          <t>Chưa test</t>
        </is>
      </c>
      <c r="R139" s="15" t="inlineStr"/>
    </row>
    <row r="140" ht="30" customHeight="1">
      <c r="A140" s="14" t="inlineStr">
        <is>
          <t>TC-COMM-139</t>
        </is>
      </c>
      <c r="B140" s="15" t="inlineStr">
        <is>
          <t>Cộng đồng</t>
        </is>
      </c>
      <c r="C140" s="15" t="inlineStr">
        <is>
          <t>Kick, cấm và bỏ cấm thành viên</t>
        </is>
      </c>
      <c r="D140" s="15" t="inlineStr">
        <is>
          <t>Bỏ cấm người không nằm trong danh sách cấm: 404</t>
        </is>
      </c>
      <c r="E140" s="15" t="inlineStr">
        <is>
          <t>Chức năng</t>
        </is>
      </c>
      <c r="F140" s="17" t="inlineStr">
        <is>
          <t>Thấp</t>
        </is>
      </c>
      <c r="G140" s="17" t="inlineStr">
        <is>
          <t>Đã hoàn thiện</t>
        </is>
      </c>
      <c r="H140" s="17" t="inlineStr">
        <is>
          <t>Có</t>
        </is>
      </c>
      <c r="I1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0" s="15" t="inlineStr">
        <is>
          <t>1. owner@ DELETE members/&lt;id member3&gt;/ban khi member3@ không bị cấm</t>
        </is>
      </c>
      <c r="K140" s="15" t="inlineStr">
        <is>
          <t>-</t>
        </is>
      </c>
      <c r="L140" s="15" t="inlineStr">
        <is>
          <t>404 NOT_FOUND 'Người này không nằm trong danh sách cấm'</t>
        </is>
      </c>
      <c r="M140" s="15" t="inlineStr"/>
      <c r="N140" s="18" t="inlineStr">
        <is>
          <t>Chưa test</t>
        </is>
      </c>
      <c r="O140" s="15" t="inlineStr"/>
      <c r="P140" s="15" t="inlineStr"/>
      <c r="Q140" s="18" t="inlineStr">
        <is>
          <t>Chưa test</t>
        </is>
      </c>
      <c r="R140" s="15" t="inlineStr"/>
    </row>
    <row r="141" ht="45" customHeight="1">
      <c r="A141" s="14" t="inlineStr">
        <is>
          <t>TC-COMM-140</t>
        </is>
      </c>
      <c r="B141" s="15" t="inlineStr">
        <is>
          <t>Cộng đồng</t>
        </is>
      </c>
      <c r="C141" s="15" t="inlineStr">
        <is>
          <t>Kick, cấm và bỏ cấm thành viên</t>
        </is>
      </c>
      <c r="D141" s="15" t="inlineStr">
        <is>
          <t>Chỉ Admin trở lên xem danh sách cấm và bỏ cấm</t>
        </is>
      </c>
      <c r="E141" s="15" t="inlineStr">
        <is>
          <t>Bảo mật</t>
        </is>
      </c>
      <c r="F141" s="20" t="inlineStr">
        <is>
          <t>Trung bình</t>
        </is>
      </c>
      <c r="G141" s="17" t="inlineStr">
        <is>
          <t>Đã hoàn thiện</t>
        </is>
      </c>
      <c r="H141" s="17" t="inlineStr">
        <is>
          <t>Có</t>
        </is>
      </c>
      <c r="I141" s="15" t="inlineStr">
        <is>
          <t>Fixture X: owner@sofinhub.test tạo cộng đồng công khai miễn phí 'QA Fixture X' (POST /api/communities -&gt; id qa-fixture-x); member1@ tham gia rồi được owner đặt Admin; member2@ được đặt Mod; member3@ là Member thường; newbie@ chưa tham gia; newbie@ bị cấm</t>
        </is>
      </c>
      <c r="J141" s="15" t="inlineStr">
        <is>
          <t>1. member2@ (Mod) GET /bans
2. member3@ DELETE members/&lt;id newbie&gt;/ban
3. member1@ (Admin) GET /bans</t>
        </is>
      </c>
      <c r="K141" s="15" t="inlineStr">
        <is>
          <t>-</t>
        </is>
      </c>
      <c r="L141" s="15" t="inlineStr">
        <is>
          <t>Yêu cầu 1 và 2: 403 FORBIDDEN, message 'Bạn không có quyền thực hiện thao tác này trong cộng đồng'; yêu cầu 3: 200 danh sách có newbie@</t>
        </is>
      </c>
      <c r="M141" s="15" t="inlineStr"/>
      <c r="N141" s="18" t="inlineStr">
        <is>
          <t>Chưa test</t>
        </is>
      </c>
      <c r="O141" s="15" t="inlineStr"/>
      <c r="P141" s="15" t="inlineStr"/>
      <c r="Q141" s="18" t="inlineStr">
        <is>
          <t>Chưa test</t>
        </is>
      </c>
      <c r="R141" s="15" t="inlineStr"/>
    </row>
    <row r="142" ht="30" customHeight="1">
      <c r="A142" s="14" t="inlineStr">
        <is>
          <t>TC-COMM-141</t>
        </is>
      </c>
      <c r="B142" s="15" t="inlineStr">
        <is>
          <t>Cộng đồng</t>
        </is>
      </c>
      <c r="C142" s="15" t="inlineStr">
        <is>
          <t>Kick, cấm và bỏ cấm thành viên</t>
        </is>
      </c>
      <c r="D142" s="15" t="inlineStr">
        <is>
          <t>Cấm thành viên minh họa: 404</t>
        </is>
      </c>
      <c r="E142" s="15" t="inlineStr">
        <is>
          <t>Chức năng</t>
        </is>
      </c>
      <c r="F142" s="17" t="inlineStr">
        <is>
          <t>Thấp</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42" s="15" t="inlineStr">
        <is>
          <t>1. POST /api/courses/photo/members/demo-photo-7/ban {reason:'x'}</t>
        </is>
      </c>
      <c r="K142" s="15" t="inlineStr">
        <is>
          <t>-</t>
        </is>
      </c>
      <c r="L142" s="15" t="inlineStr">
        <is>
          <t>404 NOT_FOUND (thành viên minh họa isDemo không cấm được); không có bản ghi CommunityBan mới</t>
        </is>
      </c>
      <c r="M142" s="15" t="inlineStr"/>
      <c r="N142" s="18" t="inlineStr">
        <is>
          <t>Chưa test</t>
        </is>
      </c>
      <c r="O142" s="15" t="inlineStr"/>
      <c r="P142" s="15" t="inlineStr"/>
      <c r="Q142" s="18" t="inlineStr">
        <is>
          <t>Chưa test</t>
        </is>
      </c>
      <c r="R142" s="15" t="inlineStr"/>
    </row>
    <row r="143" ht="60" customHeight="1">
      <c r="A143" s="14" t="inlineStr">
        <is>
          <t>TC-COMM-142</t>
        </is>
      </c>
      <c r="B143" s="15" t="inlineStr">
        <is>
          <t>Cộng đồng</t>
        </is>
      </c>
      <c r="C143" s="15" t="inlineStr">
        <is>
          <t>Chuyển quyền sở hữu &amp; rời cộng đồng</t>
        </is>
      </c>
      <c r="D143" s="15" t="inlineStr">
        <is>
          <t>Owner chuyển quyền cho thành viên: chủ cũ thành Admin, ownerId cập nhật</t>
        </is>
      </c>
      <c r="E143" s="15" t="inlineStr">
        <is>
          <t>Chức năng</t>
        </is>
      </c>
      <c r="F143" s="16" t="inlineStr">
        <is>
          <t>Cao</t>
        </is>
      </c>
      <c r="G143" s="17" t="inlineStr">
        <is>
          <t>Đã hoàn thiện</t>
        </is>
      </c>
      <c r="H143" s="17" t="inlineStr">
        <is>
          <t>Có</t>
        </is>
      </c>
      <c r="I14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3" s="15" t="inlineStr">
        <is>
          <t>1. owner@ POST /api/courses/qa-fixture-x/transfer-ownership {userId:&lt;id member3&gt;}
2. GET members
3. member3@ PATCH {priceUsd:9}
4. owner@ PATCH {priceUsd:9}</t>
        </is>
      </c>
      <c r="K143" s="15" t="inlineStr">
        <is>
          <t>userId=member3</t>
        </is>
      </c>
      <c r="L143"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43" s="15" t="inlineStr"/>
      <c r="N143" s="18" t="inlineStr">
        <is>
          <t>Chưa test</t>
        </is>
      </c>
      <c r="O143" s="15" t="inlineStr"/>
      <c r="P143" s="15" t="inlineStr"/>
      <c r="Q143" s="18" t="inlineStr">
        <is>
          <t>Chưa test</t>
        </is>
      </c>
      <c r="R143" s="15" t="inlineStr"/>
    </row>
    <row r="144" ht="60" customHeight="1">
      <c r="A144" s="14" t="inlineStr">
        <is>
          <t>TC-COMM-143</t>
        </is>
      </c>
      <c r="B144" s="15" t="inlineStr">
        <is>
          <t>Cộng đồng</t>
        </is>
      </c>
      <c r="C144" s="15" t="inlineStr">
        <is>
          <t>Chuyển quyền sở hữu &amp; rời cộng đồng</t>
        </is>
      </c>
      <c r="D144" s="15" t="inlineStr">
        <is>
          <t>Chuyển quyền cho chính mình hoặc người không phải thành viên: 400</t>
        </is>
      </c>
      <c r="E144" s="15" t="inlineStr">
        <is>
          <t>Chức năng</t>
        </is>
      </c>
      <c r="F144" s="20" t="inlineStr">
        <is>
          <t>Trung bình</t>
        </is>
      </c>
      <c r="G144" s="17" t="inlineStr">
        <is>
          <t>Đã hoàn thiện</t>
        </is>
      </c>
      <c r="H144" s="17" t="inlineStr">
        <is>
          <t>Có</t>
        </is>
      </c>
      <c r="I144"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44" s="15" t="inlineStr">
        <is>
          <t>1. owner@ transfer userId=&lt;id owner&gt;
2. transfer userId=&lt;id newbie&gt;
3. transfer userId=&lt;id member3 bị cấm&gt;
4. transfer body {}</t>
        </is>
      </c>
      <c r="K144" s="15" t="inlineStr">
        <is>
          <t>-</t>
        </is>
      </c>
      <c r="L144" s="15" t="inlineStr">
        <is>
          <t>Yêu cầu 1: 400 'Bạn đã là chủ cộng đồng'; 2 và 3: 400 'Người nhận phải là thành viên của cộng đồng'; 4: 400 VALIDATION_ERROR</t>
        </is>
      </c>
      <c r="M144" s="15" t="inlineStr"/>
      <c r="N144" s="18" t="inlineStr">
        <is>
          <t>Chưa test</t>
        </is>
      </c>
      <c r="O144" s="15" t="inlineStr"/>
      <c r="P144" s="15" t="inlineStr"/>
      <c r="Q144" s="18" t="inlineStr">
        <is>
          <t>Chưa test</t>
        </is>
      </c>
      <c r="R144" s="15" t="inlineStr"/>
    </row>
    <row r="145" ht="45" customHeight="1">
      <c r="A145" s="14" t="inlineStr">
        <is>
          <t>TC-COMM-144</t>
        </is>
      </c>
      <c r="B145" s="15" t="inlineStr">
        <is>
          <t>Cộng đồng</t>
        </is>
      </c>
      <c r="C145" s="15" t="inlineStr">
        <is>
          <t>Chuyển quyền sở hữu &amp; rời cộng đồng</t>
        </is>
      </c>
      <c r="D145" s="15" t="inlineStr">
        <is>
          <t>Admin, Mod, Member không chuyển quyền được</t>
        </is>
      </c>
      <c r="E145" s="15" t="inlineStr">
        <is>
          <t>Bảo mật</t>
        </is>
      </c>
      <c r="F145" s="16" t="inlineStr">
        <is>
          <t>Cao</t>
        </is>
      </c>
      <c r="G145" s="17" t="inlineStr">
        <is>
          <t>Đã hoàn thiện</t>
        </is>
      </c>
      <c r="H145" s="17" t="inlineStr">
        <is>
          <t>Có</t>
        </is>
      </c>
      <c r="I14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5" s="15" t="inlineStr">
        <is>
          <t>1. member1@ (Admin) transfer userId=&lt;id member1&gt;
2. member2@ (Mod) transfer userId=&lt;id member2&gt;
3. member3@ transfer userId=&lt;id member3&gt;</t>
        </is>
      </c>
      <c r="K145" s="15" t="inlineStr">
        <is>
          <t>-</t>
        </is>
      </c>
      <c r="L145" s="15" t="inlineStr">
        <is>
          <t>Cả ba 403 FORBIDDEN, message 'Bạn không có quyền thực hiện thao tác này trong cộng đồng'; owner không đổi</t>
        </is>
      </c>
      <c r="M145" s="15" t="inlineStr"/>
      <c r="N145" s="18" t="inlineStr">
        <is>
          <t>Chưa test</t>
        </is>
      </c>
      <c r="O145" s="15" t="inlineStr"/>
      <c r="P145" s="15" t="inlineStr"/>
      <c r="Q145" s="18" t="inlineStr">
        <is>
          <t>Chưa test</t>
        </is>
      </c>
      <c r="R145" s="15" t="inlineStr"/>
    </row>
    <row r="146" ht="30" customHeight="1">
      <c r="A146" s="14" t="inlineStr">
        <is>
          <t>TC-COMM-145</t>
        </is>
      </c>
      <c r="B146" s="15" t="inlineStr">
        <is>
          <t>Cộng đồng</t>
        </is>
      </c>
      <c r="C146" s="15" t="inlineStr">
        <is>
          <t>Chuyển quyền sở hữu &amp; rời cộng đồng</t>
        </is>
      </c>
      <c r="D146" s="15" t="inlineStr">
        <is>
          <t>Platform Admin chuyển quyền thay Owner</t>
        </is>
      </c>
      <c r="E146" s="15" t="inlineStr">
        <is>
          <t>Chức năng</t>
        </is>
      </c>
      <c r="F146" s="17" t="inlineStr">
        <is>
          <t>Thấp</t>
        </is>
      </c>
      <c r="G146" s="17" t="inlineStr">
        <is>
          <t>Đã hoàn thiện</t>
        </is>
      </c>
      <c r="H146" s="17" t="inlineStr">
        <is>
          <t>Có</t>
        </is>
      </c>
      <c r="I14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6" s="15" t="inlineStr">
        <is>
          <t>1. admin@ transfer userId=&lt;id member3&gt;
2. GET members</t>
        </is>
      </c>
      <c r="K146" s="15" t="inlineStr">
        <is>
          <t>-</t>
        </is>
      </c>
      <c r="L146" s="15" t="inlineStr">
        <is>
          <t>200 {ownerId:&lt;member3&gt;}; owner@ cũ thành admin</t>
        </is>
      </c>
      <c r="M146" s="15" t="inlineStr"/>
      <c r="N146" s="18" t="inlineStr">
        <is>
          <t>Chưa test</t>
        </is>
      </c>
      <c r="O146" s="15" t="inlineStr"/>
      <c r="P146" s="15" t="inlineStr"/>
      <c r="Q146" s="18" t="inlineStr">
        <is>
          <t>Chưa test</t>
        </is>
      </c>
      <c r="R146" s="15" t="inlineStr"/>
    </row>
    <row r="147" ht="30" customHeight="1">
      <c r="A147" s="14" t="inlineStr">
        <is>
          <t>TC-COMM-146</t>
        </is>
      </c>
      <c r="B147" s="15" t="inlineStr">
        <is>
          <t>Cộng đồng</t>
        </is>
      </c>
      <c r="C147" s="15" t="inlineStr">
        <is>
          <t>Chuyển quyền sở hữu &amp; rời cộng đồng</t>
        </is>
      </c>
      <c r="D147" s="15" t="inlineStr">
        <is>
          <t>Chuyển quyền sang thành viên minh họa: hành vi thực tế và rủi ro</t>
        </is>
      </c>
      <c r="E147" s="15" t="inlineStr">
        <is>
          <t>Bảo mật</t>
        </is>
      </c>
      <c r="F147" s="20" t="inlineStr">
        <is>
          <t>Trung bình</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47" s="15" t="inlineStr">
        <is>
          <t>1. POST transfer-ownership {userId:'demo-&lt;courseId&gt;-0'} (thành viên minh họa, không đăng nhập được)</t>
        </is>
      </c>
      <c r="K147" s="15" t="inlineStr">
        <is>
          <t>userId='demo-&lt;courseId&gt;-0'</t>
        </is>
      </c>
      <c r="L147" s="15" t="inlineStr">
        <is>
          <t>Hành vi thực tế của code: 200 vì service không kiểm tra isDemo (chưa chốt/nghi lỗi: cộng đồng có thể rơi vào tay tài khoản không đăng nhập được); FE đã ẩn thành viên minh họa khỏi danh sách chọn</t>
        </is>
      </c>
      <c r="M147" s="15" t="inlineStr"/>
      <c r="N147" s="18" t="inlineStr">
        <is>
          <t>Chưa test</t>
        </is>
      </c>
      <c r="O147" s="15" t="inlineStr"/>
      <c r="P147" s="15" t="inlineStr"/>
      <c r="Q147" s="18" t="inlineStr">
        <is>
          <t>Chưa test</t>
        </is>
      </c>
      <c r="R147" s="15" t="inlineStr"/>
    </row>
    <row r="148" ht="45" customHeight="1">
      <c r="A148" s="14" t="inlineStr">
        <is>
          <t>TC-COMM-147</t>
        </is>
      </c>
      <c r="B148" s="15" t="inlineStr">
        <is>
          <t>Cộng đồng</t>
        </is>
      </c>
      <c r="C148" s="15" t="inlineStr">
        <is>
          <t>Chuyển quyền sở hữu &amp; rời cộng đồng</t>
        </is>
      </c>
      <c r="D148" s="15" t="inlineStr">
        <is>
          <t>Thành viên tự rời cộng đồng công khai miễn phí (POST /enroll toggle)</t>
        </is>
      </c>
      <c r="E148" s="15" t="inlineStr">
        <is>
          <t>Chức năng</t>
        </is>
      </c>
      <c r="F148" s="16" t="inlineStr">
        <is>
          <t>Cao</t>
        </is>
      </c>
      <c r="G148" s="17" t="inlineStr">
        <is>
          <t>Đã hoàn thiện</t>
        </is>
      </c>
      <c r="H148" s="17" t="inlineStr">
        <is>
          <t>Có</t>
        </is>
      </c>
      <c r="I14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8" s="15" t="inlineStr">
        <is>
          <t>1. member3@ POST /api/courses/qa-fixture-x/enroll
2. member3@ GET members
3. POST /enroll lần nữa</t>
        </is>
      </c>
      <c r="K148" s="15" t="inlineStr">
        <is>
          <t>-</t>
        </is>
      </c>
      <c r="L148" s="15" t="inlineStr">
        <is>
          <t>Lần 1 200 {enrolled:false}, members -&gt; 403; lần 2 200 {enrolled:true} và vai trò trở lại 'member'</t>
        </is>
      </c>
      <c r="M148" s="15" t="inlineStr"/>
      <c r="N148" s="18" t="inlineStr">
        <is>
          <t>Chưa test</t>
        </is>
      </c>
      <c r="O148" s="15" t="inlineStr"/>
      <c r="P148" s="15" t="inlineStr"/>
      <c r="Q148" s="18" t="inlineStr">
        <is>
          <t>Chưa test</t>
        </is>
      </c>
      <c r="R148" s="15" t="inlineStr"/>
    </row>
    <row r="149" ht="45" customHeight="1">
      <c r="A149" s="14" t="inlineStr">
        <is>
          <t>TC-COMM-148</t>
        </is>
      </c>
      <c r="B149" s="15" t="inlineStr">
        <is>
          <t>Cộng đồng</t>
        </is>
      </c>
      <c r="C149" s="15" t="inlineStr">
        <is>
          <t>Chuyển quyền sở hữu &amp; rời cộng đồng</t>
        </is>
      </c>
      <c r="D149" s="15" t="inlineStr">
        <is>
          <t>Mod rời rồi vào lại: mất vai trò Mod</t>
        </is>
      </c>
      <c r="E149" s="15" t="inlineStr">
        <is>
          <t>Chức năng</t>
        </is>
      </c>
      <c r="F149" s="20" t="inlineStr">
        <is>
          <t>Trung bình</t>
        </is>
      </c>
      <c r="G149" s="17" t="inlineStr">
        <is>
          <t>Đã hoàn thiện</t>
        </is>
      </c>
      <c r="H149" s="17" t="inlineStr">
        <is>
          <t>Có</t>
        </is>
      </c>
      <c r="I14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9" s="15" t="inlineStr">
        <is>
          <t>1. member2@ (Mod) POST /enroll để rời
2. member2@ POST /enroll để vào lại
3. GET members xem roleDetail của member2@</t>
        </is>
      </c>
      <c r="K149" s="15" t="inlineStr">
        <is>
          <t>-</t>
        </is>
      </c>
      <c r="L149" s="15" t="inlineStr">
        <is>
          <t>Sau khi vào lại roleDetail='member' (ghi danh bị xóa khi rời, tạo lại với vai trò mặc định)</t>
        </is>
      </c>
      <c r="M149" s="15" t="inlineStr"/>
      <c r="N149" s="18" t="inlineStr">
        <is>
          <t>Chưa test</t>
        </is>
      </c>
      <c r="O149" s="15" t="inlineStr"/>
      <c r="P149" s="15" t="inlineStr"/>
      <c r="Q149" s="18" t="inlineStr">
        <is>
          <t>Chưa test</t>
        </is>
      </c>
      <c r="R149" s="15" t="inlineStr"/>
    </row>
    <row r="150" ht="30" customHeight="1">
      <c r="A150" s="14" t="inlineStr">
        <is>
          <t>TC-COMM-149</t>
        </is>
      </c>
      <c r="B150" s="15" t="inlineStr">
        <is>
          <t>Cộng đồng</t>
        </is>
      </c>
      <c r="C150" s="15" t="inlineStr">
        <is>
          <t>Chuyển quyền sở hữu &amp; rời cộng đồng</t>
        </is>
      </c>
      <c r="D150" s="15" t="inlineStr">
        <is>
          <t>Owner không thể rời cộng đồng của mình: 409</t>
        </is>
      </c>
      <c r="E150" s="15" t="inlineStr">
        <is>
          <t>Chức năng</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t>
        </is>
      </c>
      <c r="J150" s="15" t="inlineStr">
        <is>
          <t>1. owner@ POST /api/courses/photo/enroll (đang là Owner photo)
2. FE bấm nút 'Đã tham gia' ở trang /courses/photo</t>
        </is>
      </c>
      <c r="K150" s="15" t="inlineStr">
        <is>
          <t>-</t>
        </is>
      </c>
      <c r="L150" s="15" t="inlineStr">
        <is>
          <t>409 CONFLICT 'Chủ cộng đồng không thể rời cộng đồng của mình'; owner@ vẫn là Owner; FE hiện lỗi</t>
        </is>
      </c>
      <c r="M150" s="15" t="inlineStr"/>
      <c r="N150" s="18" t="inlineStr">
        <is>
          <t>Chưa test</t>
        </is>
      </c>
      <c r="O150" s="15" t="inlineStr"/>
      <c r="P150" s="15" t="inlineStr"/>
      <c r="Q150" s="18" t="inlineStr">
        <is>
          <t>Chưa test</t>
        </is>
      </c>
      <c r="R150" s="15" t="inlineStr"/>
    </row>
    <row r="151" ht="45" customHeight="1">
      <c r="A151" s="14" t="inlineStr">
        <is>
          <t>TC-COMM-150</t>
        </is>
      </c>
      <c r="B151" s="15" t="inlineStr">
        <is>
          <t>Cộng đồng</t>
        </is>
      </c>
      <c r="C151" s="15" t="inlineStr">
        <is>
          <t>Đánh giá cộng đồng (1-5 sao)</t>
        </is>
      </c>
      <c r="D151" s="15" t="inlineStr">
        <is>
          <t>Thành viên gửi đánh giá đầu tiên: 201, điểm cộng đồng mới tính đúng</t>
        </is>
      </c>
      <c r="E151" s="15" t="inlineStr">
        <is>
          <t>Chức năng</t>
        </is>
      </c>
      <c r="F151" s="16" t="inlineStr">
        <is>
          <t>Cao</t>
        </is>
      </c>
      <c r="G151" s="17" t="inlineStr">
        <is>
          <t>Đã hoàn thiện</t>
        </is>
      </c>
      <c r="H151" s="17" t="inlineStr">
        <is>
          <t>Có</t>
        </is>
      </c>
      <c r="I151"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51" s="15" t="inlineStr">
        <is>
          <t>1. member3@ POST /api/courses/qa-fixture-x/reviews {rating:5,text:'Rất tốt'}
2. GET /api/courses/qa-fixture-x/reviews
3. GET /api/courses/qa-fixture-x</t>
        </is>
      </c>
      <c r="K151" s="15" t="inlineStr">
        <is>
          <t>rating=5, text='Rất tốt'</t>
        </is>
      </c>
      <c r="L151" s="15" t="inlineStr">
        <is>
          <t>201 data={id,userId,name,rating:5,text:'Rất tốt',createdAt,updatedAt}; danh sách meta.total=1, summary={rating:5,ratingCount:1}; chi tiết cộng đồng rating 5, ratingCount 1</t>
        </is>
      </c>
      <c r="M151" s="15" t="inlineStr"/>
      <c r="N151" s="18" t="inlineStr">
        <is>
          <t>Chưa test</t>
        </is>
      </c>
      <c r="O151" s="15" t="inlineStr"/>
      <c r="P151" s="15" t="inlineStr"/>
      <c r="Q151" s="18" t="inlineStr">
        <is>
          <t>Chưa test</t>
        </is>
      </c>
      <c r="R151" s="15" t="inlineStr"/>
    </row>
    <row r="152" ht="30" customHeight="1">
      <c r="A152" s="14" t="inlineStr">
        <is>
          <t>TC-COMM-151</t>
        </is>
      </c>
      <c r="B152" s="15" t="inlineStr">
        <is>
          <t>Cộng đồng</t>
        </is>
      </c>
      <c r="C152" s="15" t="inlineStr">
        <is>
          <t>Đánh giá cộng đồng (1-5 sao)</t>
        </is>
      </c>
      <c r="D152" s="15" t="inlineStr">
        <is>
          <t>Gửi lại đánh giá là cập nhật (200), không tạo bản ghi thứ hai</t>
        </is>
      </c>
      <c r="E152" s="15" t="inlineStr">
        <is>
          <t>Chức năng</t>
        </is>
      </c>
      <c r="F152" s="16" t="inlineStr">
        <is>
          <t>Cao</t>
        </is>
      </c>
      <c r="G152" s="17" t="inlineStr">
        <is>
          <t>Đã hoàn thiện</t>
        </is>
      </c>
      <c r="H152" s="17" t="inlineStr">
        <is>
          <t>Có</t>
        </is>
      </c>
      <c r="I152"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52" s="15" t="inlineStr">
        <is>
          <t>1. member3@ POST reviews {rating:2,text:'Đổi ý'}
2. GET reviews</t>
        </is>
      </c>
      <c r="K152" s="15" t="inlineStr">
        <is>
          <t>rating=2</t>
        </is>
      </c>
      <c r="L152" s="15" t="inlineStr">
        <is>
          <t>200 (không phải 201); meta.total vẫn 1; summary={rating:2,ratingCount:1}; FE nút đổi thành 'Cập nhật đánh giá'</t>
        </is>
      </c>
      <c r="M152" s="15" t="inlineStr"/>
      <c r="N152" s="18" t="inlineStr">
        <is>
          <t>Chưa test</t>
        </is>
      </c>
      <c r="O152" s="15" t="inlineStr"/>
      <c r="P152" s="15" t="inlineStr"/>
      <c r="Q152" s="18" t="inlineStr">
        <is>
          <t>Chưa test</t>
        </is>
      </c>
      <c r="R152" s="15" t="inlineStr"/>
    </row>
    <row r="153" ht="75" customHeight="1">
      <c r="A153" s="14" t="inlineStr">
        <is>
          <t>TC-COMM-152</t>
        </is>
      </c>
      <c r="B153" s="15" t="inlineStr">
        <is>
          <t>Cộng đồng</t>
        </is>
      </c>
      <c r="C153" s="15" t="inlineStr">
        <is>
          <t>Đánh giá cộng đồng (1-5 sao)</t>
        </is>
      </c>
      <c r="D153" s="15" t="inlineStr">
        <is>
          <t>Trung bình sao tính lại theo nhiều đánh giá và khi xóa</t>
        </is>
      </c>
      <c r="E153" s="15" t="inlineStr">
        <is>
          <t>Chức năng</t>
        </is>
      </c>
      <c r="F153" s="16" t="inlineStr">
        <is>
          <t>Cao</t>
        </is>
      </c>
      <c r="G153" s="17" t="inlineStr">
        <is>
          <t>Đã hoàn thiện</t>
        </is>
      </c>
      <c r="H153" s="17" t="inlineStr">
        <is>
          <t>Có</t>
        </is>
      </c>
      <c r="I153"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53" s="15" t="inlineStr">
        <is>
          <t>1. member3@ đánh giá 5
2. member2@ đánh giá 4
3. GET summary
4. member3@ DELETE /api/courses/qa-fixture-x/reviews/mine
5. GET summary</t>
        </is>
      </c>
      <c r="K153" s="15" t="inlineStr">
        <is>
          <t>5 sao, 4 sao</t>
        </is>
      </c>
      <c r="L153" s="15" t="inlineStr">
        <is>
          <t>Sau 2 đánh giá summary={rating:4.5,ratingCount:2}; sau khi member3@ xóa: {rating:4,ratingCount:1}; xóa nốt: {rating:0,ratingCount:0}</t>
        </is>
      </c>
      <c r="M153" s="15" t="inlineStr"/>
      <c r="N153" s="18" t="inlineStr">
        <is>
          <t>Chưa test</t>
        </is>
      </c>
      <c r="O153" s="15" t="inlineStr"/>
      <c r="P153" s="15" t="inlineStr"/>
      <c r="Q153" s="18" t="inlineStr">
        <is>
          <t>Chưa test</t>
        </is>
      </c>
      <c r="R153" s="15" t="inlineStr"/>
    </row>
    <row r="154" ht="30" customHeight="1">
      <c r="A154" s="14" t="inlineStr">
        <is>
          <t>TC-COMM-153</t>
        </is>
      </c>
      <c r="B154" s="15" t="inlineStr">
        <is>
          <t>Cộng đồng</t>
        </is>
      </c>
      <c r="C154" s="15" t="inlineStr">
        <is>
          <t>Đánh giá cộng đồng (1-5 sao)</t>
        </is>
      </c>
      <c r="D154" s="15" t="inlineStr">
        <is>
          <t>Điểm nền seed của photo cộng với đánh giá thật (4.7/131 + 3 đánh giá)</t>
        </is>
      </c>
      <c r="E154" s="15" t="inlineStr">
        <is>
          <t>Chức năng</t>
        </is>
      </c>
      <c r="F154" s="20" t="inlineStr">
        <is>
          <t>Trung bình</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54" s="15" t="inlineStr">
        <is>
          <t>1. GET /api/courses/photo/reviews
2. GET /api/courses/photo</t>
        </is>
      </c>
      <c r="K154" s="15" t="inlineStr">
        <is>
          <t>-</t>
        </is>
      </c>
      <c r="L154"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54" s="15" t="inlineStr"/>
      <c r="N154" s="18" t="inlineStr">
        <is>
          <t>Chưa test</t>
        </is>
      </c>
      <c r="O154" s="15" t="inlineStr"/>
      <c r="P154" s="15" t="inlineStr"/>
      <c r="Q154" s="18" t="inlineStr">
        <is>
          <t>Chưa test</t>
        </is>
      </c>
      <c r="R154" s="15" t="inlineStr"/>
    </row>
    <row r="155" ht="30" customHeight="1">
      <c r="A155" s="14" t="inlineStr">
        <is>
          <t>TC-COMM-154</t>
        </is>
      </c>
      <c r="B155" s="15" t="inlineStr">
        <is>
          <t>Cộng đồng</t>
        </is>
      </c>
      <c r="C155" s="15" t="inlineStr">
        <is>
          <t>Đánh giá cộng đồng (1-5 sao)</t>
        </is>
      </c>
      <c r="D155" s="15" t="inlineStr">
        <is>
          <t>Điểm đánh giá không hợp lệ: 0, 6, 4.5, chuỗi, thiếu rating</t>
        </is>
      </c>
      <c r="E155" s="15" t="inlineStr">
        <is>
          <t>Chức năng</t>
        </is>
      </c>
      <c r="F155" s="16" t="inlineStr">
        <is>
          <t>Cao</t>
        </is>
      </c>
      <c r="G155" s="17" t="inlineStr">
        <is>
          <t>Đã hoàn thiện</t>
        </is>
      </c>
      <c r="H155" s="17" t="inlineStr">
        <is>
          <t>Có</t>
        </is>
      </c>
      <c r="I15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55" s="15" t="inlineStr">
        <is>
          <t>1. member3@ POST reviews lần lượt rating 0, 6, 4.5, '5', (bỏ trống)</t>
        </is>
      </c>
      <c r="K155" s="15" t="inlineStr">
        <is>
          <t>rating các giá trị</t>
        </is>
      </c>
      <c r="L155" s="15" t="inlineStr">
        <is>
          <t>Tất cả 400 VALIDATION_ERROR: 0 -&gt; 'Điểm tối thiểu là 1'; 6 -&gt; 'Điểm tối đa là 5'; 4.5 -&gt; 'Điểm đánh giá phải là số nguyên'; đánh giá cũ không bị đổi</t>
        </is>
      </c>
      <c r="M155" s="15" t="inlineStr"/>
      <c r="N155" s="18" t="inlineStr">
        <is>
          <t>Chưa test</t>
        </is>
      </c>
      <c r="O155" s="15" t="inlineStr"/>
      <c r="P155" s="15" t="inlineStr"/>
      <c r="Q155" s="18" t="inlineStr">
        <is>
          <t>Chưa test</t>
        </is>
      </c>
      <c r="R155" s="15" t="inlineStr"/>
    </row>
    <row r="156" ht="45" customHeight="1">
      <c r="A156" s="14" t="inlineStr">
        <is>
          <t>TC-COMM-155</t>
        </is>
      </c>
      <c r="B156" s="15" t="inlineStr">
        <is>
          <t>Cộng đồng</t>
        </is>
      </c>
      <c r="C156" s="15" t="inlineStr">
        <is>
          <t>Đánh giá cộng đồng (1-5 sao)</t>
        </is>
      </c>
      <c r="D156" s="15" t="inlineStr">
        <is>
          <t>Nội dung đánh giá: 1000 ký tự hợp lệ, 1001 bị từ chối, bỏ trống được</t>
        </is>
      </c>
      <c r="E156" s="15" t="inlineStr">
        <is>
          <t>Chức năng</t>
        </is>
      </c>
      <c r="F156" s="20" t="inlineStr">
        <is>
          <t>Trung bình</t>
        </is>
      </c>
      <c r="G156" s="17" t="inlineStr">
        <is>
          <t>Đã hoàn thiện</t>
        </is>
      </c>
      <c r="H156" s="17" t="inlineStr">
        <is>
          <t>Có</t>
        </is>
      </c>
      <c r="I15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56" s="15" t="inlineStr">
        <is>
          <t>1. member3@ POST rating 4 text 1000 ký tự
2. POST text 1001 ký tự
3. POST chỉ {rating:3}</t>
        </is>
      </c>
      <c r="K156" s="15" t="inlineStr">
        <is>
          <t>text 1000 / 1001 / (bỏ trống)</t>
        </is>
      </c>
      <c r="L156" s="15" t="inlineStr">
        <is>
          <t>1000 -&gt; 2xx; 1001 -&gt; 400 'Nội dung tối đa 1000 ký tự'; bỏ trống -&gt; 2xx với text=''; chi tiết cộng đồng hiển thị 'Đã đánh giá 3 sao' cho đánh giá không lời</t>
        </is>
      </c>
      <c r="M156" s="15" t="inlineStr"/>
      <c r="N156" s="18" t="inlineStr">
        <is>
          <t>Chưa test</t>
        </is>
      </c>
      <c r="O156" s="15" t="inlineStr"/>
      <c r="P156" s="15" t="inlineStr"/>
      <c r="Q156" s="18" t="inlineStr">
        <is>
          <t>Chưa test</t>
        </is>
      </c>
      <c r="R156" s="15" t="inlineStr"/>
    </row>
    <row r="157" ht="45" customHeight="1">
      <c r="A157" s="14" t="inlineStr">
        <is>
          <t>TC-COMM-156</t>
        </is>
      </c>
      <c r="B157" s="15" t="inlineStr">
        <is>
          <t>Cộng đồng</t>
        </is>
      </c>
      <c r="C157" s="15" t="inlineStr">
        <is>
          <t>Đánh giá cộng đồng (1-5 sao)</t>
        </is>
      </c>
      <c r="D157" s="15" t="inlineStr">
        <is>
          <t>Người chưa tham gia, người bị cấm, khách không đánh giá được</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t>
        </is>
      </c>
      <c r="J157" s="15" t="inlineStr">
        <is>
          <t>1. newbie@ POST /api/courses/photo/reviews {rating:5}
2. banned@ POST cùng payload
3. Không token POST cùng payload</t>
        </is>
      </c>
      <c r="K157" s="15" t="inlineStr">
        <is>
          <t>rating=5</t>
        </is>
      </c>
      <c r="L157" s="15" t="inlineStr">
        <is>
          <t>newbie@ và banned@ nhận 403 FORBIDDEN, message 'Bạn cần tham gia cộng đồng này trước'; khách nhận 401 UNAUTHORIZED, message 'Vui lòng đăng nhập để tiếp tục'; GET /api/courses/photo/reviews vẫn xem công khai (200)</t>
        </is>
      </c>
      <c r="M157" s="15" t="inlineStr"/>
      <c r="N157" s="18" t="inlineStr">
        <is>
          <t>Chưa test</t>
        </is>
      </c>
      <c r="O157" s="15" t="inlineStr"/>
      <c r="P157" s="15" t="inlineStr"/>
      <c r="Q157" s="18" t="inlineStr">
        <is>
          <t>Chưa test</t>
        </is>
      </c>
      <c r="R157" s="15" t="inlineStr"/>
    </row>
    <row r="158" ht="45" customHeight="1">
      <c r="A158" s="14" t="inlineStr">
        <is>
          <t>TC-COMM-157</t>
        </is>
      </c>
      <c r="B158" s="15" t="inlineStr">
        <is>
          <t>Cộng đồng</t>
        </is>
      </c>
      <c r="C158" s="15" t="inlineStr">
        <is>
          <t>Đánh giá cộng đồng (1-5 sao)</t>
        </is>
      </c>
      <c r="D158" s="15" t="inlineStr">
        <is>
          <t>Mod xóa đánh giá của người khác; Member thường không xóa được</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58" s="15" t="inlineStr">
        <is>
          <t>1. member3@ DELETE /api/reviews/&lt;id của member1&gt;
2. mod@ DELETE /api/reviews/&lt;id của member1&gt;
3. GET reviews</t>
        </is>
      </c>
      <c r="K158" s="15" t="inlineStr">
        <is>
          <t>-</t>
        </is>
      </c>
      <c r="L158" s="15" t="inlineStr">
        <is>
          <t>member3@ nhận 403 FORBIDDEN 'Bạn không có quyền thực hiện thao tác này'; mod@ 200 {deleted:true}; summary tính lại (ratingCount 133). Ghi chú: thay đổi seed, cần db:seed lại</t>
        </is>
      </c>
      <c r="M158" s="15" t="inlineStr"/>
      <c r="N158" s="18" t="inlineStr">
        <is>
          <t>Chưa test</t>
        </is>
      </c>
      <c r="O158" s="15" t="inlineStr"/>
      <c r="P158" s="15" t="inlineStr"/>
      <c r="Q158" s="18" t="inlineStr">
        <is>
          <t>Chưa test</t>
        </is>
      </c>
      <c r="R158" s="15" t="inlineStr"/>
    </row>
    <row r="159" ht="45" customHeight="1">
      <c r="A159" s="14" t="inlineStr">
        <is>
          <t>TC-COMM-158</t>
        </is>
      </c>
      <c r="B159" s="15" t="inlineStr">
        <is>
          <t>Cộng đồng</t>
        </is>
      </c>
      <c r="C159" s="15" t="inlineStr">
        <is>
          <t>Đánh giá cộng đồng (1-5 sao)</t>
        </is>
      </c>
      <c r="D159" s="15" t="inlineStr">
        <is>
          <t>Tác giả xóa đánh giá của mình; không có đánh giá thì 404</t>
        </is>
      </c>
      <c r="E159" s="15" t="inlineStr">
        <is>
          <t>Chức năng</t>
        </is>
      </c>
      <c r="F159" s="20" t="inlineStr">
        <is>
          <t>Trung bình</t>
        </is>
      </c>
      <c r="G159" s="17" t="inlineStr">
        <is>
          <t>Đã hoàn thiện</t>
        </is>
      </c>
      <c r="H159" s="17" t="inlineStr">
        <is>
          <t>Có</t>
        </is>
      </c>
      <c r="I15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59" s="15" t="inlineStr">
        <is>
          <t>1. member3@ DELETE /api/courses/qa-fixture-x/reviews/mine
2. DELETE lần 2
3. DELETE /api/reviews/khong-co</t>
        </is>
      </c>
      <c r="K159" s="15" t="inlineStr">
        <is>
          <t>-</t>
        </is>
      </c>
      <c r="L159" s="15" t="inlineStr">
        <is>
          <t>Lần 1 200 {deleted:true}; lần 2 404 'Bạn chưa đánh giá cộng đồng này'; id lạ 404 'Không tìm thấy đánh giá'</t>
        </is>
      </c>
      <c r="M159" s="15" t="inlineStr"/>
      <c r="N159" s="18" t="inlineStr">
        <is>
          <t>Chưa test</t>
        </is>
      </c>
      <c r="O159" s="15" t="inlineStr"/>
      <c r="P159" s="15" t="inlineStr"/>
      <c r="Q159" s="18" t="inlineStr">
        <is>
          <t>Chưa test</t>
        </is>
      </c>
      <c r="R159" s="15" t="inlineStr"/>
    </row>
    <row r="160" ht="60" customHeight="1">
      <c r="A160" s="14" t="inlineStr">
        <is>
          <t>TC-COMM-159</t>
        </is>
      </c>
      <c r="B160" s="15" t="inlineStr">
        <is>
          <t>Cộng đồng</t>
        </is>
      </c>
      <c r="C160" s="15" t="inlineStr">
        <is>
          <t>Đánh giá cộng đồng (1-5 sao)</t>
        </is>
      </c>
      <c r="D160" s="15" t="inlineStr">
        <is>
          <t>Danh sách đánh giá: phân trang, giới hạn và cộng đồng không tồn tại</t>
        </is>
      </c>
      <c r="E160" s="15" t="inlineStr">
        <is>
          <t>Chức năng</t>
        </is>
      </c>
      <c r="F160" s="17" t="inlineStr">
        <is>
          <t>Thấp</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t>
        </is>
      </c>
      <c r="J160" s="15" t="inlineStr">
        <is>
          <t>1. GET /api/courses/photo/reviews?page=1&amp;limit=2
2. ?limit=51
3. ?page=0
4. GET /api/courses/khong-co/reviews</t>
        </is>
      </c>
      <c r="K160" s="15" t="inlineStr">
        <is>
          <t>-</t>
        </is>
      </c>
      <c r="L160" s="15" t="inlineStr">
        <is>
          <t>limit=2 -&gt; data 2 dòng, meta {page:1,limit:2,total:3,totalPages:2}; limit=51 và page=0 -&gt; 400 VALIDATION_ERROR; cộng đồng lạ -&gt; 404 NOT_FOUND, message 'Không tìm thấy khóa học'</t>
        </is>
      </c>
      <c r="M160" s="15" t="inlineStr"/>
      <c r="N160" s="18" t="inlineStr">
        <is>
          <t>Chưa test</t>
        </is>
      </c>
      <c r="O160" s="15" t="inlineStr"/>
      <c r="P160" s="15" t="inlineStr"/>
      <c r="Q160" s="18" t="inlineStr">
        <is>
          <t>Chưa test</t>
        </is>
      </c>
      <c r="R160" s="15" t="inlineStr"/>
    </row>
    <row r="161" ht="30" customHeight="1">
      <c r="A161" s="14" t="inlineStr">
        <is>
          <t>TC-COMM-160</t>
        </is>
      </c>
      <c r="B161" s="15" t="inlineStr">
        <is>
          <t>Cộng đồng</t>
        </is>
      </c>
      <c r="C161" s="15" t="inlineStr">
        <is>
          <t>Đánh giá cộng đồng (1-5 sao)</t>
        </is>
      </c>
      <c r="D161" s="15" t="inlineStr">
        <is>
          <t>Nội dung đánh giá chứa HTML/script hiển thị an toàn</t>
        </is>
      </c>
      <c r="E161" s="15" t="inlineStr">
        <is>
          <t>Bảo mật</t>
        </is>
      </c>
      <c r="F161" s="20" t="inlineStr">
        <is>
          <t>Trung bình</t>
        </is>
      </c>
      <c r="G161" s="17" t="inlineStr">
        <is>
          <t>Đã hoàn thiện</t>
        </is>
      </c>
      <c r="H161" s="17" t="inlineStr">
        <is>
          <t>Có</t>
        </is>
      </c>
      <c r="I16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61" s="15" t="inlineStr">
        <is>
          <t>1. member3@ POST rating 5 text '&lt;script&gt;alert(1)&lt;/script&gt;'
2. Mở /courses/qa-fixture-x, cuộn tới 'Đánh giá từ học viên'</t>
        </is>
      </c>
      <c r="K161" s="15" t="inlineStr">
        <is>
          <t>text có thẻ script</t>
        </is>
      </c>
      <c r="L161" s="15" t="inlineStr">
        <is>
          <t>API lưu nguyên văn; FE hiển thị dạng chữ, không thực thi script</t>
        </is>
      </c>
      <c r="M161" s="15" t="inlineStr"/>
      <c r="N161" s="18" t="inlineStr">
        <is>
          <t>Chưa test</t>
        </is>
      </c>
      <c r="O161" s="15" t="inlineStr"/>
      <c r="P161" s="15" t="inlineStr"/>
      <c r="Q161" s="18" t="inlineStr">
        <is>
          <t>Chưa test</t>
        </is>
      </c>
      <c r="R161" s="15" t="inlineStr"/>
    </row>
    <row r="162" ht="45" customHeight="1">
      <c r="A162" s="14" t="inlineStr">
        <is>
          <t>TC-COMM-161</t>
        </is>
      </c>
      <c r="B162" s="15" t="inlineStr">
        <is>
          <t>Cộng đồng</t>
        </is>
      </c>
      <c r="C162" s="15" t="inlineStr">
        <is>
          <t>Đánh giá cộng đồng (1-5 sao)</t>
        </is>
      </c>
      <c r="D162" s="15" t="inlineStr">
        <is>
          <t>FE đánh giá: khách chỉ đọc, thành viên chọn sao bắt buộc, Mod thấy thùng rác</t>
        </is>
      </c>
      <c r="E162" s="15" t="inlineStr">
        <is>
          <t>Giao diện</t>
        </is>
      </c>
      <c r="F162" s="20" t="inlineStr">
        <is>
          <t>Trung bình</t>
        </is>
      </c>
      <c r="G162" s="17" t="inlineStr">
        <is>
          <t>Đã hoàn thiện</t>
        </is>
      </c>
      <c r="H162" s="17" t="inlineStr">
        <is>
          <t>Có</t>
        </is>
      </c>
      <c r="I16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62" s="15" t="inlineStr">
        <is>
          <t>1. Khách mở /courses/qa-fixture-x, xem phần đánh giá
2. member3@ bấm Gửi đánh giá khi chưa chọn sao
3. mod (member2@) xem đánh giá của member3@</t>
        </is>
      </c>
      <c r="K162" s="15" t="inlineStr">
        <is>
          <t>-</t>
        </is>
      </c>
      <c r="L162" s="15" t="inlineStr">
        <is>
          <t>Khách thấy 'Tham gia cộng đồng để viết đánh giá của bạn'; không chọn sao báo 'Vui lòng chọn số sao'; Mod+ có icon thùng rác, Member thường không có</t>
        </is>
      </c>
      <c r="M162" s="15" t="inlineStr"/>
      <c r="N162" s="18" t="inlineStr">
        <is>
          <t>Chưa test</t>
        </is>
      </c>
      <c r="O162" s="15" t="inlineStr"/>
      <c r="P162" s="15" t="inlineStr"/>
      <c r="Q162" s="18" t="inlineStr">
        <is>
          <t>Chưa test</t>
        </is>
      </c>
      <c r="R162" s="15" t="inlineStr"/>
    </row>
    <row r="163" ht="30" customHeight="1">
      <c r="A163" s="14" t="inlineStr">
        <is>
          <t>TC-COMM-162</t>
        </is>
      </c>
      <c r="B163" s="15" t="inlineStr">
        <is>
          <t>Cộng đồng</t>
        </is>
      </c>
      <c r="C163" s="15" t="inlineStr">
        <is>
          <t>Ma trận phân quyền (hành động x vai trò)</t>
        </is>
      </c>
      <c r="D163" s="15" t="inlineStr">
        <is>
          <t>Xem danh sách thành viên photo — vai trò Khách</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không đăng nhập (không gửi Authorization)</t>
        </is>
      </c>
      <c r="J163" s="15" t="inlineStr">
        <is>
          <t>1. Không đăng nhập
2. GET /api/courses/photo/members</t>
        </is>
      </c>
      <c r="K163" s="15" t="inlineStr">
        <is>
          <t>-</t>
        </is>
      </c>
      <c r="L163" s="15" t="inlineStr">
        <is>
          <t>401 UNAUTHORIZED, message 'Vui lòng đăng nhập để tiếp tục'</t>
        </is>
      </c>
      <c r="M163" s="15" t="inlineStr"/>
      <c r="N163" s="18" t="inlineStr">
        <is>
          <t>Chưa test</t>
        </is>
      </c>
      <c r="O163" s="15" t="inlineStr"/>
      <c r="P163" s="15" t="inlineStr"/>
      <c r="Q163" s="18" t="inlineStr">
        <is>
          <t>Chưa test</t>
        </is>
      </c>
      <c r="R163" s="15" t="inlineStr"/>
    </row>
    <row r="164" ht="30" customHeight="1">
      <c r="A164" s="14" t="inlineStr">
        <is>
          <t>TC-COMM-163</t>
        </is>
      </c>
      <c r="B164" s="15" t="inlineStr">
        <is>
          <t>Cộng đồng</t>
        </is>
      </c>
      <c r="C164" s="15" t="inlineStr">
        <is>
          <t>Ma trận phân quyền (hành động x vai trò)</t>
        </is>
      </c>
      <c r="D164" s="15" t="inlineStr">
        <is>
          <t>Xem danh sách thành viên photo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newbie@sofinhub.test (chưa ở cộng đồng nào)</t>
        </is>
      </c>
      <c r="J164" s="15" t="inlineStr">
        <is>
          <t>1. Đăng nhập bằng newbie@sofinhub.test (chưa ở cộng đồng nào)
2. GET /api/courses/photo/members</t>
        </is>
      </c>
      <c r="K164" s="15" t="inlineStr">
        <is>
          <t>-</t>
        </is>
      </c>
      <c r="L164" s="15" t="inlineStr">
        <is>
          <t>403 FORBIDDEN, message 'Bạn cần tham gia cộng đồng này trước'</t>
        </is>
      </c>
      <c r="M164" s="15" t="inlineStr"/>
      <c r="N164" s="18" t="inlineStr">
        <is>
          <t>Chưa test</t>
        </is>
      </c>
      <c r="O164" s="15" t="inlineStr"/>
      <c r="P164" s="15" t="inlineStr"/>
      <c r="Q164" s="18" t="inlineStr">
        <is>
          <t>Chưa test</t>
        </is>
      </c>
      <c r="R164" s="15" t="inlineStr"/>
    </row>
    <row r="165" ht="30" customHeight="1">
      <c r="A165" s="14" t="inlineStr">
        <is>
          <t>TC-COMM-164</t>
        </is>
      </c>
      <c r="B165" s="15" t="inlineStr">
        <is>
          <t>Cộng đồng</t>
        </is>
      </c>
      <c r="C165" s="15" t="inlineStr">
        <is>
          <t>Ma trận phân quyền (hành động x vai trò)</t>
        </is>
      </c>
      <c r="D165" s="15" t="inlineStr">
        <is>
          <t>Xem danh sách thành viên photo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member1@sofinhub.test (Member photo)</t>
        </is>
      </c>
      <c r="J165" s="15" t="inlineStr">
        <is>
          <t>1. Đăng nhập bằng member1@sofinhub.test (Member photo)
2. GET /api/courses/photo/members</t>
        </is>
      </c>
      <c r="K165" s="15" t="inlineStr">
        <is>
          <t>-</t>
        </is>
      </c>
      <c r="L165" s="15" t="inlineStr">
        <is>
          <t>200, meta.total=66</t>
        </is>
      </c>
      <c r="M165" s="15" t="inlineStr"/>
      <c r="N165" s="18" t="inlineStr">
        <is>
          <t>Chưa test</t>
        </is>
      </c>
      <c r="O165" s="15" t="inlineStr"/>
      <c r="P165" s="15" t="inlineStr"/>
      <c r="Q165" s="18" t="inlineStr">
        <is>
          <t>Chưa test</t>
        </is>
      </c>
      <c r="R165" s="15" t="inlineStr"/>
    </row>
    <row r="166" ht="30" customHeight="1">
      <c r="A166" s="14" t="inlineStr">
        <is>
          <t>TC-COMM-165</t>
        </is>
      </c>
      <c r="B166" s="15" t="inlineStr">
        <is>
          <t>Cộng đồng</t>
        </is>
      </c>
      <c r="C166" s="15" t="inlineStr">
        <is>
          <t>Ma trận phân quyền (hành động x vai trò)</t>
        </is>
      </c>
      <c r="D166" s="15" t="inlineStr">
        <is>
          <t>Xem danh sách thành viên photo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mod@sofinhub.test (Mod photo)</t>
        </is>
      </c>
      <c r="J166" s="15" t="inlineStr">
        <is>
          <t>1. Đăng nhập bằng mod@sofinhub.test (Mod photo)
2. GET /api/courses/photo/members</t>
        </is>
      </c>
      <c r="K166" s="15" t="inlineStr">
        <is>
          <t>-</t>
        </is>
      </c>
      <c r="L166" s="15" t="inlineStr">
        <is>
          <t>200, meta.total=66</t>
        </is>
      </c>
      <c r="M166" s="15" t="inlineStr"/>
      <c r="N166" s="18" t="inlineStr">
        <is>
          <t>Chưa test</t>
        </is>
      </c>
      <c r="O166" s="15" t="inlineStr"/>
      <c r="P166" s="15" t="inlineStr"/>
      <c r="Q166" s="18" t="inlineStr">
        <is>
          <t>Chưa test</t>
        </is>
      </c>
      <c r="R166" s="15" t="inlineStr"/>
    </row>
    <row r="167" ht="30" customHeight="1">
      <c r="A167" s="14" t="inlineStr">
        <is>
          <t>TC-COMM-166</t>
        </is>
      </c>
      <c r="B167" s="15" t="inlineStr">
        <is>
          <t>Cộng đồng</t>
        </is>
      </c>
      <c r="C167" s="15" t="inlineStr">
        <is>
          <t>Ma trận phân quyền (hành động x vai trò)</t>
        </is>
      </c>
      <c r="D167" s="15" t="inlineStr">
        <is>
          <t>Xem danh sách thành viên photo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cadmin@sofinhub.test (Admin photo)</t>
        </is>
      </c>
      <c r="J167" s="15" t="inlineStr">
        <is>
          <t>1. Đăng nhập bằng cadmin@sofinhub.test (Admin photo)
2. GET /api/courses/photo/members</t>
        </is>
      </c>
      <c r="K167" s="15" t="inlineStr">
        <is>
          <t>-</t>
        </is>
      </c>
      <c r="L167" s="15" t="inlineStr">
        <is>
          <t>200, meta.total=66</t>
        </is>
      </c>
      <c r="M167" s="15" t="inlineStr"/>
      <c r="N167" s="18" t="inlineStr">
        <is>
          <t>Chưa test</t>
        </is>
      </c>
      <c r="O167" s="15" t="inlineStr"/>
      <c r="P167" s="15" t="inlineStr"/>
      <c r="Q167" s="18" t="inlineStr">
        <is>
          <t>Chưa test</t>
        </is>
      </c>
      <c r="R167" s="15" t="inlineStr"/>
    </row>
    <row r="168" ht="30" customHeight="1">
      <c r="A168" s="14" t="inlineStr">
        <is>
          <t>TC-COMM-167</t>
        </is>
      </c>
      <c r="B168" s="15" t="inlineStr">
        <is>
          <t>Cộng đồng</t>
        </is>
      </c>
      <c r="C168" s="15" t="inlineStr">
        <is>
          <t>Ma trận phân quyền (hành động x vai trò)</t>
        </is>
      </c>
      <c r="D168" s="15" t="inlineStr">
        <is>
          <t>Xem danh sách thành viên photo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owner@sofinhub.test (Owner photo, private-demo, paid-demo)</t>
        </is>
      </c>
      <c r="J168" s="15" t="inlineStr">
        <is>
          <t>1. Đăng nhập bằng owner@sofinhub.test (Owner photo, private-demo, paid-demo)
2. GET /api/courses/photo/members</t>
        </is>
      </c>
      <c r="K168" s="15" t="inlineStr">
        <is>
          <t>-</t>
        </is>
      </c>
      <c r="L168" s="15" t="inlineStr">
        <is>
          <t>200, meta.total=66</t>
        </is>
      </c>
      <c r="M168" s="15" t="inlineStr"/>
      <c r="N168" s="18" t="inlineStr">
        <is>
          <t>Chưa test</t>
        </is>
      </c>
      <c r="O168" s="15" t="inlineStr"/>
      <c r="P168" s="15" t="inlineStr"/>
      <c r="Q168" s="18" t="inlineStr">
        <is>
          <t>Chưa test</t>
        </is>
      </c>
      <c r="R168" s="15" t="inlineStr"/>
    </row>
    <row r="169" ht="30" customHeight="1">
      <c r="A169" s="14" t="inlineStr">
        <is>
          <t>TC-COMM-168</t>
        </is>
      </c>
      <c r="B169" s="15" t="inlineStr">
        <is>
          <t>Cộng đồng</t>
        </is>
      </c>
      <c r="C169" s="15" t="inlineStr">
        <is>
          <t>Ma trận phân quyền (hành động x vai trò)</t>
        </is>
      </c>
      <c r="D169" s="15" t="inlineStr">
        <is>
          <t>Xem danh sách thành viên photo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admin@sofinhub.test (Platform Admin, không ghi danh ở photo)</t>
        </is>
      </c>
      <c r="J169" s="15" t="inlineStr">
        <is>
          <t>1. Đăng nhập bằng admin@sofinhub.test (Platform Admin, không ghi danh ở photo)
2. GET /api/courses/photo/members</t>
        </is>
      </c>
      <c r="K169" s="15" t="inlineStr">
        <is>
          <t>-</t>
        </is>
      </c>
      <c r="L169" s="15" t="inlineStr">
        <is>
          <t>200, meta.total=66 (đã sửa: requireMembership cho qua Platform Admin chưa ghi danh, khớp mô tả 'ghi đè mọi cộng đồng'; trước đây 403)</t>
        </is>
      </c>
      <c r="M169" s="15" t="inlineStr"/>
      <c r="N169" s="18" t="inlineStr">
        <is>
          <t>Chưa test</t>
        </is>
      </c>
      <c r="O169" s="15" t="inlineStr"/>
      <c r="P169" s="15" t="inlineStr"/>
      <c r="Q169" s="18" t="inlineStr">
        <is>
          <t>Chưa test</t>
        </is>
      </c>
      <c r="R169" s="15" t="inlineStr"/>
    </row>
    <row r="170" ht="30" customHeight="1">
      <c r="A170" s="14" t="inlineStr">
        <is>
          <t>TC-COMM-169</t>
        </is>
      </c>
      <c r="B170" s="15" t="inlineStr">
        <is>
          <t>Cộng đồng</t>
        </is>
      </c>
      <c r="C170" s="15" t="inlineStr">
        <is>
          <t>Ma trận phân quyền (hành động x vai trò)</t>
        </is>
      </c>
      <c r="D170" s="15" t="inlineStr">
        <is>
          <t>Xem danh sách thành viên photo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banned@sofinhub.test (bị cấm khỏi photo)</t>
        </is>
      </c>
      <c r="J170" s="15" t="inlineStr">
        <is>
          <t>1. Đăng nhập bằng banned@sofinhub.test (bị cấm khỏi photo)
2. GET /api/courses/photo/members</t>
        </is>
      </c>
      <c r="K170" s="15" t="inlineStr">
        <is>
          <t>-</t>
        </is>
      </c>
      <c r="L170" s="15" t="inlineStr">
        <is>
          <t>403 FORBIDDEN, message 'Bạn cần tham gia cộng đồng này trước' (dòng ghi danh còn nhưng bị CommunityBan)</t>
        </is>
      </c>
      <c r="M170" s="15" t="inlineStr"/>
      <c r="N170" s="18" t="inlineStr">
        <is>
          <t>Chưa test</t>
        </is>
      </c>
      <c r="O170" s="15" t="inlineStr"/>
      <c r="P170" s="15" t="inlineStr"/>
      <c r="Q170" s="18" t="inlineStr">
        <is>
          <t>Chưa test</t>
        </is>
      </c>
      <c r="R170" s="15" t="inlineStr"/>
    </row>
    <row r="171" ht="30" customHeight="1">
      <c r="A171" s="14" t="inlineStr">
        <is>
          <t>TC-COMM-170</t>
        </is>
      </c>
      <c r="B171" s="15" t="inlineStr">
        <is>
          <t>Cộng đồng</t>
        </is>
      </c>
      <c r="C171" s="15" t="inlineStr">
        <is>
          <t>Ma trận phân quyền (hành động x vai trò)</t>
        </is>
      </c>
      <c r="D171" s="15" t="inlineStr">
        <is>
          <t>Sửa tên cộng đồng photo (PATCH title) — vai trò Khách</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71" s="15" t="inlineStr">
        <is>
          <t>1. Không đăng nhập
2. PATCH /api/courses/photo {title:'Nhiếp ảnh (QA)'}</t>
        </is>
      </c>
      <c r="K171" s="15" t="inlineStr">
        <is>
          <t>title='Nhiếp ảnh (QA)'</t>
        </is>
      </c>
      <c r="L171" s="15" t="inlineStr">
        <is>
          <t>401 UNAUTHORIZED, message 'Vui lòng đăng nhập để tiếp tục'</t>
        </is>
      </c>
      <c r="M171" s="15" t="inlineStr"/>
      <c r="N171" s="18" t="inlineStr">
        <is>
          <t>Chưa test</t>
        </is>
      </c>
      <c r="O171" s="15" t="inlineStr"/>
      <c r="P171" s="15" t="inlineStr"/>
      <c r="Q171" s="18" t="inlineStr">
        <is>
          <t>Chưa test</t>
        </is>
      </c>
      <c r="R171" s="15" t="inlineStr"/>
    </row>
    <row r="172" ht="30" customHeight="1">
      <c r="A172" s="14" t="inlineStr">
        <is>
          <t>TC-COMM-171</t>
        </is>
      </c>
      <c r="B172" s="15" t="inlineStr">
        <is>
          <t>Cộng đồng</t>
        </is>
      </c>
      <c r="C172" s="15" t="inlineStr">
        <is>
          <t>Ma trận phân quyền (hành động x vai trò)</t>
        </is>
      </c>
      <c r="D172" s="15" t="inlineStr">
        <is>
          <t>Sửa tên cộng đồng photo (PATCH title) — vai trò Người chưa tham gia</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72" s="15" t="inlineStr">
        <is>
          <t>1. Đăng nhập bằng newbie@sofinhub.test (chưa ở cộng đồng nào)
2. PATCH /api/courses/photo {title:'Nhiếp ảnh (QA)'}</t>
        </is>
      </c>
      <c r="K172" s="15" t="inlineStr">
        <is>
          <t>title='Nhiếp ảnh (QA)'</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TC-COMM-172</t>
        </is>
      </c>
      <c r="B173" s="15" t="inlineStr">
        <is>
          <t>Cộng đồng</t>
        </is>
      </c>
      <c r="C173" s="15" t="inlineStr">
        <is>
          <t>Ma trận phân quyền (hành động x vai trò)</t>
        </is>
      </c>
      <c r="D173" s="15" t="inlineStr">
        <is>
          <t>Sửa tên cộng đồng photo (PATCH title) — vai trò Member</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73" s="15" t="inlineStr">
        <is>
          <t>1. Đăng nhập bằng member1@sofinhub.test (Member photo)
2. PATCH /api/courses/photo {title:'Nhiếp ảnh (QA)'}</t>
        </is>
      </c>
      <c r="K173" s="15" t="inlineStr">
        <is>
          <t>title='Nhiếp ảnh (QA)'</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TC-COMM-173</t>
        </is>
      </c>
      <c r="B174" s="15" t="inlineStr">
        <is>
          <t>Cộng đồng</t>
        </is>
      </c>
      <c r="C174" s="15" t="inlineStr">
        <is>
          <t>Ma trận phân quyền (hành động x vai trò)</t>
        </is>
      </c>
      <c r="D174" s="15" t="inlineStr">
        <is>
          <t>Sửa tên cộng đồng photo (PATCH title) — vai trò Mod</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74" s="15" t="inlineStr">
        <is>
          <t>1. Đăng nhập bằng mod@sofinhub.test (Mod photo)
2. PATCH /api/courses/photo {title:'Nhiếp ảnh (QA)'}</t>
        </is>
      </c>
      <c r="K174" s="15" t="inlineStr">
        <is>
          <t>title='Nhiếp ảnh (QA)'</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TC-COMM-174</t>
        </is>
      </c>
      <c r="B175" s="15" t="inlineStr">
        <is>
          <t>Cộng đồng</t>
        </is>
      </c>
      <c r="C175" s="15" t="inlineStr">
        <is>
          <t>Ma trận phân quyền (hành động x vai trò)</t>
        </is>
      </c>
      <c r="D175" s="15" t="inlineStr">
        <is>
          <t>Sửa tên cộng đồng photo (PATCH title) — vai trò Admin cộng đồng</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75" s="15" t="inlineStr">
        <is>
          <t>1. Đăng nhập bằng cadmin@sofinhub.test (Admin photo)
2. PATCH /api/courses/photo {title:'Nhiếp ảnh (QA)'}</t>
        </is>
      </c>
      <c r="K175" s="15" t="inlineStr">
        <is>
          <t>title='Nhiếp ảnh (QA)'</t>
        </is>
      </c>
      <c r="L175" s="15" t="inlineStr">
        <is>
          <t>200, title đổi, viewerRole='admin'</t>
        </is>
      </c>
      <c r="M175" s="15" t="inlineStr"/>
      <c r="N175" s="18" t="inlineStr">
        <is>
          <t>Chưa test</t>
        </is>
      </c>
      <c r="O175" s="15" t="inlineStr"/>
      <c r="P175" s="15" t="inlineStr"/>
      <c r="Q175" s="18" t="inlineStr">
        <is>
          <t>Chưa test</t>
        </is>
      </c>
      <c r="R175" s="15" t="inlineStr"/>
    </row>
    <row r="176" ht="30" customHeight="1">
      <c r="A176" s="14" t="inlineStr">
        <is>
          <t>TC-COMM-175</t>
        </is>
      </c>
      <c r="B176" s="15" t="inlineStr">
        <is>
          <t>Cộng đồng</t>
        </is>
      </c>
      <c r="C176" s="15" t="inlineStr">
        <is>
          <t>Ma trận phân quyền (hành động x vai trò)</t>
        </is>
      </c>
      <c r="D176" s="15" t="inlineStr">
        <is>
          <t>Sửa tên cộng đồng photo (PATCH title) — vai trò Owner</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76" s="15" t="inlineStr">
        <is>
          <t>1. Đăng nhập bằng owner@sofinhub.test (Owner photo, private-demo, paid-demo)
2. PATCH /api/courses/photo {title:'Nhiếp ảnh (QA)'}</t>
        </is>
      </c>
      <c r="K176" s="15" t="inlineStr">
        <is>
          <t>title='Nhiếp ảnh (QA)'</t>
        </is>
      </c>
      <c r="L176" s="15" t="inlineStr">
        <is>
          <t>200, title đổi, viewerRole='owner'</t>
        </is>
      </c>
      <c r="M176" s="15" t="inlineStr"/>
      <c r="N176" s="18" t="inlineStr">
        <is>
          <t>Chưa test</t>
        </is>
      </c>
      <c r="O176" s="15" t="inlineStr"/>
      <c r="P176" s="15" t="inlineStr"/>
      <c r="Q176" s="18" t="inlineStr">
        <is>
          <t>Chưa test</t>
        </is>
      </c>
      <c r="R176" s="15" t="inlineStr"/>
    </row>
    <row r="177" ht="30" customHeight="1">
      <c r="A177" s="14" t="inlineStr">
        <is>
          <t>TC-COMM-176</t>
        </is>
      </c>
      <c r="B177" s="15" t="inlineStr">
        <is>
          <t>Cộng đồng</t>
        </is>
      </c>
      <c r="C177" s="15" t="inlineStr">
        <is>
          <t>Ma trận phân quyền (hành động x vai trò)</t>
        </is>
      </c>
      <c r="D177" s="15" t="inlineStr">
        <is>
          <t>Sửa tên cộng đồng photo (PATCH title) — vai trò Platform Admin</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77" s="15" t="inlineStr">
        <is>
          <t>1. Đăng nhập bằng admin@sofinhub.test (Platform Admin, không ghi danh ở photo)
2. PATCH /api/courses/photo {title:'Nhiếp ảnh (QA)'}</t>
        </is>
      </c>
      <c r="K177" s="15" t="inlineStr">
        <is>
          <t>title='Nhiếp ảnh (QA)'</t>
        </is>
      </c>
      <c r="L177" s="15" t="inlineStr">
        <is>
          <t>200, title đổi, viewerRole='platform_admin'</t>
        </is>
      </c>
      <c r="M177" s="15" t="inlineStr"/>
      <c r="N177" s="18" t="inlineStr">
        <is>
          <t>Chưa test</t>
        </is>
      </c>
      <c r="O177" s="15" t="inlineStr"/>
      <c r="P177" s="15" t="inlineStr"/>
      <c r="Q177" s="18" t="inlineStr">
        <is>
          <t>Chưa test</t>
        </is>
      </c>
      <c r="R177" s="15" t="inlineStr"/>
    </row>
    <row r="178" ht="30" customHeight="1">
      <c r="A178" s="14" t="inlineStr">
        <is>
          <t>TC-COMM-177</t>
        </is>
      </c>
      <c r="B178" s="15" t="inlineStr">
        <is>
          <t>Cộng đồng</t>
        </is>
      </c>
      <c r="C178" s="15" t="inlineStr">
        <is>
          <t>Ma trận phân quyền (hành động x vai trò)</t>
        </is>
      </c>
      <c r="D178" s="15" t="inlineStr">
        <is>
          <t>Sửa tên cộng đồng photo (PATCH title) — vai trò Người bị cấm</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78" s="15" t="inlineStr">
        <is>
          <t>1. Đăng nhập bằng banned@sofinhub.test (bị cấm khỏi photo)
2. PATCH /api/courses/photo {title:'Nhiếp ảnh (QA)'}</t>
        </is>
      </c>
      <c r="K178" s="15" t="inlineStr">
        <is>
          <t>title='Nhiếp ảnh (QA)'</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TC-COMM-178</t>
        </is>
      </c>
      <c r="B179" s="15" t="inlineStr">
        <is>
          <t>Cộng đồng</t>
        </is>
      </c>
      <c r="C179" s="15" t="inlineStr">
        <is>
          <t>Ma trận phân quyền (hành động x vai trò)</t>
        </is>
      </c>
      <c r="D179" s="15" t="inlineStr">
        <is>
          <t>Đổi giá cộng đồng photo (PATCH priceUsd) — vai trò Người chưa tham gia</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79" s="15" t="inlineStr">
        <is>
          <t>1. Đăng nhập bằng newbie@sofinhub.test (chưa ở cộng đồng nào)
2. PATCH /api/courses/photo {priceUsd:0}</t>
        </is>
      </c>
      <c r="K179" s="15" t="inlineStr">
        <is>
          <t>priceUsd=0</t>
        </is>
      </c>
      <c r="L179" s="15" t="inlineStr">
        <is>
          <t>403 FORBIDDEN, message 'Bạn không có quyền thực hiện thao tác này trong cộng đồng'</t>
        </is>
      </c>
      <c r="M179" s="15" t="inlineStr"/>
      <c r="N179" s="18" t="inlineStr">
        <is>
          <t>Chưa test</t>
        </is>
      </c>
      <c r="O179" s="15" t="inlineStr"/>
      <c r="P179" s="15" t="inlineStr"/>
      <c r="Q179" s="18" t="inlineStr">
        <is>
          <t>Chưa test</t>
        </is>
      </c>
      <c r="R179" s="15" t="inlineStr"/>
    </row>
    <row r="180" ht="30" customHeight="1">
      <c r="A180" s="14" t="inlineStr">
        <is>
          <t>TC-COMM-179</t>
        </is>
      </c>
      <c r="B180" s="15" t="inlineStr">
        <is>
          <t>Cộng đồng</t>
        </is>
      </c>
      <c r="C180" s="15" t="inlineStr">
        <is>
          <t>Ma trận phân quyền (hành động x vai trò)</t>
        </is>
      </c>
      <c r="D180" s="15" t="inlineStr">
        <is>
          <t>Đổi giá cộng đồng photo (PATCH priceUsd) — vai trò Member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80" s="15" t="inlineStr">
        <is>
          <t>1. Đăng nhập bằng member1@sofinhub.test (Member photo)
2. PATCH /api/courses/photo {priceUsd:0}</t>
        </is>
      </c>
      <c r="K180" s="15" t="inlineStr">
        <is>
          <t>priceUsd=0</t>
        </is>
      </c>
      <c r="L180" s="15" t="inlineStr">
        <is>
          <t>403 FORBIDDEN, message 'Bạn không có quyền thực hiện thao tác này trong cộng đồng'</t>
        </is>
      </c>
      <c r="M180" s="15" t="inlineStr"/>
      <c r="N180" s="18" t="inlineStr">
        <is>
          <t>Chưa test</t>
        </is>
      </c>
      <c r="O180" s="15" t="inlineStr"/>
      <c r="P180" s="15" t="inlineStr"/>
      <c r="Q180" s="18" t="inlineStr">
        <is>
          <t>Chưa test</t>
        </is>
      </c>
      <c r="R180" s="15" t="inlineStr"/>
    </row>
    <row r="181" ht="30" customHeight="1">
      <c r="A181" s="14" t="inlineStr">
        <is>
          <t>TC-COMM-180</t>
        </is>
      </c>
      <c r="B181" s="15" t="inlineStr">
        <is>
          <t>Cộng đồng</t>
        </is>
      </c>
      <c r="C181" s="15" t="inlineStr">
        <is>
          <t>Ma trận phân quyền (hành động x vai trò)</t>
        </is>
      </c>
      <c r="D181" s="15" t="inlineStr">
        <is>
          <t>Đổi giá cộng đồng photo (PATCH priceUsd) — vai trò Mod</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81" s="15" t="inlineStr">
        <is>
          <t>1. Đăng nhập bằng mod@sofinhub.test (Mod photo)
2. PATCH /api/courses/photo {priceUsd:0}</t>
        </is>
      </c>
      <c r="K181" s="15" t="inlineStr">
        <is>
          <t>priceUsd=0</t>
        </is>
      </c>
      <c r="L181" s="15" t="inlineStr">
        <is>
          <t>403 FORBIDDEN, message 'Bạn không có quyền thực hiện thao tác này trong cộng đồng'</t>
        </is>
      </c>
      <c r="M181" s="15" t="inlineStr"/>
      <c r="N181" s="18" t="inlineStr">
        <is>
          <t>Chưa test</t>
        </is>
      </c>
      <c r="O181" s="15" t="inlineStr"/>
      <c r="P181" s="15" t="inlineStr"/>
      <c r="Q181" s="18" t="inlineStr">
        <is>
          <t>Chưa test</t>
        </is>
      </c>
      <c r="R181" s="15" t="inlineStr"/>
    </row>
    <row r="182" ht="30" customHeight="1">
      <c r="A182" s="14" t="inlineStr">
        <is>
          <t>TC-COMM-181</t>
        </is>
      </c>
      <c r="B182" s="15" t="inlineStr">
        <is>
          <t>Cộng đồng</t>
        </is>
      </c>
      <c r="C182" s="15" t="inlineStr">
        <is>
          <t>Ma trận phân quyền (hành động x vai trò)</t>
        </is>
      </c>
      <c r="D182" s="15" t="inlineStr">
        <is>
          <t>Đổi giá cộng đồng photo (PATCH priceUsd) — vai trò Admin cộng đồng</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82" s="15" t="inlineStr">
        <is>
          <t>1. Đăng nhập bằng cadmin@sofinhub.test (Admin photo)
2. PATCH /api/courses/photo {priceUsd:0}</t>
        </is>
      </c>
      <c r="K182" s="15" t="inlineStr">
        <is>
          <t>priceUsd=0</t>
        </is>
      </c>
      <c r="L182" s="15" t="inlineStr">
        <is>
          <t>403 FORBIDDEN, message 'Bạn không có quyền thực hiện thao tác này trong cộng đồng' (Admin không đổi được giá)</t>
        </is>
      </c>
      <c r="M182" s="15" t="inlineStr"/>
      <c r="N182" s="18" t="inlineStr">
        <is>
          <t>Chưa test</t>
        </is>
      </c>
      <c r="O182" s="15" t="inlineStr"/>
      <c r="P182" s="15" t="inlineStr"/>
      <c r="Q182" s="18" t="inlineStr">
        <is>
          <t>Chưa test</t>
        </is>
      </c>
      <c r="R182" s="15" t="inlineStr"/>
    </row>
    <row r="183" ht="30" customHeight="1">
      <c r="A183" s="14" t="inlineStr">
        <is>
          <t>TC-COMM-182</t>
        </is>
      </c>
      <c r="B183" s="15" t="inlineStr">
        <is>
          <t>Cộng đồng</t>
        </is>
      </c>
      <c r="C183" s="15" t="inlineStr">
        <is>
          <t>Ma trận phân quyền (hành động x vai trò)</t>
        </is>
      </c>
      <c r="D183" s="15" t="inlineStr">
        <is>
          <t>Đổi giá cộng đồng photo (PATCH priceUsd) — vai trò Owner</t>
        </is>
      </c>
      <c r="E183" s="15" t="inlineStr">
        <is>
          <t>Bảo mật</t>
        </is>
      </c>
      <c r="F183" s="16" t="inlineStr">
        <is>
          <t>Cao</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83" s="15" t="inlineStr">
        <is>
          <t>1. Đăng nhập bằng owner@sofinhub.test (Owner photo, private-demo, paid-demo)
2. PATCH /api/courses/photo {priceUsd:0}</t>
        </is>
      </c>
      <c r="K183" s="15" t="inlineStr">
        <is>
          <t>priceUsd=0</t>
        </is>
      </c>
      <c r="L183" s="15" t="inlineStr">
        <is>
          <t>200, priceUsd=0, pricing='free'</t>
        </is>
      </c>
      <c r="M183" s="15" t="inlineStr"/>
      <c r="N183" s="18" t="inlineStr">
        <is>
          <t>Chưa test</t>
        </is>
      </c>
      <c r="O183" s="15" t="inlineStr"/>
      <c r="P183" s="15" t="inlineStr"/>
      <c r="Q183" s="18" t="inlineStr">
        <is>
          <t>Chưa test</t>
        </is>
      </c>
      <c r="R183" s="15" t="inlineStr"/>
    </row>
    <row r="184" ht="30" customHeight="1">
      <c r="A184" s="14" t="inlineStr">
        <is>
          <t>TC-COMM-183</t>
        </is>
      </c>
      <c r="B184" s="15" t="inlineStr">
        <is>
          <t>Cộng đồng</t>
        </is>
      </c>
      <c r="C184" s="15" t="inlineStr">
        <is>
          <t>Ma trận phân quyền (hành động x vai trò)</t>
        </is>
      </c>
      <c r="D184" s="15" t="inlineStr">
        <is>
          <t>Đổi giá cộng đồng photo (PATCH priceUsd) — vai trò Platform Admin</t>
        </is>
      </c>
      <c r="E184" s="15" t="inlineStr">
        <is>
          <t>Bảo mật</t>
        </is>
      </c>
      <c r="F184" s="16" t="inlineStr">
        <is>
          <t>Cao</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84" s="15" t="inlineStr">
        <is>
          <t>1. Đăng nhập bằng admin@sofinhub.test (Platform Admin, không ghi danh ở photo)
2. PATCH /api/courses/photo {priceUsd:0}</t>
        </is>
      </c>
      <c r="K184" s="15" t="inlineStr">
        <is>
          <t>priceUsd=0</t>
        </is>
      </c>
      <c r="L184" s="15" t="inlineStr">
        <is>
          <t>200, priceUsd=0</t>
        </is>
      </c>
      <c r="M184" s="15" t="inlineStr"/>
      <c r="N184" s="18" t="inlineStr">
        <is>
          <t>Chưa test</t>
        </is>
      </c>
      <c r="O184" s="15" t="inlineStr"/>
      <c r="P184" s="15" t="inlineStr"/>
      <c r="Q184" s="18" t="inlineStr">
        <is>
          <t>Chưa test</t>
        </is>
      </c>
      <c r="R184" s="15" t="inlineStr"/>
    </row>
    <row r="185" ht="30" customHeight="1">
      <c r="A185" s="14" t="inlineStr">
        <is>
          <t>TC-COMM-184</t>
        </is>
      </c>
      <c r="B185" s="15" t="inlineStr">
        <is>
          <t>Cộng đồng</t>
        </is>
      </c>
      <c r="C185" s="15" t="inlineStr">
        <is>
          <t>Ma trận phân quyền (hành động x vai trò)</t>
        </is>
      </c>
      <c r="D185" s="15" t="inlineStr">
        <is>
          <t>Đổi giá cộng đồng photo (PATCH priceUsd) — vai trò Người bị cấm</t>
        </is>
      </c>
      <c r="E185" s="15" t="inlineStr">
        <is>
          <t>Bảo mật</t>
        </is>
      </c>
      <c r="F185" s="16" t="inlineStr">
        <is>
          <t>Cao</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85" s="15" t="inlineStr">
        <is>
          <t>1. Đăng nhập bằng banned@sofinhub.test (bị cấm khỏi photo)
2. PATCH /api/courses/photo {priceUsd:0}</t>
        </is>
      </c>
      <c r="K185" s="15" t="inlineStr">
        <is>
          <t>priceUsd=0</t>
        </is>
      </c>
      <c r="L185" s="15" t="inlineStr">
        <is>
          <t>403 FORBIDDEN, message 'Bạn không có quyền thực hiện thao tác này trong cộng đồng'</t>
        </is>
      </c>
      <c r="M185" s="15" t="inlineStr"/>
      <c r="N185" s="18" t="inlineStr">
        <is>
          <t>Chưa test</t>
        </is>
      </c>
      <c r="O185" s="15" t="inlineStr"/>
      <c r="P185" s="15" t="inlineStr"/>
      <c r="Q185" s="18" t="inlineStr">
        <is>
          <t>Chưa test</t>
        </is>
      </c>
      <c r="R185" s="15" t="inlineStr"/>
    </row>
    <row r="186" ht="30" customHeight="1">
      <c r="A186" s="14" t="inlineStr">
        <is>
          <t>TC-COMM-185</t>
        </is>
      </c>
      <c r="B186" s="15" t="inlineStr">
        <is>
          <t>Cộng đồng</t>
        </is>
      </c>
      <c r="C186" s="15" t="inlineStr">
        <is>
          <t>Ma trận phân quyền (hành động x vai trò)</t>
        </is>
      </c>
      <c r="D186" s="15" t="inlineStr">
        <is>
          <t>Tạo lời mời cho photo (POST invites) — vai trò Người chưa tham gia</t>
        </is>
      </c>
      <c r="E186" s="15" t="inlineStr">
        <is>
          <t>Bảo mật</t>
        </is>
      </c>
      <c r="F186" s="16" t="inlineStr">
        <is>
          <t>Cao</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86" s="15" t="inlineStr">
        <is>
          <t>1. Đăng nhập bằng newbie@sofinhub.test (chưa ở cộng đồng nào)
2. POST /api/courses/photo/invites {maxUses:2}</t>
        </is>
      </c>
      <c r="K186" s="15" t="inlineStr">
        <is>
          <t>maxUses=2</t>
        </is>
      </c>
      <c r="L186" s="15" t="inlineStr">
        <is>
          <t>403 FORBIDDEN, message 'Bạn không có quyền thực hiện thao tác này trong cộng đồng'</t>
        </is>
      </c>
      <c r="M186" s="15" t="inlineStr"/>
      <c r="N186" s="18" t="inlineStr">
        <is>
          <t>Chưa test</t>
        </is>
      </c>
      <c r="O186" s="15" t="inlineStr"/>
      <c r="P186" s="15" t="inlineStr"/>
      <c r="Q186" s="18" t="inlineStr">
        <is>
          <t>Chưa test</t>
        </is>
      </c>
      <c r="R186" s="15" t="inlineStr"/>
    </row>
    <row r="187" ht="30" customHeight="1">
      <c r="A187" s="14" t="inlineStr">
        <is>
          <t>TC-COMM-186</t>
        </is>
      </c>
      <c r="B187" s="15" t="inlineStr">
        <is>
          <t>Cộng đồng</t>
        </is>
      </c>
      <c r="C187" s="15" t="inlineStr">
        <is>
          <t>Ma trận phân quyền (hành động x vai trò)</t>
        </is>
      </c>
      <c r="D187" s="15" t="inlineStr">
        <is>
          <t>Tạo lời mời cho photo (POST invites) — vai trò Member</t>
        </is>
      </c>
      <c r="E187" s="15" t="inlineStr">
        <is>
          <t>Bảo mật</t>
        </is>
      </c>
      <c r="F187" s="16" t="inlineStr">
        <is>
          <t>Cao</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87" s="15" t="inlineStr">
        <is>
          <t>1. Đăng nhập bằng member1@sofinhub.test (Member photo)
2. POST /api/courses/photo/invites {maxUses:2}</t>
        </is>
      </c>
      <c r="K187" s="15" t="inlineStr">
        <is>
          <t>maxUses=2</t>
        </is>
      </c>
      <c r="L187" s="15" t="inlineStr">
        <is>
          <t>403 FORBIDDEN, message 'Bạn không có quyền thực hiện thao tác này trong cộng đồng'</t>
        </is>
      </c>
      <c r="M187" s="15" t="inlineStr"/>
      <c r="N187" s="18" t="inlineStr">
        <is>
          <t>Chưa test</t>
        </is>
      </c>
      <c r="O187" s="15" t="inlineStr"/>
      <c r="P187" s="15" t="inlineStr"/>
      <c r="Q187" s="18" t="inlineStr">
        <is>
          <t>Chưa test</t>
        </is>
      </c>
      <c r="R187" s="15" t="inlineStr"/>
    </row>
    <row r="188" ht="30" customHeight="1">
      <c r="A188" s="14" t="inlineStr">
        <is>
          <t>TC-COMM-187</t>
        </is>
      </c>
      <c r="B188" s="15" t="inlineStr">
        <is>
          <t>Cộng đồng</t>
        </is>
      </c>
      <c r="C188" s="15" t="inlineStr">
        <is>
          <t>Ma trận phân quyền (hành động x vai trò)</t>
        </is>
      </c>
      <c r="D188" s="15" t="inlineStr">
        <is>
          <t>Tạo lời mời cho photo (POST invites) — vai trò Mod</t>
        </is>
      </c>
      <c r="E188" s="15" t="inlineStr">
        <is>
          <t>Bảo mật</t>
        </is>
      </c>
      <c r="F188" s="16" t="inlineStr">
        <is>
          <t>Cao</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88" s="15" t="inlineStr">
        <is>
          <t>1. Đăng nhập bằng mod@sofinhub.test (Mod photo)
2. POST /api/courses/photo/invites {maxUses:2}</t>
        </is>
      </c>
      <c r="K188" s="15" t="inlineStr">
        <is>
          <t>maxUses=2</t>
        </is>
      </c>
      <c r="L188" s="15" t="inlineStr">
        <is>
          <t>403 FORBIDDEN, message 'Bạn không có quyền thực hiện thao tác này trong cộng đồng'</t>
        </is>
      </c>
      <c r="M188" s="15" t="inlineStr"/>
      <c r="N188" s="18" t="inlineStr">
        <is>
          <t>Chưa test</t>
        </is>
      </c>
      <c r="O188" s="15" t="inlineStr"/>
      <c r="P188" s="15" t="inlineStr"/>
      <c r="Q188" s="18" t="inlineStr">
        <is>
          <t>Chưa test</t>
        </is>
      </c>
      <c r="R188" s="15" t="inlineStr"/>
    </row>
    <row r="189" ht="30" customHeight="1">
      <c r="A189" s="14" t="inlineStr">
        <is>
          <t>TC-COMM-188</t>
        </is>
      </c>
      <c r="B189" s="15" t="inlineStr">
        <is>
          <t>Cộng đồng</t>
        </is>
      </c>
      <c r="C189" s="15" t="inlineStr">
        <is>
          <t>Ma trận phân quyền (hành động x vai trò)</t>
        </is>
      </c>
      <c r="D189" s="15" t="inlineStr">
        <is>
          <t>Tạo lời mời cho photo (POST invites) — vai trò Admin cộng đồng</t>
        </is>
      </c>
      <c r="E189" s="15" t="inlineStr">
        <is>
          <t>Bảo mật</t>
        </is>
      </c>
      <c r="F189" s="16" t="inlineStr">
        <is>
          <t>Cao</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89" s="15" t="inlineStr">
        <is>
          <t>1. Đăng nhập bằng cadmin@sofinhub.test (Admin photo)
2. POST /api/courses/photo/invites {maxUses:2}</t>
        </is>
      </c>
      <c r="K189" s="15" t="inlineStr">
        <is>
          <t>maxUses=2</t>
        </is>
      </c>
      <c r="L189" s="15" t="inlineStr">
        <is>
          <t>201, data.code 12 ký tự, maxUses=2</t>
        </is>
      </c>
      <c r="M189" s="15" t="inlineStr"/>
      <c r="N189" s="18" t="inlineStr">
        <is>
          <t>Chưa test</t>
        </is>
      </c>
      <c r="O189" s="15" t="inlineStr"/>
      <c r="P189" s="15" t="inlineStr"/>
      <c r="Q189" s="18" t="inlineStr">
        <is>
          <t>Chưa test</t>
        </is>
      </c>
      <c r="R189" s="15" t="inlineStr"/>
    </row>
    <row r="190" ht="30" customHeight="1">
      <c r="A190" s="14" t="inlineStr">
        <is>
          <t>TC-COMM-189</t>
        </is>
      </c>
      <c r="B190" s="15" t="inlineStr">
        <is>
          <t>Cộng đồng</t>
        </is>
      </c>
      <c r="C190" s="15" t="inlineStr">
        <is>
          <t>Ma trận phân quyền (hành động x vai trò)</t>
        </is>
      </c>
      <c r="D190" s="15" t="inlineStr">
        <is>
          <t>Tạo lời mời cho photo (POST invites) — vai trò Owner</t>
        </is>
      </c>
      <c r="E190" s="15" t="inlineStr">
        <is>
          <t>Bảo mật</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90" s="15" t="inlineStr">
        <is>
          <t>1. Đăng nhập bằng owner@sofinhub.test (Owner photo, private-demo, paid-demo)
2. POST /api/courses/photo/invites {maxUses:2}</t>
        </is>
      </c>
      <c r="K190" s="15" t="inlineStr">
        <is>
          <t>maxUses=2</t>
        </is>
      </c>
      <c r="L190" s="15" t="inlineStr">
        <is>
          <t>201, data.code 12 ký tự, maxUses=2</t>
        </is>
      </c>
      <c r="M190" s="15" t="inlineStr"/>
      <c r="N190" s="18" t="inlineStr">
        <is>
          <t>Chưa test</t>
        </is>
      </c>
      <c r="O190" s="15" t="inlineStr"/>
      <c r="P190" s="15" t="inlineStr"/>
      <c r="Q190" s="18" t="inlineStr">
        <is>
          <t>Chưa test</t>
        </is>
      </c>
      <c r="R190" s="15" t="inlineStr"/>
    </row>
    <row r="191" ht="30" customHeight="1">
      <c r="A191" s="14" t="inlineStr">
        <is>
          <t>TC-COMM-190</t>
        </is>
      </c>
      <c r="B191" s="15" t="inlineStr">
        <is>
          <t>Cộng đồng</t>
        </is>
      </c>
      <c r="C191" s="15" t="inlineStr">
        <is>
          <t>Ma trận phân quyền (hành động x vai trò)</t>
        </is>
      </c>
      <c r="D191" s="15" t="inlineStr">
        <is>
          <t>Tạo lời mời cho photo (POST invites) — vai trò Platform Admin</t>
        </is>
      </c>
      <c r="E191" s="15" t="inlineStr">
        <is>
          <t>Bảo mật</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91" s="15" t="inlineStr">
        <is>
          <t>1. Đăng nhập bằng admin@sofinhub.test (Platform Admin, không ghi danh ở photo)
2. POST /api/courses/photo/invites {maxUses:2}</t>
        </is>
      </c>
      <c r="K191" s="15" t="inlineStr">
        <is>
          <t>maxUses=2</t>
        </is>
      </c>
      <c r="L191" s="15" t="inlineStr">
        <is>
          <t>201, data.code 12 ký tự, maxUses=2</t>
        </is>
      </c>
      <c r="M191" s="15" t="inlineStr"/>
      <c r="N191" s="18" t="inlineStr">
        <is>
          <t>Chưa test</t>
        </is>
      </c>
      <c r="O191" s="15" t="inlineStr"/>
      <c r="P191" s="15" t="inlineStr"/>
      <c r="Q191" s="18" t="inlineStr">
        <is>
          <t>Chưa test</t>
        </is>
      </c>
      <c r="R191" s="15" t="inlineStr"/>
    </row>
    <row r="192" ht="30" customHeight="1">
      <c r="A192" s="14" t="inlineStr">
        <is>
          <t>TC-COMM-191</t>
        </is>
      </c>
      <c r="B192" s="15" t="inlineStr">
        <is>
          <t>Cộng đồng</t>
        </is>
      </c>
      <c r="C192" s="15" t="inlineStr">
        <is>
          <t>Ma trận phân quyền (hành động x vai trò)</t>
        </is>
      </c>
      <c r="D192" s="15" t="inlineStr">
        <is>
          <t>Tạo lời mời cho photo (POST invites) — vai trò Người bị cấm</t>
        </is>
      </c>
      <c r="E192" s="15" t="inlineStr">
        <is>
          <t>Bảo mật</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92" s="15" t="inlineStr">
        <is>
          <t>1. Đăng nhập bằng banned@sofinhub.test (bị cấm khỏi photo)
2. POST /api/courses/photo/invites {maxUses:2}</t>
        </is>
      </c>
      <c r="K192" s="15" t="inlineStr">
        <is>
          <t>maxUses=2</t>
        </is>
      </c>
      <c r="L192" s="15" t="inlineStr">
        <is>
          <t>403 FORBIDDEN, message 'Bạn không có quyền thực hiện thao tác này trong cộng đồng'</t>
        </is>
      </c>
      <c r="M192" s="15" t="inlineStr"/>
      <c r="N192" s="18" t="inlineStr">
        <is>
          <t>Chưa test</t>
        </is>
      </c>
      <c r="O192" s="15" t="inlineStr"/>
      <c r="P192" s="15" t="inlineStr"/>
      <c r="Q192" s="18" t="inlineStr">
        <is>
          <t>Chưa test</t>
        </is>
      </c>
      <c r="R192" s="15" t="inlineStr"/>
    </row>
    <row r="193" ht="30" customHeight="1">
      <c r="A193" s="14" t="inlineStr">
        <is>
          <t>TC-COMM-192</t>
        </is>
      </c>
      <c r="B193" s="15" t="inlineStr">
        <is>
          <t>Cộng đồng</t>
        </is>
      </c>
      <c r="C193" s="15" t="inlineStr">
        <is>
          <t>Ma trận phân quyền (hành động x vai trò)</t>
        </is>
      </c>
      <c r="D193" s="15" t="inlineStr">
        <is>
          <t>Xem yêu cầu tham gia private-demo (GET join-requests) — vai trò Người chưa tham gia</t>
        </is>
      </c>
      <c r="E193" s="15" t="inlineStr">
        <is>
          <t>Bảo mật</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93" s="15" t="inlineStr">
        <is>
          <t>1. Đăng nhập bằng newbie@sofinhub.test (chưa ở cộng đồng nào)
2. GET /api/courses/private-demo/join-requests</t>
        </is>
      </c>
      <c r="K193" s="15" t="inlineStr">
        <is>
          <t>-</t>
        </is>
      </c>
      <c r="L193" s="15" t="inlineStr">
        <is>
          <t>403 FORBIDDEN, message 'Bạn không có quyền thực hiện thao tác này trong cộng đồng'</t>
        </is>
      </c>
      <c r="M193" s="15" t="inlineStr"/>
      <c r="N193" s="18" t="inlineStr">
        <is>
          <t>Chưa test</t>
        </is>
      </c>
      <c r="O193" s="15" t="inlineStr"/>
      <c r="P193" s="15" t="inlineStr"/>
      <c r="Q193" s="18" t="inlineStr">
        <is>
          <t>Chưa test</t>
        </is>
      </c>
      <c r="R193" s="15" t="inlineStr"/>
    </row>
    <row r="194" ht="30" customHeight="1">
      <c r="A194" s="14" t="inlineStr">
        <is>
          <t>TC-COMM-193</t>
        </is>
      </c>
      <c r="B194" s="15" t="inlineStr">
        <is>
          <t>Cộng đồng</t>
        </is>
      </c>
      <c r="C194" s="15" t="inlineStr">
        <is>
          <t>Ma trận phân quyền (hành động x vai trò)</t>
        </is>
      </c>
      <c r="D194" s="15" t="inlineStr">
        <is>
          <t>Xem yêu cầu tham gia private-demo (GET join-requests) — vai trò Member</t>
        </is>
      </c>
      <c r="E194" s="15" t="inlineStr">
        <is>
          <t>Bảo mật</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94" s="15" t="inlineStr">
        <is>
          <t>1. Đăng nhập bằng member1@sofinhub.test (Member photo)
2. GET /api/courses/private-demo/join-requests</t>
        </is>
      </c>
      <c r="K194" s="15" t="inlineStr">
        <is>
          <t>-</t>
        </is>
      </c>
      <c r="L194" s="15" t="inlineStr">
        <is>
          <t>403 FORBIDDEN, message 'Bạn không có quyền thực hiện thao tác này trong cộng đồng' (member1@ không thuộc private-demo, chỉ có yêu cầu chờ)</t>
        </is>
      </c>
      <c r="M194" s="15" t="inlineStr"/>
      <c r="N194" s="18" t="inlineStr">
        <is>
          <t>Chưa test</t>
        </is>
      </c>
      <c r="O194" s="15" t="inlineStr"/>
      <c r="P194" s="15" t="inlineStr"/>
      <c r="Q194" s="18" t="inlineStr">
        <is>
          <t>Chưa test</t>
        </is>
      </c>
      <c r="R194" s="15" t="inlineStr"/>
    </row>
    <row r="195" ht="30" customHeight="1">
      <c r="A195" s="14" t="inlineStr">
        <is>
          <t>TC-COMM-194</t>
        </is>
      </c>
      <c r="B195" s="15" t="inlineStr">
        <is>
          <t>Cộng đồng</t>
        </is>
      </c>
      <c r="C195" s="15" t="inlineStr">
        <is>
          <t>Ma trận phân quyền (hành động x vai trò)</t>
        </is>
      </c>
      <c r="D195" s="15" t="inlineStr">
        <is>
          <t>Xem yêu cầu tham gia private-demo (GET join-requests) — vai trò Mod</t>
        </is>
      </c>
      <c r="E195" s="15" t="inlineStr">
        <is>
          <t>Bảo mật</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95" s="15" t="inlineStr">
        <is>
          <t>1. Đăng nhập bằng mod@sofinhub.test (Mod photo)
2. GET /api/courses/private-demo/join-requests</t>
        </is>
      </c>
      <c r="K195" s="15" t="inlineStr">
        <is>
          <t>-</t>
        </is>
      </c>
      <c r="L195" s="15" t="inlineStr">
        <is>
          <t>403 FORBIDDEN, message 'Bạn không có quyền thực hiện thao tác này trong cộng đồng' (mod@ không thuộc private-demo)</t>
        </is>
      </c>
      <c r="M195" s="15" t="inlineStr"/>
      <c r="N195" s="18" t="inlineStr">
        <is>
          <t>Chưa test</t>
        </is>
      </c>
      <c r="O195" s="15" t="inlineStr"/>
      <c r="P195" s="15" t="inlineStr"/>
      <c r="Q195" s="18" t="inlineStr">
        <is>
          <t>Chưa test</t>
        </is>
      </c>
      <c r="R195" s="15" t="inlineStr"/>
    </row>
    <row r="196" ht="30" customHeight="1">
      <c r="A196" s="14" t="inlineStr">
        <is>
          <t>TC-COMM-195</t>
        </is>
      </c>
      <c r="B196" s="15" t="inlineStr">
        <is>
          <t>Cộng đồng</t>
        </is>
      </c>
      <c r="C196" s="15" t="inlineStr">
        <is>
          <t>Ma trận phân quyền (hành động x vai trò)</t>
        </is>
      </c>
      <c r="D196" s="15" t="inlineStr">
        <is>
          <t>Xem yêu cầu tham gia private-demo (GET join-requests) — vai trò Admin cộng đồng</t>
        </is>
      </c>
      <c r="E196" s="15" t="inlineStr">
        <is>
          <t>Bảo mật</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96" s="15" t="inlineStr">
        <is>
          <t>1. Đăng nhập bằng cadmin@sofinhub.test (Admin photo)
2. GET /api/courses/private-demo/join-requests</t>
        </is>
      </c>
      <c r="K196" s="15" t="inlineStr">
        <is>
          <t>-</t>
        </is>
      </c>
      <c r="L196" s="15" t="inlineStr">
        <is>
          <t>403 FORBIDDEN, message 'Bạn không có quyền thực hiện thao tác này trong cộng đồng' (Admin photo không có quyền ở cộng đồng khác)</t>
        </is>
      </c>
      <c r="M196" s="15" t="inlineStr"/>
      <c r="N196" s="18" t="inlineStr">
        <is>
          <t>Chưa test</t>
        </is>
      </c>
      <c r="O196" s="15" t="inlineStr"/>
      <c r="P196" s="15" t="inlineStr"/>
      <c r="Q196" s="18" t="inlineStr">
        <is>
          <t>Chưa test</t>
        </is>
      </c>
      <c r="R196" s="15" t="inlineStr"/>
    </row>
    <row r="197" ht="30" customHeight="1">
      <c r="A197" s="14" t="inlineStr">
        <is>
          <t>TC-COMM-196</t>
        </is>
      </c>
      <c r="B197" s="15" t="inlineStr">
        <is>
          <t>Cộng đồng</t>
        </is>
      </c>
      <c r="C197" s="15" t="inlineStr">
        <is>
          <t>Ma trận phân quyền (hành động x vai trò)</t>
        </is>
      </c>
      <c r="D197" s="15" t="inlineStr">
        <is>
          <t>Xem yêu cầu tham gia private-demo (GET join-requests) — vai trò Owner</t>
        </is>
      </c>
      <c r="E197" s="15" t="inlineStr">
        <is>
          <t>Bảo mật</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97" s="15" t="inlineStr">
        <is>
          <t>1. Đăng nhập bằng owner@sofinhub.test (Owner photo, private-demo, paid-demo)
2. GET /api/courses/private-demo/join-requests</t>
        </is>
      </c>
      <c r="K197" s="15" t="inlineStr">
        <is>
          <t>-</t>
        </is>
      </c>
      <c r="L197" s="15" t="inlineStr">
        <is>
          <t>200, 2 yêu cầu pending (newbie, member1)</t>
        </is>
      </c>
      <c r="M197" s="15" t="inlineStr"/>
      <c r="N197" s="18" t="inlineStr">
        <is>
          <t>Chưa test</t>
        </is>
      </c>
      <c r="O197" s="15" t="inlineStr"/>
      <c r="P197" s="15" t="inlineStr"/>
      <c r="Q197" s="18" t="inlineStr">
        <is>
          <t>Chưa test</t>
        </is>
      </c>
      <c r="R197" s="15" t="inlineStr"/>
    </row>
    <row r="198" ht="30" customHeight="1">
      <c r="A198" s="14" t="inlineStr">
        <is>
          <t>TC-COMM-197</t>
        </is>
      </c>
      <c r="B198" s="15" t="inlineStr">
        <is>
          <t>Cộng đồng</t>
        </is>
      </c>
      <c r="C198" s="15" t="inlineStr">
        <is>
          <t>Ma trận phân quyền (hành động x vai trò)</t>
        </is>
      </c>
      <c r="D198" s="15" t="inlineStr">
        <is>
          <t>Xem yêu cầu tham gia private-demo (GET join-requests) — vai trò Platform Admin</t>
        </is>
      </c>
      <c r="E198" s="15" t="inlineStr">
        <is>
          <t>Bảo mật</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98" s="15" t="inlineStr">
        <is>
          <t>1. Đăng nhập bằng admin@sofinhub.test (Platform Admin, không ghi danh ở photo)
2. GET /api/courses/private-demo/join-requests</t>
        </is>
      </c>
      <c r="K198" s="15" t="inlineStr">
        <is>
          <t>-</t>
        </is>
      </c>
      <c r="L198" s="15" t="inlineStr">
        <is>
          <t>200, 2 yêu cầu pending (getRole = platform_admin, không cần ghi danh)</t>
        </is>
      </c>
      <c r="M198" s="15" t="inlineStr"/>
      <c r="N198" s="18" t="inlineStr">
        <is>
          <t>Chưa test</t>
        </is>
      </c>
      <c r="O198" s="15" t="inlineStr"/>
      <c r="P198" s="15" t="inlineStr"/>
      <c r="Q198" s="18" t="inlineStr">
        <is>
          <t>Chưa test</t>
        </is>
      </c>
      <c r="R198" s="15" t="inlineStr"/>
    </row>
    <row r="199" ht="30" customHeight="1">
      <c r="A199" s="14" t="inlineStr">
        <is>
          <t>TC-COMM-198</t>
        </is>
      </c>
      <c r="B199" s="15" t="inlineStr">
        <is>
          <t>Cộng đồng</t>
        </is>
      </c>
      <c r="C199" s="15" t="inlineStr">
        <is>
          <t>Ma trận phân quyền (hành động x vai trò)</t>
        </is>
      </c>
      <c r="D199" s="15" t="inlineStr">
        <is>
          <t>Xem yêu cầu tham gia private-demo (GET join-requests) — vai trò Người bị cấm</t>
        </is>
      </c>
      <c r="E199" s="15" t="inlineStr">
        <is>
          <t>Bảo mật</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99" s="15" t="inlineStr">
        <is>
          <t>1. Đăng nhập bằng banned@sofinhub.test (bị cấm khỏi photo)
2. GET /api/courses/private-demo/join-requests</t>
        </is>
      </c>
      <c r="K199" s="15" t="inlineStr">
        <is>
          <t>-</t>
        </is>
      </c>
      <c r="L199" s="15" t="inlineStr">
        <is>
          <t>403 FORBIDDEN, message 'Bạn không có quyền thực hiện thao tác này trong cộng đồng'</t>
        </is>
      </c>
      <c r="M199" s="15" t="inlineStr"/>
      <c r="N199" s="18" t="inlineStr">
        <is>
          <t>Chưa test</t>
        </is>
      </c>
      <c r="O199" s="15" t="inlineStr"/>
      <c r="P199" s="15" t="inlineStr"/>
      <c r="Q199" s="18" t="inlineStr">
        <is>
          <t>Chưa test</t>
        </is>
      </c>
      <c r="R199" s="15" t="inlineStr"/>
    </row>
    <row r="200" ht="30" customHeight="1">
      <c r="A200" s="14" t="inlineStr">
        <is>
          <t>TC-COMM-199</t>
        </is>
      </c>
      <c r="B200" s="15" t="inlineStr">
        <is>
          <t>Cộng đồng</t>
        </is>
      </c>
      <c r="C200" s="15" t="inlineStr">
        <is>
          <t>Ma trận phân quyền (hành động x vai trò)</t>
        </is>
      </c>
      <c r="D200" s="15" t="inlineStr">
        <is>
          <t>Khóa cộng đồng photo (POST /api/admin/courses/photo/lock) — vai trò Người chưa tham gia</t>
        </is>
      </c>
      <c r="E200" s="15" t="inlineStr">
        <is>
          <t>Bảo mật</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200" s="15" t="inlineStr">
        <is>
          <t>1. Đăng nhập bằng newbie@sofinhub.test (chưa ở cộng đồng nào)
2. POST /api/admin/courses/photo/lock {reason:'QA ma trận'}</t>
        </is>
      </c>
      <c r="K200" s="15" t="inlineStr">
        <is>
          <t>reason='QA ma trận'</t>
        </is>
      </c>
      <c r="L200" s="15" t="inlineStr">
        <is>
          <t>403 FORBIDDEN, message 'Chỉ Platform Admin mới có quyền này'</t>
        </is>
      </c>
      <c r="M200" s="15" t="inlineStr"/>
      <c r="N200" s="18" t="inlineStr">
        <is>
          <t>Chưa test</t>
        </is>
      </c>
      <c r="O200" s="15" t="inlineStr"/>
      <c r="P200" s="15" t="inlineStr"/>
      <c r="Q200" s="18" t="inlineStr">
        <is>
          <t>Chưa test</t>
        </is>
      </c>
      <c r="R200" s="15" t="inlineStr"/>
    </row>
    <row r="201" ht="30" customHeight="1">
      <c r="A201" s="14" t="inlineStr">
        <is>
          <t>TC-COMM-200</t>
        </is>
      </c>
      <c r="B201" s="15" t="inlineStr">
        <is>
          <t>Cộng đồng</t>
        </is>
      </c>
      <c r="C201" s="15" t="inlineStr">
        <is>
          <t>Ma trận phân quyền (hành động x vai trò)</t>
        </is>
      </c>
      <c r="D201" s="15" t="inlineStr">
        <is>
          <t>Khóa cộng đồng photo (POST /api/admin/courses/photo/lock) — vai trò Member</t>
        </is>
      </c>
      <c r="E201" s="15" t="inlineStr">
        <is>
          <t>Bảo mật</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201" s="15" t="inlineStr">
        <is>
          <t>1. Đăng nhập bằng member1@sofinhub.test (Member photo)
2. POST /api/admin/courses/photo/lock {reason:'QA ma trận'}</t>
        </is>
      </c>
      <c r="K201" s="15" t="inlineStr">
        <is>
          <t>reason='QA ma trận'</t>
        </is>
      </c>
      <c r="L201" s="15" t="inlineStr">
        <is>
          <t>403 FORBIDDEN, message 'Chỉ Platform Admin mới có quyền này'</t>
        </is>
      </c>
      <c r="M201" s="15" t="inlineStr"/>
      <c r="N201" s="18" t="inlineStr">
        <is>
          <t>Chưa test</t>
        </is>
      </c>
      <c r="O201" s="15" t="inlineStr"/>
      <c r="P201" s="15" t="inlineStr"/>
      <c r="Q201" s="18" t="inlineStr">
        <is>
          <t>Chưa test</t>
        </is>
      </c>
      <c r="R201" s="15" t="inlineStr"/>
    </row>
    <row r="202" ht="30" customHeight="1">
      <c r="A202" s="14" t="inlineStr">
        <is>
          <t>TC-COMM-201</t>
        </is>
      </c>
      <c r="B202" s="15" t="inlineStr">
        <is>
          <t>Cộng đồng</t>
        </is>
      </c>
      <c r="C202" s="15" t="inlineStr">
        <is>
          <t>Ma trận phân quyền (hành động x vai trò)</t>
        </is>
      </c>
      <c r="D202" s="15" t="inlineStr">
        <is>
          <t>Khóa cộng đồng photo (POST /api/admin/courses/photo/lock) — vai trò Mod</t>
        </is>
      </c>
      <c r="E202" s="15" t="inlineStr">
        <is>
          <t>Bảo mật</t>
        </is>
      </c>
      <c r="F202" s="16" t="inlineStr">
        <is>
          <t>Cao</t>
        </is>
      </c>
      <c r="G202" s="17" t="inlineStr">
        <is>
          <t>Đã hoàn thiện</t>
        </is>
      </c>
      <c r="H202" s="17" t="inlineStr">
        <is>
          <t>Có</t>
        </is>
      </c>
      <c r="I202"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202" s="15" t="inlineStr">
        <is>
          <t>1. Đăng nhập bằng mod@sofinhub.test (Mod photo)
2. POST /api/admin/courses/photo/lock {reason:'QA ma trận'}</t>
        </is>
      </c>
      <c r="K202" s="15" t="inlineStr">
        <is>
          <t>reason='QA ma trận'</t>
        </is>
      </c>
      <c r="L202" s="15" t="inlineStr">
        <is>
          <t>403 FORBIDDEN, message 'Chỉ Platform Admin mới có quyền này'</t>
        </is>
      </c>
      <c r="M202" s="15" t="inlineStr"/>
      <c r="N202" s="18" t="inlineStr">
        <is>
          <t>Chưa test</t>
        </is>
      </c>
      <c r="O202" s="15" t="inlineStr"/>
      <c r="P202" s="15" t="inlineStr"/>
      <c r="Q202" s="18" t="inlineStr">
        <is>
          <t>Chưa test</t>
        </is>
      </c>
      <c r="R202" s="15" t="inlineStr"/>
    </row>
    <row r="203" ht="30" customHeight="1">
      <c r="A203" s="14" t="inlineStr">
        <is>
          <t>TC-COMM-202</t>
        </is>
      </c>
      <c r="B203" s="15" t="inlineStr">
        <is>
          <t>Cộng đồng</t>
        </is>
      </c>
      <c r="C203" s="15" t="inlineStr">
        <is>
          <t>Ma trận phân quyền (hành động x vai trò)</t>
        </is>
      </c>
      <c r="D203" s="15" t="inlineStr">
        <is>
          <t>Khóa cộng đồng photo (POST /api/admin/courses/photo/lock) — vai trò Admin cộng đồng</t>
        </is>
      </c>
      <c r="E203" s="15" t="inlineStr">
        <is>
          <t>Bảo mật</t>
        </is>
      </c>
      <c r="F203" s="16" t="inlineStr">
        <is>
          <t>Cao</t>
        </is>
      </c>
      <c r="G203" s="17" t="inlineStr">
        <is>
          <t>Đã hoàn thiện</t>
        </is>
      </c>
      <c r="H203" s="17" t="inlineStr">
        <is>
          <t>Có</t>
        </is>
      </c>
      <c r="I203"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203" s="15" t="inlineStr">
        <is>
          <t>1. Đăng nhập bằng cadmin@sofinhub.test (Admin photo)
2. POST /api/admin/courses/photo/lock {reason:'QA ma trận'}</t>
        </is>
      </c>
      <c r="K203" s="15" t="inlineStr">
        <is>
          <t>reason='QA ma trận'</t>
        </is>
      </c>
      <c r="L203" s="15" t="inlineStr">
        <is>
          <t>403 FORBIDDEN, message 'Chỉ Platform Admin mới có quyền này'</t>
        </is>
      </c>
      <c r="M203" s="15" t="inlineStr"/>
      <c r="N203" s="18" t="inlineStr">
        <is>
          <t>Chưa test</t>
        </is>
      </c>
      <c r="O203" s="15" t="inlineStr"/>
      <c r="P203" s="15" t="inlineStr"/>
      <c r="Q203" s="18" t="inlineStr">
        <is>
          <t>Chưa test</t>
        </is>
      </c>
      <c r="R203" s="15" t="inlineStr"/>
    </row>
    <row r="204" ht="30" customHeight="1">
      <c r="A204" s="14" t="inlineStr">
        <is>
          <t>TC-COMM-203</t>
        </is>
      </c>
      <c r="B204" s="15" t="inlineStr">
        <is>
          <t>Cộng đồng</t>
        </is>
      </c>
      <c r="C204" s="15" t="inlineStr">
        <is>
          <t>Ma trận phân quyền (hành động x vai trò)</t>
        </is>
      </c>
      <c r="D204" s="15" t="inlineStr">
        <is>
          <t>Khóa cộng đồng photo (POST /api/admin/courses/photo/lock) — vai trò Owner</t>
        </is>
      </c>
      <c r="E204" s="15" t="inlineStr">
        <is>
          <t>Bảo mật</t>
        </is>
      </c>
      <c r="F204" s="16" t="inlineStr">
        <is>
          <t>Cao</t>
        </is>
      </c>
      <c r="G204" s="17" t="inlineStr">
        <is>
          <t>Đã hoàn thiện</t>
        </is>
      </c>
      <c r="H204" s="17" t="inlineStr">
        <is>
          <t>Có</t>
        </is>
      </c>
      <c r="I20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204" s="15" t="inlineStr">
        <is>
          <t>1. Đăng nhập bằng owner@sofinhub.test (Owner photo, private-demo, paid-demo)
2. POST /api/admin/courses/photo/lock {reason:'QA ma trận'}</t>
        </is>
      </c>
      <c r="K204" s="15" t="inlineStr">
        <is>
          <t>reason='QA ma trận'</t>
        </is>
      </c>
      <c r="L204" s="15" t="inlineStr">
        <is>
          <t>403 FORBIDDEN, message 'Chỉ Platform Admin mới có quyền này' (Owner cũng không khóa được)</t>
        </is>
      </c>
      <c r="M204" s="15" t="inlineStr"/>
      <c r="N204" s="18" t="inlineStr">
        <is>
          <t>Chưa test</t>
        </is>
      </c>
      <c r="O204" s="15" t="inlineStr"/>
      <c r="P204" s="15" t="inlineStr"/>
      <c r="Q204" s="18" t="inlineStr">
        <is>
          <t>Chưa test</t>
        </is>
      </c>
      <c r="R204" s="15" t="inlineStr"/>
    </row>
    <row r="205" ht="30" customHeight="1">
      <c r="A205" s="14" t="inlineStr">
        <is>
          <t>TC-COMM-204</t>
        </is>
      </c>
      <c r="B205" s="15" t="inlineStr">
        <is>
          <t>Cộng đồng</t>
        </is>
      </c>
      <c r="C205" s="15" t="inlineStr">
        <is>
          <t>Ma trận phân quyền (hành động x vai trò)</t>
        </is>
      </c>
      <c r="D205" s="15" t="inlineStr">
        <is>
          <t>Khóa cộng đồng photo (POST /api/admin/courses/photo/lock) — vai trò Platform Admin</t>
        </is>
      </c>
      <c r="E205" s="15" t="inlineStr">
        <is>
          <t>Bảo mật</t>
        </is>
      </c>
      <c r="F205" s="16" t="inlineStr">
        <is>
          <t>Cao</t>
        </is>
      </c>
      <c r="G205" s="17" t="inlineStr">
        <is>
          <t>Đã hoàn thiện</t>
        </is>
      </c>
      <c r="H205" s="17" t="inlineStr">
        <is>
          <t>Có</t>
        </is>
      </c>
      <c r="I20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205" s="15" t="inlineStr">
        <is>
          <t>1. Đăng nhập bằng admin@sofinhub.test (Platform Admin, không ghi danh ở photo)
2. POST /api/admin/courses/photo/lock {reason:'QA ma trận'}</t>
        </is>
      </c>
      <c r="K205" s="15" t="inlineStr">
        <is>
          <t>reason='QA ma trận'</t>
        </is>
      </c>
      <c r="L205" s="15" t="inlineStr">
        <is>
          <t>200 {id:'photo', locked:true, reason:'QA ma trận'}</t>
        </is>
      </c>
      <c r="M205" s="15" t="inlineStr"/>
      <c r="N205" s="18" t="inlineStr">
        <is>
          <t>Chưa test</t>
        </is>
      </c>
      <c r="O205" s="15" t="inlineStr"/>
      <c r="P205" s="15" t="inlineStr"/>
      <c r="Q205" s="18" t="inlineStr">
        <is>
          <t>Chưa test</t>
        </is>
      </c>
      <c r="R205" s="15" t="inlineStr"/>
    </row>
    <row r="206" ht="30" customHeight="1">
      <c r="A206" s="14" t="inlineStr">
        <is>
          <t>TC-COMM-205</t>
        </is>
      </c>
      <c r="B206" s="15" t="inlineStr">
        <is>
          <t>Cộng đồng</t>
        </is>
      </c>
      <c r="C206" s="15" t="inlineStr">
        <is>
          <t>Ma trận phân quyền (hành động x vai trò)</t>
        </is>
      </c>
      <c r="D206" s="15" t="inlineStr">
        <is>
          <t>Khóa cộng đồng photo (POST /api/admin/courses/photo/lock) — vai trò Người bị cấm</t>
        </is>
      </c>
      <c r="E206" s="15" t="inlineStr">
        <is>
          <t>Bảo mật</t>
        </is>
      </c>
      <c r="F206" s="16" t="inlineStr">
        <is>
          <t>Cao</t>
        </is>
      </c>
      <c r="G206" s="17" t="inlineStr">
        <is>
          <t>Đã hoàn thiện</t>
        </is>
      </c>
      <c r="H206" s="17" t="inlineStr">
        <is>
          <t>Có</t>
        </is>
      </c>
      <c r="I20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206" s="15" t="inlineStr">
        <is>
          <t>1. Đăng nhập bằng banned@sofinhub.test (bị cấm khỏi photo)
2. POST /api/admin/courses/photo/lock {reason:'QA ma trận'}</t>
        </is>
      </c>
      <c r="K206" s="15" t="inlineStr">
        <is>
          <t>reason='QA ma trận'</t>
        </is>
      </c>
      <c r="L206" s="15" t="inlineStr">
        <is>
          <t>403 FORBIDDEN, message 'Chỉ Platform Admin mới có quyền này'</t>
        </is>
      </c>
      <c r="M206" s="15" t="inlineStr"/>
      <c r="N206" s="18" t="inlineStr">
        <is>
          <t>Chưa test</t>
        </is>
      </c>
      <c r="O206" s="15" t="inlineStr"/>
      <c r="P206" s="15" t="inlineStr"/>
      <c r="Q206" s="18" t="inlineStr">
        <is>
          <t>Chưa test</t>
        </is>
      </c>
      <c r="R206" s="15" t="inlineStr"/>
    </row>
    <row r="207" ht="30" customHeight="1">
      <c r="A207" s="14" t="inlineStr">
        <is>
          <t>TC-COMM-206</t>
        </is>
      </c>
      <c r="B207" s="15" t="inlineStr">
        <is>
          <t>Cộng đồng</t>
        </is>
      </c>
      <c r="C207" s="15" t="inlineStr">
        <is>
          <t>Ma trận phân quyền (hành động x vai trò)</t>
        </is>
      </c>
      <c r="D207" s="15" t="inlineStr">
        <is>
          <t>Xóa cộng đồng photo (DELETE /api/courses/photo) — vai trò Người chưa tham gia</t>
        </is>
      </c>
      <c r="E207" s="15" t="inlineStr">
        <is>
          <t>Bảo mật</t>
        </is>
      </c>
      <c r="F207" s="16" t="inlineStr">
        <is>
          <t>Cao</t>
        </is>
      </c>
      <c r="G207" s="17" t="inlineStr">
        <is>
          <t>Đã hoàn thiện</t>
        </is>
      </c>
      <c r="H207" s="17" t="inlineStr">
        <is>
          <t>Có</t>
        </is>
      </c>
      <c r="I207"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207" s="15" t="inlineStr">
        <is>
          <t>1. Đăng nhập bằng newbie@sofinhub.test (chưa ở cộng đồng nào)
2. DELETE /api/courses/photo</t>
        </is>
      </c>
      <c r="K207" s="15" t="inlineStr">
        <is>
          <t>-</t>
        </is>
      </c>
      <c r="L207" s="15" t="inlineStr">
        <is>
          <t>403 FORBIDDEN, message 'Bạn không có quyền thực hiện thao tác này trong cộng đồng'</t>
        </is>
      </c>
      <c r="M207" s="15" t="inlineStr"/>
      <c r="N207" s="18" t="inlineStr">
        <is>
          <t>Chưa test</t>
        </is>
      </c>
      <c r="O207" s="15" t="inlineStr"/>
      <c r="P207" s="15" t="inlineStr"/>
      <c r="Q207" s="18" t="inlineStr">
        <is>
          <t>Chưa test</t>
        </is>
      </c>
      <c r="R207" s="15" t="inlineStr"/>
    </row>
    <row r="208" ht="30" customHeight="1">
      <c r="A208" s="14" t="inlineStr">
        <is>
          <t>TC-COMM-207</t>
        </is>
      </c>
      <c r="B208" s="15" t="inlineStr">
        <is>
          <t>Cộng đồng</t>
        </is>
      </c>
      <c r="C208" s="15" t="inlineStr">
        <is>
          <t>Ma trận phân quyền (hành động x vai trò)</t>
        </is>
      </c>
      <c r="D208" s="15" t="inlineStr">
        <is>
          <t>Xóa cộng đồng photo (DELETE /api/courses/photo) — vai trò Member</t>
        </is>
      </c>
      <c r="E208" s="15" t="inlineStr">
        <is>
          <t>Bảo mật</t>
        </is>
      </c>
      <c r="F208" s="16" t="inlineStr">
        <is>
          <t>Cao</t>
        </is>
      </c>
      <c r="G208" s="17" t="inlineStr">
        <is>
          <t>Đã hoàn thiện</t>
        </is>
      </c>
      <c r="H208" s="17" t="inlineStr">
        <is>
          <t>Có</t>
        </is>
      </c>
      <c r="I208"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208" s="15" t="inlineStr">
        <is>
          <t>1. Đăng nhập bằng member1@sofinhub.test (Member photo)
2. DELETE /api/courses/photo</t>
        </is>
      </c>
      <c r="K208" s="15" t="inlineStr">
        <is>
          <t>-</t>
        </is>
      </c>
      <c r="L208" s="15" t="inlineStr">
        <is>
          <t>403 FORBIDDEN, message 'Bạn không có quyền thực hiện thao tác này trong cộng đồng'</t>
        </is>
      </c>
      <c r="M208" s="15" t="inlineStr"/>
      <c r="N208" s="18" t="inlineStr">
        <is>
          <t>Chưa test</t>
        </is>
      </c>
      <c r="O208" s="15" t="inlineStr"/>
      <c r="P208" s="15" t="inlineStr"/>
      <c r="Q208" s="18" t="inlineStr">
        <is>
          <t>Chưa test</t>
        </is>
      </c>
      <c r="R208" s="15" t="inlineStr"/>
    </row>
    <row r="209" ht="30" customHeight="1">
      <c r="A209" s="14" t="inlineStr">
        <is>
          <t>TC-COMM-208</t>
        </is>
      </c>
      <c r="B209" s="15" t="inlineStr">
        <is>
          <t>Cộng đồng</t>
        </is>
      </c>
      <c r="C209" s="15" t="inlineStr">
        <is>
          <t>Ma trận phân quyền (hành động x vai trò)</t>
        </is>
      </c>
      <c r="D209" s="15" t="inlineStr">
        <is>
          <t>Xóa cộng đồng photo (DELETE /api/courses/photo) — vai trò Mod</t>
        </is>
      </c>
      <c r="E209" s="15" t="inlineStr">
        <is>
          <t>Bảo mật</t>
        </is>
      </c>
      <c r="F209" s="16" t="inlineStr">
        <is>
          <t>Cao</t>
        </is>
      </c>
      <c r="G209" s="17" t="inlineStr">
        <is>
          <t>Đã hoàn thiện</t>
        </is>
      </c>
      <c r="H209" s="17" t="inlineStr">
        <is>
          <t>Có</t>
        </is>
      </c>
      <c r="I209"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209" s="15" t="inlineStr">
        <is>
          <t>1. Đăng nhập bằng mod@sofinhub.test (Mod photo)
2. DELETE /api/courses/photo</t>
        </is>
      </c>
      <c r="K209" s="15" t="inlineStr">
        <is>
          <t>-</t>
        </is>
      </c>
      <c r="L209" s="15" t="inlineStr">
        <is>
          <t>403 FORBIDDEN, message 'Bạn không có quyền thực hiện thao tác này trong cộng đồng'</t>
        </is>
      </c>
      <c r="M209" s="15" t="inlineStr"/>
      <c r="N209" s="18" t="inlineStr">
        <is>
          <t>Chưa test</t>
        </is>
      </c>
      <c r="O209" s="15" t="inlineStr"/>
      <c r="P209" s="15" t="inlineStr"/>
      <c r="Q209" s="18" t="inlineStr">
        <is>
          <t>Chưa test</t>
        </is>
      </c>
      <c r="R209" s="15" t="inlineStr"/>
    </row>
    <row r="210" ht="30" customHeight="1">
      <c r="A210" s="14" t="inlineStr">
        <is>
          <t>TC-COMM-209</t>
        </is>
      </c>
      <c r="B210" s="15" t="inlineStr">
        <is>
          <t>Cộng đồng</t>
        </is>
      </c>
      <c r="C210" s="15" t="inlineStr">
        <is>
          <t>Ma trận phân quyền (hành động x vai trò)</t>
        </is>
      </c>
      <c r="D210" s="15" t="inlineStr">
        <is>
          <t>Xóa cộng đồng photo (DELETE /api/courses/photo) — vai trò Admin cộng đồng</t>
        </is>
      </c>
      <c r="E210" s="15" t="inlineStr">
        <is>
          <t>Bảo mật</t>
        </is>
      </c>
      <c r="F210" s="16" t="inlineStr">
        <is>
          <t>Cao</t>
        </is>
      </c>
      <c r="G210" s="17" t="inlineStr">
        <is>
          <t>Đã hoàn thiện</t>
        </is>
      </c>
      <c r="H210" s="17" t="inlineStr">
        <is>
          <t>Có</t>
        </is>
      </c>
      <c r="I210"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210" s="15" t="inlineStr">
        <is>
          <t>1. Đăng nhập bằng cadmin@sofinhub.test (Admin photo)
2. DELETE /api/courses/photo</t>
        </is>
      </c>
      <c r="K210" s="15" t="inlineStr">
        <is>
          <t>-</t>
        </is>
      </c>
      <c r="L210" s="15" t="inlineStr">
        <is>
          <t>403 FORBIDDEN, message 'Bạn không có quyền thực hiện thao tác này trong cộng đồng'</t>
        </is>
      </c>
      <c r="M210" s="15" t="inlineStr"/>
      <c r="N210" s="18" t="inlineStr">
        <is>
          <t>Chưa test</t>
        </is>
      </c>
      <c r="O210" s="15" t="inlineStr"/>
      <c r="P210" s="15" t="inlineStr"/>
      <c r="Q210" s="18" t="inlineStr">
        <is>
          <t>Chưa test</t>
        </is>
      </c>
      <c r="R210" s="15" t="inlineStr"/>
    </row>
    <row r="211" ht="30" customHeight="1">
      <c r="A211" s="14" t="inlineStr">
        <is>
          <t>TC-COMM-210</t>
        </is>
      </c>
      <c r="B211" s="15" t="inlineStr">
        <is>
          <t>Cộng đồng</t>
        </is>
      </c>
      <c r="C211" s="15" t="inlineStr">
        <is>
          <t>Ma trận phân quyền (hành động x vai trò)</t>
        </is>
      </c>
      <c r="D211" s="15" t="inlineStr">
        <is>
          <t>Xóa cộng đồng photo (DELETE /api/courses/photo) — vai trò Người bị cấm</t>
        </is>
      </c>
      <c r="E211" s="15" t="inlineStr">
        <is>
          <t>Bảo mật</t>
        </is>
      </c>
      <c r="F211" s="16" t="inlineStr">
        <is>
          <t>Cao</t>
        </is>
      </c>
      <c r="G211" s="17" t="inlineStr">
        <is>
          <t>Đã hoàn thiện</t>
        </is>
      </c>
      <c r="H211" s="17" t="inlineStr">
        <is>
          <t>Có</t>
        </is>
      </c>
      <c r="I21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211" s="15" t="inlineStr">
        <is>
          <t>1. Đăng nhập bằng banned@sofinhub.test (bị cấm khỏi photo)
2. DELETE /api/courses/photo</t>
        </is>
      </c>
      <c r="K211" s="15" t="inlineStr">
        <is>
          <t>-</t>
        </is>
      </c>
      <c r="L211" s="15" t="inlineStr">
        <is>
          <t>403 FORBIDDEN, message 'Bạn không có quyền thực hiện thao tác này trong cộng đồng'</t>
        </is>
      </c>
      <c r="M211" s="15" t="inlineStr"/>
      <c r="N211" s="18" t="inlineStr">
        <is>
          <t>Chưa test</t>
        </is>
      </c>
      <c r="O211" s="15" t="inlineStr"/>
      <c r="P211" s="15" t="inlineStr"/>
      <c r="Q211" s="18" t="inlineStr">
        <is>
          <t>Chưa test</t>
        </is>
      </c>
      <c r="R211" s="15" t="inlineStr"/>
    </row>
    <row r="212" ht="30" customHeight="1">
      <c r="A212" s="14" t="inlineStr">
        <is>
          <t>TC-COMM-211</t>
        </is>
      </c>
      <c r="B212" s="15" t="inlineStr">
        <is>
          <t>Cộng đồng</t>
        </is>
      </c>
      <c r="C212" s="15" t="inlineStr">
        <is>
          <t>Ma trận phân quyền (hành động x vai trò)</t>
        </is>
      </c>
      <c r="D212" s="15" t="inlineStr">
        <is>
          <t>Đặt Admin cho member3@ ở photo (PATCH role admin) — vai trò Người chưa tham gia</t>
        </is>
      </c>
      <c r="E212" s="15" t="inlineStr">
        <is>
          <t>Bảo mật</t>
        </is>
      </c>
      <c r="F212" s="16" t="inlineStr">
        <is>
          <t>Cao</t>
        </is>
      </c>
      <c r="G212" s="17" t="inlineStr">
        <is>
          <t>Đã hoàn thiện</t>
        </is>
      </c>
      <c r="H212" s="17" t="inlineStr">
        <is>
          <t>Có</t>
        </is>
      </c>
      <c r="I21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212" s="15" t="inlineStr">
        <is>
          <t>1. Đăng nhập bằng newbie@sofinhub.test (chưa ở cộng đồng nào)
2. PATCH /api/courses/photo/members/&lt;id member3&gt;/role {role:'admin'}</t>
        </is>
      </c>
      <c r="K212" s="15" t="inlineStr">
        <is>
          <t>role='admin'</t>
        </is>
      </c>
      <c r="L212" s="15" t="inlineStr">
        <is>
          <t>403 FORBIDDEN, message 'Bạn không có quyền thực hiện thao tác này trong cộng đồng'</t>
        </is>
      </c>
      <c r="M212" s="15" t="inlineStr"/>
      <c r="N212" s="18" t="inlineStr">
        <is>
          <t>Chưa test</t>
        </is>
      </c>
      <c r="O212" s="15" t="inlineStr"/>
      <c r="P212" s="15" t="inlineStr"/>
      <c r="Q212" s="18" t="inlineStr">
        <is>
          <t>Chưa test</t>
        </is>
      </c>
      <c r="R212" s="15" t="inlineStr"/>
    </row>
    <row r="213" ht="30" customHeight="1">
      <c r="A213" s="14" t="inlineStr">
        <is>
          <t>TC-COMM-212</t>
        </is>
      </c>
      <c r="B213" s="15" t="inlineStr">
        <is>
          <t>Cộng đồng</t>
        </is>
      </c>
      <c r="C213" s="15" t="inlineStr">
        <is>
          <t>Ma trận phân quyền (hành động x vai trò)</t>
        </is>
      </c>
      <c r="D213" s="15" t="inlineStr">
        <is>
          <t>Đặt Admin cho member3@ ở photo (PATCH role admin) — vai trò Member</t>
        </is>
      </c>
      <c r="E213" s="15" t="inlineStr">
        <is>
          <t>Bảo mật</t>
        </is>
      </c>
      <c r="F213" s="16" t="inlineStr">
        <is>
          <t>Cao</t>
        </is>
      </c>
      <c r="G213" s="17" t="inlineStr">
        <is>
          <t>Đã hoàn thiện</t>
        </is>
      </c>
      <c r="H213" s="17" t="inlineStr">
        <is>
          <t>Có</t>
        </is>
      </c>
      <c r="I213"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213" s="15" t="inlineStr">
        <is>
          <t>1. Đăng nhập bằng member1@sofinhub.test (Member photo)
2. PATCH /api/courses/photo/members/&lt;id member3&gt;/role {role:'admin'}</t>
        </is>
      </c>
      <c r="K213" s="15" t="inlineStr">
        <is>
          <t>role='admin'</t>
        </is>
      </c>
      <c r="L213" s="15" t="inlineStr">
        <is>
          <t>403 FORBIDDEN, message 'Bạn không có quyền thực hiện thao tác này trong cộng đồng'</t>
        </is>
      </c>
      <c r="M213" s="15" t="inlineStr"/>
      <c r="N213" s="18" t="inlineStr">
        <is>
          <t>Chưa test</t>
        </is>
      </c>
      <c r="O213" s="15" t="inlineStr"/>
      <c r="P213" s="15" t="inlineStr"/>
      <c r="Q213" s="18" t="inlineStr">
        <is>
          <t>Chưa test</t>
        </is>
      </c>
      <c r="R213" s="15" t="inlineStr"/>
    </row>
    <row r="214" ht="30" customHeight="1">
      <c r="A214" s="14" t="inlineStr">
        <is>
          <t>TC-COMM-213</t>
        </is>
      </c>
      <c r="B214" s="15" t="inlineStr">
        <is>
          <t>Cộng đồng</t>
        </is>
      </c>
      <c r="C214" s="15" t="inlineStr">
        <is>
          <t>Ma trận phân quyền (hành động x vai trò)</t>
        </is>
      </c>
      <c r="D214" s="15" t="inlineStr">
        <is>
          <t>Đặt Admin cho member3@ ở photo (PATCH role admin) — vai trò Mod</t>
        </is>
      </c>
      <c r="E214" s="15" t="inlineStr">
        <is>
          <t>Bảo mật</t>
        </is>
      </c>
      <c r="F214" s="16" t="inlineStr">
        <is>
          <t>Cao</t>
        </is>
      </c>
      <c r="G214" s="17" t="inlineStr">
        <is>
          <t>Đã hoàn thiện</t>
        </is>
      </c>
      <c r="H214" s="17" t="inlineStr">
        <is>
          <t>Có</t>
        </is>
      </c>
      <c r="I214"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214" s="15" t="inlineStr">
        <is>
          <t>1. Đăng nhập bằng mod@sofinhub.test (Mod photo)
2. PATCH /api/courses/photo/members/&lt;id member3&gt;/role {role:'admin'}</t>
        </is>
      </c>
      <c r="K214" s="15" t="inlineStr">
        <is>
          <t>role='admin'</t>
        </is>
      </c>
      <c r="L214" s="15" t="inlineStr">
        <is>
          <t>403 FORBIDDEN, message 'Bạn không có quyền thực hiện thao tác này trong cộng đồng'</t>
        </is>
      </c>
      <c r="M214" s="15" t="inlineStr"/>
      <c r="N214" s="18" t="inlineStr">
        <is>
          <t>Chưa test</t>
        </is>
      </c>
      <c r="O214" s="15" t="inlineStr"/>
      <c r="P214" s="15" t="inlineStr"/>
      <c r="Q214" s="18" t="inlineStr">
        <is>
          <t>Chưa test</t>
        </is>
      </c>
      <c r="R214" s="15" t="inlineStr"/>
    </row>
    <row r="215" ht="30" customHeight="1">
      <c r="A215" s="14" t="inlineStr">
        <is>
          <t>TC-COMM-214</t>
        </is>
      </c>
      <c r="B215" s="15" t="inlineStr">
        <is>
          <t>Cộng đồng</t>
        </is>
      </c>
      <c r="C215" s="15" t="inlineStr">
        <is>
          <t>Ma trận phân quyền (hành động x vai trò)</t>
        </is>
      </c>
      <c r="D215" s="15" t="inlineStr">
        <is>
          <t>Đặt Admin cho member3@ ở photo (PATCH role admin) — vai trò Admin cộng đồng</t>
        </is>
      </c>
      <c r="E215" s="15" t="inlineStr">
        <is>
          <t>Bảo mật</t>
        </is>
      </c>
      <c r="F215" s="16" t="inlineStr">
        <is>
          <t>Cao</t>
        </is>
      </c>
      <c r="G215" s="17" t="inlineStr">
        <is>
          <t>Đã hoàn thiện</t>
        </is>
      </c>
      <c r="H215" s="17" t="inlineStr">
        <is>
          <t>Có</t>
        </is>
      </c>
      <c r="I215"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215" s="15" t="inlineStr">
        <is>
          <t>1. Đăng nhập bằng cadmin@sofinhub.test (Admin photo)
2. PATCH /api/courses/photo/members/&lt;id member3&gt;/role {role:'admin'}</t>
        </is>
      </c>
      <c r="K215" s="15" t="inlineStr">
        <is>
          <t>role='admin'</t>
        </is>
      </c>
      <c r="L215" s="15" t="inlineStr">
        <is>
          <t>403 FORBIDDEN, message 'Chỉ chủ cộng đồng mới đặt hoặc bỏ quản trị viên'</t>
        </is>
      </c>
      <c r="M215" s="15" t="inlineStr"/>
      <c r="N215" s="18" t="inlineStr">
        <is>
          <t>Chưa test</t>
        </is>
      </c>
      <c r="O215" s="15" t="inlineStr"/>
      <c r="P215" s="15" t="inlineStr"/>
      <c r="Q215" s="18" t="inlineStr">
        <is>
          <t>Chưa test</t>
        </is>
      </c>
      <c r="R215" s="15" t="inlineStr"/>
    </row>
    <row r="216" ht="30" customHeight="1">
      <c r="A216" s="14" t="inlineStr">
        <is>
          <t>TC-COMM-215</t>
        </is>
      </c>
      <c r="B216" s="15" t="inlineStr">
        <is>
          <t>Cộng đồng</t>
        </is>
      </c>
      <c r="C216" s="15" t="inlineStr">
        <is>
          <t>Ma trận phân quyền (hành động x vai trò)</t>
        </is>
      </c>
      <c r="D216" s="15" t="inlineStr">
        <is>
          <t>Đặt Admin cho member3@ ở photo (PATCH role admin) — vai trò Owner</t>
        </is>
      </c>
      <c r="E216" s="15" t="inlineStr">
        <is>
          <t>Bảo mật</t>
        </is>
      </c>
      <c r="F216" s="16" t="inlineStr">
        <is>
          <t>Cao</t>
        </is>
      </c>
      <c r="G216" s="17" t="inlineStr">
        <is>
          <t>Đã hoàn thiện</t>
        </is>
      </c>
      <c r="H216" s="17" t="inlineStr">
        <is>
          <t>Có</t>
        </is>
      </c>
      <c r="I21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216" s="15" t="inlineStr">
        <is>
          <t>1. Đăng nhập bằng owner@sofinhub.test (Owner photo, private-demo, paid-demo)
2. PATCH /api/courses/photo/members/&lt;id member3&gt;/role {role:'admin'}</t>
        </is>
      </c>
      <c r="K216" s="15" t="inlineStr">
        <is>
          <t>role='admin'</t>
        </is>
      </c>
      <c r="L216" s="15" t="inlineStr">
        <is>
          <t>200 {userId, role:'admin'}</t>
        </is>
      </c>
      <c r="M216" s="15" t="inlineStr"/>
      <c r="N216" s="18" t="inlineStr">
        <is>
          <t>Chưa test</t>
        </is>
      </c>
      <c r="O216" s="15" t="inlineStr"/>
      <c r="P216" s="15" t="inlineStr"/>
      <c r="Q216" s="18" t="inlineStr">
        <is>
          <t>Chưa test</t>
        </is>
      </c>
      <c r="R216" s="15" t="inlineStr"/>
    </row>
    <row r="217" ht="30" customHeight="1">
      <c r="A217" s="14" t="inlineStr">
        <is>
          <t>TC-COMM-216</t>
        </is>
      </c>
      <c r="B217" s="15" t="inlineStr">
        <is>
          <t>Cộng đồng</t>
        </is>
      </c>
      <c r="C217" s="15" t="inlineStr">
        <is>
          <t>Ma trận phân quyền (hành động x vai trò)</t>
        </is>
      </c>
      <c r="D217" s="15" t="inlineStr">
        <is>
          <t>Đặt Admin cho member3@ ở photo (PATCH role admin) — vai trò Platform Admin</t>
        </is>
      </c>
      <c r="E217" s="15" t="inlineStr">
        <is>
          <t>Bảo mật</t>
        </is>
      </c>
      <c r="F217" s="16" t="inlineStr">
        <is>
          <t>Cao</t>
        </is>
      </c>
      <c r="G217" s="17" t="inlineStr">
        <is>
          <t>Đã hoàn thiện</t>
        </is>
      </c>
      <c r="H217" s="17" t="inlineStr">
        <is>
          <t>Có</t>
        </is>
      </c>
      <c r="I21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217" s="15" t="inlineStr">
        <is>
          <t>1. Đăng nhập bằng admin@sofinhub.test (Platform Admin, không ghi danh ở photo)
2. PATCH /api/courses/photo/members/&lt;id member3&gt;/role {role:'admin'}</t>
        </is>
      </c>
      <c r="K217" s="15" t="inlineStr">
        <is>
          <t>role='admin'</t>
        </is>
      </c>
      <c r="L217" s="15" t="inlineStr">
        <is>
          <t>200 {userId, role:'admin'}</t>
        </is>
      </c>
      <c r="M217" s="15" t="inlineStr"/>
      <c r="N217" s="18" t="inlineStr">
        <is>
          <t>Chưa test</t>
        </is>
      </c>
      <c r="O217" s="15" t="inlineStr"/>
      <c r="P217" s="15" t="inlineStr"/>
      <c r="Q217" s="18" t="inlineStr">
        <is>
          <t>Chưa test</t>
        </is>
      </c>
      <c r="R217" s="15" t="inlineStr"/>
    </row>
    <row r="218" ht="30" customHeight="1">
      <c r="A218" s="14" t="inlineStr">
        <is>
          <t>TC-COMM-217</t>
        </is>
      </c>
      <c r="B218" s="15" t="inlineStr">
        <is>
          <t>Cộng đồng</t>
        </is>
      </c>
      <c r="C218" s="15" t="inlineStr">
        <is>
          <t>Ma trận phân quyền (hành động x vai trò)</t>
        </is>
      </c>
      <c r="D218" s="15" t="inlineStr">
        <is>
          <t>Đặt Admin cho member3@ ở photo (PATCH role admin) — vai trò Người bị cấm</t>
        </is>
      </c>
      <c r="E218" s="15" t="inlineStr">
        <is>
          <t>Bảo mật</t>
        </is>
      </c>
      <c r="F218" s="16" t="inlineStr">
        <is>
          <t>Cao</t>
        </is>
      </c>
      <c r="G218" s="17" t="inlineStr">
        <is>
          <t>Đã hoàn thiện</t>
        </is>
      </c>
      <c r="H218" s="17" t="inlineStr">
        <is>
          <t>Có</t>
        </is>
      </c>
      <c r="I21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218" s="15" t="inlineStr">
        <is>
          <t>1. Đăng nhập bằng banned@sofinhub.test (bị cấm khỏi photo)
2. PATCH /api/courses/photo/members/&lt;id member3&gt;/role {role:'admin'}</t>
        </is>
      </c>
      <c r="K218" s="15" t="inlineStr">
        <is>
          <t>role='admin'</t>
        </is>
      </c>
      <c r="L218" s="15" t="inlineStr">
        <is>
          <t>403 FORBIDDEN, message 'Bạn không có quyền thực hiện thao tác này trong cộng đồng'</t>
        </is>
      </c>
      <c r="M218" s="15" t="inlineStr"/>
      <c r="N218" s="18" t="inlineStr">
        <is>
          <t>Chưa test</t>
        </is>
      </c>
      <c r="O218" s="15" t="inlineStr"/>
      <c r="P218" s="15" t="inlineStr"/>
      <c r="Q218" s="18" t="inlineStr">
        <is>
          <t>Chưa test</t>
        </is>
      </c>
      <c r="R218" s="15" t="inlineStr"/>
    </row>
    <row r="219" ht="30" customHeight="1">
      <c r="A219" s="14" t="inlineStr">
        <is>
          <t>TC-COMM-218</t>
        </is>
      </c>
      <c r="B219" s="15" t="inlineStr">
        <is>
          <t>Cộng đồng</t>
        </is>
      </c>
      <c r="C219" s="15" t="inlineStr">
        <is>
          <t>Ma trận phân quyền (hành động x vai trò)</t>
        </is>
      </c>
      <c r="D219" s="15" t="inlineStr">
        <is>
          <t>Gửi đánh giá cho photo (POST reviews) — vai trò Người chưa tham gia</t>
        </is>
      </c>
      <c r="E219" s="15" t="inlineStr">
        <is>
          <t>Bảo mật</t>
        </is>
      </c>
      <c r="F219" s="20" t="inlineStr">
        <is>
          <t>Trung bình</t>
        </is>
      </c>
      <c r="G219" s="17" t="inlineStr">
        <is>
          <t>Đã hoàn thiện</t>
        </is>
      </c>
      <c r="H219" s="17" t="inlineStr">
        <is>
          <t>Có</t>
        </is>
      </c>
      <c r="I21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219" s="15" t="inlineStr">
        <is>
          <t>1. Đăng nhập bằng newbie@sofinhub.test (chưa ở cộng đồng nào)
2. POST /api/courses/photo/reviews {rating:4,text:'QA'}</t>
        </is>
      </c>
      <c r="K219" s="15" t="inlineStr">
        <is>
          <t>rating=4</t>
        </is>
      </c>
      <c r="L219" s="15" t="inlineStr">
        <is>
          <t>403 FORBIDDEN, message 'Bạn cần tham gia cộng đồng này trước'</t>
        </is>
      </c>
      <c r="M219" s="15" t="inlineStr"/>
      <c r="N219" s="18" t="inlineStr">
        <is>
          <t>Chưa test</t>
        </is>
      </c>
      <c r="O219" s="15" t="inlineStr"/>
      <c r="P219" s="15" t="inlineStr"/>
      <c r="Q219" s="18" t="inlineStr">
        <is>
          <t>Chưa test</t>
        </is>
      </c>
      <c r="R219" s="15" t="inlineStr"/>
    </row>
    <row r="220" ht="30" customHeight="1">
      <c r="A220" s="14" t="inlineStr">
        <is>
          <t>TC-COMM-219</t>
        </is>
      </c>
      <c r="B220" s="15" t="inlineStr">
        <is>
          <t>Cộng đồng</t>
        </is>
      </c>
      <c r="C220" s="15" t="inlineStr">
        <is>
          <t>Ma trận phân quyền (hành động x vai trò)</t>
        </is>
      </c>
      <c r="D220" s="15" t="inlineStr">
        <is>
          <t>Gửi đánh giá cho photo (POST reviews) — vai trò Member</t>
        </is>
      </c>
      <c r="E220" s="15" t="inlineStr">
        <is>
          <t>Bảo mật</t>
        </is>
      </c>
      <c r="F220" s="20" t="inlineStr">
        <is>
          <t>Trung bình</t>
        </is>
      </c>
      <c r="G220" s="17" t="inlineStr">
        <is>
          <t>Đã hoàn thiện</t>
        </is>
      </c>
      <c r="H220" s="17" t="inlineStr">
        <is>
          <t>Có</t>
        </is>
      </c>
      <c r="I220"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220" s="15" t="inlineStr">
        <is>
          <t>1. Đăng nhập bằng member1@sofinhub.test (Member photo)
2. POST /api/courses/photo/reviews {rating:4,text:'QA'}</t>
        </is>
      </c>
      <c r="K220" s="15" t="inlineStr">
        <is>
          <t>rating=4</t>
        </is>
      </c>
      <c r="L220" s="15" t="inlineStr">
        <is>
          <t>200 (cập nhật đánh giá cũ 5 -&gt; 4)</t>
        </is>
      </c>
      <c r="M220" s="15" t="inlineStr"/>
      <c r="N220" s="18" t="inlineStr">
        <is>
          <t>Chưa test</t>
        </is>
      </c>
      <c r="O220" s="15" t="inlineStr"/>
      <c r="P220" s="15" t="inlineStr"/>
      <c r="Q220" s="18" t="inlineStr">
        <is>
          <t>Chưa test</t>
        </is>
      </c>
      <c r="R220" s="15" t="inlineStr"/>
    </row>
    <row r="221" ht="30" customHeight="1">
      <c r="A221" s="14" t="inlineStr">
        <is>
          <t>TC-COMM-220</t>
        </is>
      </c>
      <c r="B221" s="15" t="inlineStr">
        <is>
          <t>Cộng đồng</t>
        </is>
      </c>
      <c r="C221" s="15" t="inlineStr">
        <is>
          <t>Ma trận phân quyền (hành động x vai trò)</t>
        </is>
      </c>
      <c r="D221" s="15" t="inlineStr">
        <is>
          <t>Gửi đánh giá cho photo (POST reviews) — vai trò Mod</t>
        </is>
      </c>
      <c r="E221" s="15" t="inlineStr">
        <is>
          <t>Bảo mật</t>
        </is>
      </c>
      <c r="F221" s="20" t="inlineStr">
        <is>
          <t>Trung bình</t>
        </is>
      </c>
      <c r="G221" s="17" t="inlineStr">
        <is>
          <t>Đã hoàn thiện</t>
        </is>
      </c>
      <c r="H221" s="17" t="inlineStr">
        <is>
          <t>Có</t>
        </is>
      </c>
      <c r="I221"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221" s="15" t="inlineStr">
        <is>
          <t>1. Đăng nhập bằng mod@sofinhub.test (Mod photo)
2. POST /api/courses/photo/reviews {rating:4,text:'QA'}</t>
        </is>
      </c>
      <c r="K221" s="15" t="inlineStr">
        <is>
          <t>rating=4</t>
        </is>
      </c>
      <c r="L221" s="15" t="inlineStr">
        <is>
          <t>201 (đánh giá mới)</t>
        </is>
      </c>
      <c r="M221" s="15" t="inlineStr"/>
      <c r="N221" s="18" t="inlineStr">
        <is>
          <t>Chưa test</t>
        </is>
      </c>
      <c r="O221" s="15" t="inlineStr"/>
      <c r="P221" s="15" t="inlineStr"/>
      <c r="Q221" s="18" t="inlineStr">
        <is>
          <t>Chưa test</t>
        </is>
      </c>
      <c r="R221" s="15" t="inlineStr"/>
    </row>
    <row r="222" ht="30" customHeight="1">
      <c r="A222" s="14" t="inlineStr">
        <is>
          <t>TC-COMM-221</t>
        </is>
      </c>
      <c r="B222" s="15" t="inlineStr">
        <is>
          <t>Cộng đồng</t>
        </is>
      </c>
      <c r="C222" s="15" t="inlineStr">
        <is>
          <t>Ma trận phân quyền (hành động x vai trò)</t>
        </is>
      </c>
      <c r="D222" s="15" t="inlineStr">
        <is>
          <t>Gửi đánh giá cho photo (POST reviews) — vai trò Admin cộng đồng</t>
        </is>
      </c>
      <c r="E222" s="15" t="inlineStr">
        <is>
          <t>Bảo mật</t>
        </is>
      </c>
      <c r="F222" s="20" t="inlineStr">
        <is>
          <t>Trung bình</t>
        </is>
      </c>
      <c r="G222" s="17" t="inlineStr">
        <is>
          <t>Đã hoàn thiện</t>
        </is>
      </c>
      <c r="H222" s="17" t="inlineStr">
        <is>
          <t>Có</t>
        </is>
      </c>
      <c r="I222"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222" s="15" t="inlineStr">
        <is>
          <t>1. Đăng nhập bằng cadmin@sofinhub.test (Admin photo)
2. POST /api/courses/photo/reviews {rating:4,text:'QA'}</t>
        </is>
      </c>
      <c r="K222" s="15" t="inlineStr">
        <is>
          <t>rating=4</t>
        </is>
      </c>
      <c r="L222" s="15" t="inlineStr">
        <is>
          <t>201 (đánh giá mới)</t>
        </is>
      </c>
      <c r="M222" s="15" t="inlineStr"/>
      <c r="N222" s="18" t="inlineStr">
        <is>
          <t>Chưa test</t>
        </is>
      </c>
      <c r="O222" s="15" t="inlineStr"/>
      <c r="P222" s="15" t="inlineStr"/>
      <c r="Q222" s="18" t="inlineStr">
        <is>
          <t>Chưa test</t>
        </is>
      </c>
      <c r="R222" s="15" t="inlineStr"/>
    </row>
    <row r="223" ht="30" customHeight="1">
      <c r="A223" s="14" t="inlineStr">
        <is>
          <t>TC-COMM-222</t>
        </is>
      </c>
      <c r="B223" s="15" t="inlineStr">
        <is>
          <t>Cộng đồng</t>
        </is>
      </c>
      <c r="C223" s="15" t="inlineStr">
        <is>
          <t>Ma trận phân quyền (hành động x vai trò)</t>
        </is>
      </c>
      <c r="D223" s="15" t="inlineStr">
        <is>
          <t>Gửi đánh giá cho photo (POST reviews) — vai trò Owner</t>
        </is>
      </c>
      <c r="E223" s="15" t="inlineStr">
        <is>
          <t>Bảo mật</t>
        </is>
      </c>
      <c r="F223" s="20" t="inlineStr">
        <is>
          <t>Trung bình</t>
        </is>
      </c>
      <c r="G223" s="17" t="inlineStr">
        <is>
          <t>Đã hoàn thiện</t>
        </is>
      </c>
      <c r="H223" s="17" t="inlineStr">
        <is>
          <t>Có</t>
        </is>
      </c>
      <c r="I22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223" s="15" t="inlineStr">
        <is>
          <t>1. Đăng nhập bằng owner@sofinhub.test (Owner photo, private-demo, paid-demo)
2. POST /api/courses/photo/reviews {rating:4,text:'QA'}</t>
        </is>
      </c>
      <c r="K223" s="15" t="inlineStr">
        <is>
          <t>rating=4</t>
        </is>
      </c>
      <c r="L223" s="15" t="inlineStr">
        <is>
          <t>201 (đánh giá mới)</t>
        </is>
      </c>
      <c r="M223" s="15" t="inlineStr"/>
      <c r="N223" s="18" t="inlineStr">
        <is>
          <t>Chưa test</t>
        </is>
      </c>
      <c r="O223" s="15" t="inlineStr"/>
      <c r="P223" s="15" t="inlineStr"/>
      <c r="Q223" s="18" t="inlineStr">
        <is>
          <t>Chưa test</t>
        </is>
      </c>
      <c r="R223" s="15" t="inlineStr"/>
    </row>
    <row r="224" ht="30" customHeight="1">
      <c r="A224" s="14" t="inlineStr">
        <is>
          <t>TC-COMM-223</t>
        </is>
      </c>
      <c r="B224" s="15" t="inlineStr">
        <is>
          <t>Cộng đồng</t>
        </is>
      </c>
      <c r="C224" s="15" t="inlineStr">
        <is>
          <t>Ma trận phân quyền (hành động x vai trò)</t>
        </is>
      </c>
      <c r="D224" s="15" t="inlineStr">
        <is>
          <t>Gửi đánh giá cho photo (POST reviews) — vai trò Platform Admin</t>
        </is>
      </c>
      <c r="E224" s="15" t="inlineStr">
        <is>
          <t>Bảo mật</t>
        </is>
      </c>
      <c r="F224" s="20" t="inlineStr">
        <is>
          <t>Trung bình</t>
        </is>
      </c>
      <c r="G224" s="17" t="inlineStr">
        <is>
          <t>Đã hoàn thiện</t>
        </is>
      </c>
      <c r="H224" s="17" t="inlineStr">
        <is>
          <t>Có</t>
        </is>
      </c>
      <c r="I22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224" s="15" t="inlineStr">
        <is>
          <t>1. Đăng nhập bằng admin@sofinhub.test (Platform Admin, không ghi danh ở photo)
2. POST /api/courses/photo/reviews {rating:4,text:'QA'}</t>
        </is>
      </c>
      <c r="K224" s="15" t="inlineStr">
        <is>
          <t>rating=4</t>
        </is>
      </c>
      <c r="L224" s="15" t="inlineStr">
        <is>
          <t>201 (đánh giá mới; đã sửa: requireMembership cho qua Platform Admin chưa ghi danh, trước đây 403)</t>
        </is>
      </c>
      <c r="M224" s="15" t="inlineStr"/>
      <c r="N224" s="18" t="inlineStr">
        <is>
          <t>Chưa test</t>
        </is>
      </c>
      <c r="O224" s="15" t="inlineStr"/>
      <c r="P224" s="15" t="inlineStr"/>
      <c r="Q224" s="18" t="inlineStr">
        <is>
          <t>Chưa test</t>
        </is>
      </c>
      <c r="R224" s="15" t="inlineStr"/>
    </row>
    <row r="225" ht="30" customHeight="1">
      <c r="A225" s="14" t="inlineStr">
        <is>
          <t>TC-COMM-224</t>
        </is>
      </c>
      <c r="B225" s="15" t="inlineStr">
        <is>
          <t>Cộng đồng</t>
        </is>
      </c>
      <c r="C225" s="15" t="inlineStr">
        <is>
          <t>Ma trận phân quyền (hành động x vai trò)</t>
        </is>
      </c>
      <c r="D225" s="15" t="inlineStr">
        <is>
          <t>Gửi đánh giá cho photo (POST reviews) — vai trò Người bị cấm</t>
        </is>
      </c>
      <c r="E225" s="15" t="inlineStr">
        <is>
          <t>Bảo mật</t>
        </is>
      </c>
      <c r="F225" s="20" t="inlineStr">
        <is>
          <t>Trung bình</t>
        </is>
      </c>
      <c r="G225" s="17" t="inlineStr">
        <is>
          <t>Đã hoàn thiện</t>
        </is>
      </c>
      <c r="H225" s="17" t="inlineStr">
        <is>
          <t>Có</t>
        </is>
      </c>
      <c r="I22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225" s="15" t="inlineStr">
        <is>
          <t>1. Đăng nhập bằng banned@sofinhub.test (bị cấm khỏi photo)
2. POST /api/courses/photo/reviews {rating:4,text:'QA'}</t>
        </is>
      </c>
      <c r="K225" s="15" t="inlineStr">
        <is>
          <t>rating=4</t>
        </is>
      </c>
      <c r="L225" s="15" t="inlineStr">
        <is>
          <t>403 FORBIDDEN, message 'Bạn cần tham gia cộng đồng này trước'</t>
        </is>
      </c>
      <c r="M225" s="15" t="inlineStr"/>
      <c r="N225" s="18" t="inlineStr">
        <is>
          <t>Chưa test</t>
        </is>
      </c>
      <c r="O225" s="15" t="inlineStr"/>
      <c r="P225" s="15" t="inlineStr"/>
      <c r="Q225" s="18" t="inlineStr">
        <is>
          <t>Chưa test</t>
        </is>
      </c>
      <c r="R225" s="15" t="inlineStr"/>
    </row>
    <row r="226" ht="30" customHeight="1">
      <c r="A226" s="14" t="inlineStr">
        <is>
          <t>TC-COMM-225</t>
        </is>
      </c>
      <c r="B226" s="15" t="inlineStr">
        <is>
          <t>Cộng đồng</t>
        </is>
      </c>
      <c r="C226" s="15" t="inlineStr">
        <is>
          <t>Ma trận phân quyền (hành động x vai trò)</t>
        </is>
      </c>
      <c r="D226" s="15" t="inlineStr">
        <is>
          <t>Tham gia photo (POST /enroll, công khai miễn phí) — vai trò Người chưa tham gia</t>
        </is>
      </c>
      <c r="E226" s="15" t="inlineStr">
        <is>
          <t>Chức năng</t>
        </is>
      </c>
      <c r="F226" s="16" t="inlineStr">
        <is>
          <t>Cao</t>
        </is>
      </c>
      <c r="G226" s="17" t="inlineStr">
        <is>
          <t>Đã hoàn thiện</t>
        </is>
      </c>
      <c r="H226" s="17" t="inlineStr">
        <is>
          <t>Có</t>
        </is>
      </c>
      <c r="I226"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226" s="15" t="inlineStr">
        <is>
          <t>1. Đăng nhập bằng newbie@sofinhub.test (chưa ở cộng đồng nào)
2. POST /api/courses/photo/enroll</t>
        </is>
      </c>
      <c r="K226" s="15" t="inlineStr">
        <is>
          <t>-</t>
        </is>
      </c>
      <c r="L226" s="15" t="inlineStr">
        <is>
          <t>200 {enrolled:true}</t>
        </is>
      </c>
      <c r="M226" s="15" t="inlineStr"/>
      <c r="N226" s="18" t="inlineStr">
        <is>
          <t>Chưa test</t>
        </is>
      </c>
      <c r="O226" s="15" t="inlineStr"/>
      <c r="P226" s="15" t="inlineStr"/>
      <c r="Q226" s="18" t="inlineStr">
        <is>
          <t>Chưa test</t>
        </is>
      </c>
      <c r="R226" s="15" t="inlineStr"/>
    </row>
    <row r="227" ht="30" customHeight="1">
      <c r="A227" s="14" t="inlineStr">
        <is>
          <t>TC-COMM-226</t>
        </is>
      </c>
      <c r="B227" s="15" t="inlineStr">
        <is>
          <t>Cộng đồng</t>
        </is>
      </c>
      <c r="C227" s="15" t="inlineStr">
        <is>
          <t>Ma trận phân quyền (hành động x vai trò)</t>
        </is>
      </c>
      <c r="D227" s="15" t="inlineStr">
        <is>
          <t>Tham gia photo (POST /enroll, công khai miễn phí) — vai trò Member</t>
        </is>
      </c>
      <c r="E227" s="15" t="inlineStr">
        <is>
          <t>Chức năng</t>
        </is>
      </c>
      <c r="F227" s="16" t="inlineStr">
        <is>
          <t>Cao</t>
        </is>
      </c>
      <c r="G227" s="17" t="inlineStr">
        <is>
          <t>Đã hoàn thiện</t>
        </is>
      </c>
      <c r="H227" s="17" t="inlineStr">
        <is>
          <t>Có</t>
        </is>
      </c>
      <c r="I227"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227" s="15" t="inlineStr">
        <is>
          <t>1. Đăng nhập bằng member1@sofinhub.test (Member photo)
2. POST /api/courses/photo/enroll</t>
        </is>
      </c>
      <c r="K227" s="15" t="inlineStr">
        <is>
          <t>-</t>
        </is>
      </c>
      <c r="L227" s="15" t="inlineStr">
        <is>
          <t>200 {enrolled:false} (toggle rời)</t>
        </is>
      </c>
      <c r="M227" s="15" t="inlineStr"/>
      <c r="N227" s="18" t="inlineStr">
        <is>
          <t>Chưa test</t>
        </is>
      </c>
      <c r="O227" s="15" t="inlineStr"/>
      <c r="P227" s="15" t="inlineStr"/>
      <c r="Q227" s="18" t="inlineStr">
        <is>
          <t>Chưa test</t>
        </is>
      </c>
      <c r="R227" s="15" t="inlineStr"/>
    </row>
    <row r="228" ht="30" customHeight="1">
      <c r="A228" s="14" t="inlineStr">
        <is>
          <t>TC-COMM-227</t>
        </is>
      </c>
      <c r="B228" s="15" t="inlineStr">
        <is>
          <t>Cộng đồng</t>
        </is>
      </c>
      <c r="C228" s="15" t="inlineStr">
        <is>
          <t>Ma trận phân quyền (hành động x vai trò)</t>
        </is>
      </c>
      <c r="D228" s="15" t="inlineStr">
        <is>
          <t>Tham gia photo (POST /enroll, công khai miễn phí) — vai trò Người bị cấm</t>
        </is>
      </c>
      <c r="E228" s="15" t="inlineStr">
        <is>
          <t>Chức năng</t>
        </is>
      </c>
      <c r="F228" s="16" t="inlineStr">
        <is>
          <t>Cao</t>
        </is>
      </c>
      <c r="G228" s="17" t="inlineStr">
        <is>
          <t>Đã hoàn thiện</t>
        </is>
      </c>
      <c r="H228" s="17" t="inlineStr">
        <is>
          <t>Có</t>
        </is>
      </c>
      <c r="I228"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228" s="15" t="inlineStr">
        <is>
          <t>1. Đăng nhập bằng banned@sofinhub.test (bị cấm khỏi photo)
2. POST /api/courses/photo/enroll</t>
        </is>
      </c>
      <c r="K228" s="15" t="inlineStr">
        <is>
          <t>-</t>
        </is>
      </c>
      <c r="L228" s="15" t="inlineStr">
        <is>
          <t>403 FORBIDDEN 'Bạn đã bị cấm khỏi cộng đồng này'</t>
        </is>
      </c>
      <c r="M228" s="15" t="inlineStr"/>
      <c r="N228" s="18" t="inlineStr">
        <is>
          <t>Chưa test</t>
        </is>
      </c>
      <c r="O228" s="15" t="inlineStr"/>
      <c r="P228" s="15" t="inlineStr"/>
      <c r="Q228" s="18" t="inlineStr">
        <is>
          <t>Chưa test</t>
        </is>
      </c>
      <c r="R228" s="15" t="inlineStr"/>
    </row>
    <row r="229" ht="30" customHeight="1">
      <c r="A229" s="14" t="inlineStr">
        <is>
          <t>TC-COMM-228</t>
        </is>
      </c>
      <c r="B229" s="15" t="inlineStr">
        <is>
          <t>Cộng đồng</t>
        </is>
      </c>
      <c r="C229" s="15" t="inlineStr">
        <is>
          <t>Ma trận phân quyền (hành động x vai trò)</t>
        </is>
      </c>
      <c r="D229" s="15" t="inlineStr">
        <is>
          <t>Tham gia photo (POST /enroll, công khai miễn phí) — vai trò Owner</t>
        </is>
      </c>
      <c r="E229" s="15" t="inlineStr">
        <is>
          <t>Chức năng</t>
        </is>
      </c>
      <c r="F229" s="16" t="inlineStr">
        <is>
          <t>Cao</t>
        </is>
      </c>
      <c r="G229" s="17" t="inlineStr">
        <is>
          <t>Đã hoàn thiện</t>
        </is>
      </c>
      <c r="H229" s="17" t="inlineStr">
        <is>
          <t>Có</t>
        </is>
      </c>
      <c r="I229"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owner@sofinhub.test (Owner photo, private-demo, paid-demo)</t>
        </is>
      </c>
      <c r="J229" s="15" t="inlineStr">
        <is>
          <t>1. Đăng nhập bằng owner@sofinhub.test (Owner photo, private-demo, paid-demo)
2. POST /api/courses/photo/enroll</t>
        </is>
      </c>
      <c r="K229" s="15" t="inlineStr">
        <is>
          <t>-</t>
        </is>
      </c>
      <c r="L229" s="15" t="inlineStr">
        <is>
          <t>409 CONFLICT 'Chủ cộng đồng không thể rời cộng đồng của mình'</t>
        </is>
      </c>
      <c r="M229" s="15" t="inlineStr"/>
      <c r="N229" s="18" t="inlineStr">
        <is>
          <t>Chưa test</t>
        </is>
      </c>
      <c r="O229" s="15" t="inlineStr"/>
      <c r="P229" s="15" t="inlineStr"/>
      <c r="Q229" s="18" t="inlineStr">
        <is>
          <t>Chưa test</t>
        </is>
      </c>
      <c r="R229" s="15" t="inlineStr"/>
    </row>
    <row r="230" ht="30" customHeight="1">
      <c r="A230" s="14" t="inlineStr">
        <is>
          <t>TC-COMM-229</t>
        </is>
      </c>
      <c r="B230" s="15" t="inlineStr">
        <is>
          <t>Cộng đồng</t>
        </is>
      </c>
      <c r="C230" s="15" t="inlineStr">
        <is>
          <t>Ma trận phân quyền (hành động x vai trò)</t>
        </is>
      </c>
      <c r="D230" s="15" t="inlineStr">
        <is>
          <t>Tham gia private-demo (POST /enroll) — vai trò Người chưa tham gia</t>
        </is>
      </c>
      <c r="E230" s="15" t="inlineStr">
        <is>
          <t>Chức năng</t>
        </is>
      </c>
      <c r="F230" s="16" t="inlineStr">
        <is>
          <t>Cao</t>
        </is>
      </c>
      <c r="G230" s="17" t="inlineStr">
        <is>
          <t>Đã hoàn thiện</t>
        </is>
      </c>
      <c r="H230" s="17" t="inlineStr">
        <is>
          <t>Có</t>
        </is>
      </c>
      <c r="I230"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230" s="15" t="inlineStr">
        <is>
          <t>1. Đăng nhập bằng newbie@sofinhub.test (chưa ở cộng đồng nào)
2. POST /api/courses/private-demo/enroll</t>
        </is>
      </c>
      <c r="K230" s="15" t="inlineStr">
        <is>
          <t>-</t>
        </is>
      </c>
      <c r="L230" s="15" t="inlineStr">
        <is>
          <t>403 JOIN_REQUEST_REQUIRED, message 'Cộng đồng riêng tư: hãy gửi yêu cầu tham gia hoặc dùng lời mời'</t>
        </is>
      </c>
      <c r="M230" s="15" t="inlineStr"/>
      <c r="N230" s="18" t="inlineStr">
        <is>
          <t>Chưa test</t>
        </is>
      </c>
      <c r="O230" s="15" t="inlineStr"/>
      <c r="P230" s="15" t="inlineStr"/>
      <c r="Q230" s="18" t="inlineStr">
        <is>
          <t>Chưa test</t>
        </is>
      </c>
      <c r="R230" s="15" t="inlineStr"/>
    </row>
    <row r="231" ht="30" customHeight="1">
      <c r="A231" s="14" t="inlineStr">
        <is>
          <t>TC-COMM-230</t>
        </is>
      </c>
      <c r="B231" s="15" t="inlineStr">
        <is>
          <t>Cộng đồng</t>
        </is>
      </c>
      <c r="C231" s="15" t="inlineStr">
        <is>
          <t>Ma trận phân quyền (hành động x vai trò)</t>
        </is>
      </c>
      <c r="D231" s="15" t="inlineStr">
        <is>
          <t>Tham gia private-demo (POST /enroll) — vai trò Member</t>
        </is>
      </c>
      <c r="E231" s="15" t="inlineStr">
        <is>
          <t>Chức năng</t>
        </is>
      </c>
      <c r="F231" s="16" t="inlineStr">
        <is>
          <t>Cao</t>
        </is>
      </c>
      <c r="G231" s="17" t="inlineStr">
        <is>
          <t>Đã hoàn thiện</t>
        </is>
      </c>
      <c r="H231" s="17" t="inlineStr">
        <is>
          <t>Có</t>
        </is>
      </c>
      <c r="I231"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231" s="15" t="inlineStr">
        <is>
          <t>1. Đăng nhập bằng member1@sofinhub.test (Member photo)
2. POST /api/courses/private-demo/enroll</t>
        </is>
      </c>
      <c r="K231" s="15" t="inlineStr">
        <is>
          <t>-</t>
        </is>
      </c>
      <c r="L231" s="15" t="inlineStr">
        <is>
          <t>403 JOIN_REQUEST_REQUIRED (member1@ mới chỉ có yêu cầu chờ)</t>
        </is>
      </c>
      <c r="M231" s="15" t="inlineStr"/>
      <c r="N231" s="18" t="inlineStr">
        <is>
          <t>Chưa test</t>
        </is>
      </c>
      <c r="O231" s="15" t="inlineStr"/>
      <c r="P231" s="15" t="inlineStr"/>
      <c r="Q231" s="18" t="inlineStr">
        <is>
          <t>Chưa test</t>
        </is>
      </c>
      <c r="R231" s="15" t="inlineStr"/>
    </row>
    <row r="232" ht="30" customHeight="1">
      <c r="A232" s="14" t="inlineStr">
        <is>
          <t>TC-COMM-231</t>
        </is>
      </c>
      <c r="B232" s="15" t="inlineStr">
        <is>
          <t>Cộng đồng</t>
        </is>
      </c>
      <c r="C232" s="15" t="inlineStr">
        <is>
          <t>Ma trận phân quyền (hành động x vai trò)</t>
        </is>
      </c>
      <c r="D232" s="15" t="inlineStr">
        <is>
          <t>Tham gia private-demo (POST /enroll) — vai trò Owner</t>
        </is>
      </c>
      <c r="E232" s="15" t="inlineStr">
        <is>
          <t>Chức năng</t>
        </is>
      </c>
      <c r="F232" s="16" t="inlineStr">
        <is>
          <t>Cao</t>
        </is>
      </c>
      <c r="G232" s="17" t="inlineStr">
        <is>
          <t>Đã hoàn thiện</t>
        </is>
      </c>
      <c r="H232" s="17" t="inlineStr">
        <is>
          <t>Có</t>
        </is>
      </c>
      <c r="I232"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232" s="15" t="inlineStr">
        <is>
          <t>1. Đăng nhập bằng owner@sofinhub.test (Owner photo, private-demo, paid-demo)
2. POST /api/courses/private-demo/enroll</t>
        </is>
      </c>
      <c r="K232" s="15" t="inlineStr">
        <is>
          <t>-</t>
        </is>
      </c>
      <c r="L232" s="15" t="inlineStr">
        <is>
          <t>409 CONFLICT 'Chủ cộng đồng không thể rời cộng đồng của mình'</t>
        </is>
      </c>
      <c r="M232" s="15" t="inlineStr"/>
      <c r="N232" s="18" t="inlineStr">
        <is>
          <t>Chưa test</t>
        </is>
      </c>
      <c r="O232" s="15" t="inlineStr"/>
      <c r="P232" s="15" t="inlineStr"/>
      <c r="Q232" s="18" t="inlineStr">
        <is>
          <t>Chưa test</t>
        </is>
      </c>
      <c r="R232" s="15" t="inlineStr"/>
    </row>
    <row r="233" ht="30" customHeight="1">
      <c r="A233" s="14" t="inlineStr">
        <is>
          <t>TC-COMM-232</t>
        </is>
      </c>
      <c r="B233" s="15" t="inlineStr">
        <is>
          <t>Cộng đồng</t>
        </is>
      </c>
      <c r="C233" s="15" t="inlineStr">
        <is>
          <t>Ma trận phân quyền (hành động x vai trò)</t>
        </is>
      </c>
      <c r="D233" s="15" t="inlineStr">
        <is>
          <t>Tham gia private-demo (POST /enroll) — vai trò Người bị cấm</t>
        </is>
      </c>
      <c r="E233" s="15" t="inlineStr">
        <is>
          <t>Chức năng</t>
        </is>
      </c>
      <c r="F233" s="16" t="inlineStr">
        <is>
          <t>Cao</t>
        </is>
      </c>
      <c r="G233" s="17" t="inlineStr">
        <is>
          <t>Đã hoàn thiện</t>
        </is>
      </c>
      <c r="H233" s="17" t="inlineStr">
        <is>
          <t>Có</t>
        </is>
      </c>
      <c r="I23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233" s="15" t="inlineStr">
        <is>
          <t>1. Đăng nhập bằng banned@sofinhub.test (bị cấm khỏi photo)
2. POST /api/courses/private-demo/enroll</t>
        </is>
      </c>
      <c r="K233" s="15" t="inlineStr">
        <is>
          <t>-</t>
        </is>
      </c>
      <c r="L233" s="15" t="inlineStr">
        <is>
          <t>403 JOIN_REQUEST_REQUIRED (banned@ chỉ bị cấm ở photo, không phải private-demo)</t>
        </is>
      </c>
      <c r="M233" s="15" t="inlineStr"/>
      <c r="N233" s="18" t="inlineStr">
        <is>
          <t>Chưa test</t>
        </is>
      </c>
      <c r="O233" s="15" t="inlineStr"/>
      <c r="P233" s="15" t="inlineStr"/>
      <c r="Q233" s="18" t="inlineStr">
        <is>
          <t>Chưa test</t>
        </is>
      </c>
      <c r="R233" s="15" t="inlineStr"/>
    </row>
    <row r="234" ht="30" customHeight="1">
      <c r="A234" s="14" t="inlineStr">
        <is>
          <t>TC-COMM-233</t>
        </is>
      </c>
      <c r="B234" s="15" t="inlineStr">
        <is>
          <t>Cộng đồng</t>
        </is>
      </c>
      <c r="C234" s="15" t="inlineStr">
        <is>
          <t>Ma trận phân quyền (hành động x vai trò)</t>
        </is>
      </c>
      <c r="D234" s="15" t="inlineStr">
        <is>
          <t>Tham gia paid-demo (POST /enroll, $19/tháng) — vai trò Người chưa tham gia</t>
        </is>
      </c>
      <c r="E234" s="15" t="inlineStr">
        <is>
          <t>Chức năng</t>
        </is>
      </c>
      <c r="F234" s="16" t="inlineStr">
        <is>
          <t>Cao</t>
        </is>
      </c>
      <c r="G234" s="17" t="inlineStr">
        <is>
          <t>Đã hoàn thiện</t>
        </is>
      </c>
      <c r="H234" s="17" t="inlineStr">
        <is>
          <t>Có</t>
        </is>
      </c>
      <c r="I234"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234" s="15" t="inlineStr">
        <is>
          <t>1. Đăng nhập bằng newbie@sofinhub.test (chưa ở cộng đồng nào)
2. POST /api/courses/paid-demo/enroll</t>
        </is>
      </c>
      <c r="K234" s="15" t="inlineStr">
        <is>
          <t>-</t>
        </is>
      </c>
      <c r="L234" s="15" t="inlineStr">
        <is>
          <t>402 PAYMENT_REQUIRED, message 'Cộng đồng có phí: vui lòng thanh toán để tham gia', details.courseId='paid-demo'</t>
        </is>
      </c>
      <c r="M234" s="15" t="inlineStr"/>
      <c r="N234" s="18" t="inlineStr">
        <is>
          <t>Chưa test</t>
        </is>
      </c>
      <c r="O234" s="15" t="inlineStr"/>
      <c r="P234" s="15" t="inlineStr"/>
      <c r="Q234" s="18" t="inlineStr">
        <is>
          <t>Chưa test</t>
        </is>
      </c>
      <c r="R234" s="15" t="inlineStr"/>
    </row>
    <row r="235" ht="30" customHeight="1">
      <c r="A235" s="14" t="inlineStr">
        <is>
          <t>TC-COMM-234</t>
        </is>
      </c>
      <c r="B235" s="15" t="inlineStr">
        <is>
          <t>Cộng đồng</t>
        </is>
      </c>
      <c r="C235" s="15" t="inlineStr">
        <is>
          <t>Ma trận phân quyền (hành động x vai trò)</t>
        </is>
      </c>
      <c r="D235" s="15" t="inlineStr">
        <is>
          <t>Tham gia paid-demo (POST /enroll, $19/tháng) — vai trò Member</t>
        </is>
      </c>
      <c r="E235" s="15" t="inlineStr">
        <is>
          <t>Chức năng</t>
        </is>
      </c>
      <c r="F235" s="16" t="inlineStr">
        <is>
          <t>Cao</t>
        </is>
      </c>
      <c r="G235" s="17" t="inlineStr">
        <is>
          <t>Đã hoàn thiện</t>
        </is>
      </c>
      <c r="H235" s="17" t="inlineStr">
        <is>
          <t>Có</t>
        </is>
      </c>
      <c r="I235"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235" s="15" t="inlineStr">
        <is>
          <t>1. Đăng nhập bằng member1@sofinhub.test (Member photo)
2. POST /api/courses/paid-demo/enroll</t>
        </is>
      </c>
      <c r="K235" s="15" t="inlineStr">
        <is>
          <t>-</t>
        </is>
      </c>
      <c r="L235" s="15" t="inlineStr">
        <is>
          <t>402 PAYMENT_REQUIRED (member1@ chưa mua)</t>
        </is>
      </c>
      <c r="M235" s="15" t="inlineStr"/>
      <c r="N235" s="18" t="inlineStr">
        <is>
          <t>Chưa test</t>
        </is>
      </c>
      <c r="O235" s="15" t="inlineStr"/>
      <c r="P235" s="15" t="inlineStr"/>
      <c r="Q235" s="18" t="inlineStr">
        <is>
          <t>Chưa test</t>
        </is>
      </c>
      <c r="R235" s="15" t="inlineStr"/>
    </row>
    <row r="236" ht="30" customHeight="1">
      <c r="A236" s="14" t="inlineStr">
        <is>
          <t>TC-COMM-235</t>
        </is>
      </c>
      <c r="B236" s="15" t="inlineStr">
        <is>
          <t>Cộng đồng</t>
        </is>
      </c>
      <c r="C236" s="15" t="inlineStr">
        <is>
          <t>Ma trận phân quyền (hành động x vai trò)</t>
        </is>
      </c>
      <c r="D236" s="15" t="inlineStr">
        <is>
          <t>Tham gia paid-demo (POST /enroll, $19/tháng) — vai trò Admin cộng đồng</t>
        </is>
      </c>
      <c r="E236" s="15" t="inlineStr">
        <is>
          <t>Chức năng</t>
        </is>
      </c>
      <c r="F236" s="16" t="inlineStr">
        <is>
          <t>Cao</t>
        </is>
      </c>
      <c r="G236" s="17" t="inlineStr">
        <is>
          <t>Đã hoàn thiện</t>
        </is>
      </c>
      <c r="H236" s="17" t="inlineStr">
        <is>
          <t>Có</t>
        </is>
      </c>
      <c r="I236"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236" s="15" t="inlineStr">
        <is>
          <t>1. Đăng nhập bằng cadmin@sofinhub.test (Admin photo)
2. POST /api/courses/paid-demo/enroll</t>
        </is>
      </c>
      <c r="K236" s="15" t="inlineStr">
        <is>
          <t>-</t>
        </is>
      </c>
      <c r="L236" s="15" t="inlineStr">
        <is>
          <t>402 PAYMENT_REQUIRED (Admin photo vẫn phải trả phí ở cộng đồng khác)</t>
        </is>
      </c>
      <c r="M236" s="15" t="inlineStr"/>
      <c r="N236" s="18" t="inlineStr">
        <is>
          <t>Chưa test</t>
        </is>
      </c>
      <c r="O236" s="15" t="inlineStr"/>
      <c r="P236" s="15" t="inlineStr"/>
      <c r="Q236" s="18" t="inlineStr">
        <is>
          <t>Chưa test</t>
        </is>
      </c>
      <c r="R236" s="15" t="inlineStr"/>
    </row>
    <row r="237" ht="30" customHeight="1">
      <c r="A237" s="14" t="inlineStr">
        <is>
          <t>TC-COMM-236</t>
        </is>
      </c>
      <c r="B237" s="15" t="inlineStr">
        <is>
          <t>Cộng đồng</t>
        </is>
      </c>
      <c r="C237" s="15" t="inlineStr">
        <is>
          <t>Ma trận phân quyền (hành động x vai trò)</t>
        </is>
      </c>
      <c r="D237" s="15" t="inlineStr">
        <is>
          <t>Tham gia paid-demo (POST /enroll, $19/tháng) — vai trò Owner</t>
        </is>
      </c>
      <c r="E237" s="15" t="inlineStr">
        <is>
          <t>Chức năng</t>
        </is>
      </c>
      <c r="F237" s="16" t="inlineStr">
        <is>
          <t>Cao</t>
        </is>
      </c>
      <c r="G237" s="17" t="inlineStr">
        <is>
          <t>Đã hoàn thiện</t>
        </is>
      </c>
      <c r="H237" s="17" t="inlineStr">
        <is>
          <t>Có</t>
        </is>
      </c>
      <c r="I23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37" s="15" t="inlineStr">
        <is>
          <t>1. Đăng nhập bằng owner@sofinhub.test (Owner photo, private-demo, paid-demo)
2. POST /api/courses/paid-demo/enroll</t>
        </is>
      </c>
      <c r="K237" s="15" t="inlineStr">
        <is>
          <t>-</t>
        </is>
      </c>
      <c r="L237" s="15" t="inlineStr">
        <is>
          <t>409 CONFLICT 'Chủ cộng đồng không thể rời cộng đồng của mình'</t>
        </is>
      </c>
      <c r="M237" s="15" t="inlineStr"/>
      <c r="N237" s="18" t="inlineStr">
        <is>
          <t>Chưa test</t>
        </is>
      </c>
      <c r="O237" s="15" t="inlineStr"/>
      <c r="P237" s="15" t="inlineStr"/>
      <c r="Q237" s="18" t="inlineStr">
        <is>
          <t>Chưa test</t>
        </is>
      </c>
      <c r="R237" s="15" t="inlineStr"/>
    </row>
    <row r="238" ht="30" customHeight="1">
      <c r="A238" s="14" t="inlineStr">
        <is>
          <t>TC-COMM-237</t>
        </is>
      </c>
      <c r="B238" s="15" t="inlineStr">
        <is>
          <t>Cộng đồng</t>
        </is>
      </c>
      <c r="C238" s="15" t="inlineStr">
        <is>
          <t>Ma trận phân quyền (hành động x vai trò)</t>
        </is>
      </c>
      <c r="D238" s="15" t="inlineStr">
        <is>
          <t>Tham gia paid-demo (POST /enroll, $19/tháng) — vai trò Người bị cấm</t>
        </is>
      </c>
      <c r="E238" s="15" t="inlineStr">
        <is>
          <t>Chức năng</t>
        </is>
      </c>
      <c r="F238" s="16" t="inlineStr">
        <is>
          <t>Cao</t>
        </is>
      </c>
      <c r="G238" s="17" t="inlineStr">
        <is>
          <t>Đã hoàn thiện</t>
        </is>
      </c>
      <c r="H238" s="17" t="inlineStr">
        <is>
          <t>Có</t>
        </is>
      </c>
      <c r="I23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38" s="15" t="inlineStr">
        <is>
          <t>1. Đăng nhập bằng banned@sofinhub.test (bị cấm khỏi photo)
2. POST /api/courses/paid-demo/enroll</t>
        </is>
      </c>
      <c r="K238" s="15" t="inlineStr">
        <is>
          <t>-</t>
        </is>
      </c>
      <c r="L238" s="15" t="inlineStr">
        <is>
          <t>402 PAYMENT_REQUIRED</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2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TC-COMMVP-001</t>
        </is>
      </c>
      <c r="B2" s="15" t="inlineStr">
        <is>
          <t>Cộng đồng MVP (gắn theo khóa học — 2026-09-29)</t>
        </is>
      </c>
      <c r="C2" s="15" t="inlineStr">
        <is>
          <t>Bảng tin</t>
        </is>
      </c>
      <c r="D2" s="15" t="inlineStr">
        <is>
          <t>Đăng bài trong cộng đồng của khóa học đã tham gia</t>
        </is>
      </c>
      <c r="E2" s="15" t="inlineStr">
        <is>
          <t>Chức năng</t>
        </is>
      </c>
      <c r="F2" s="16" t="inlineStr">
        <is>
          <t>Cao</t>
        </is>
      </c>
      <c r="G2" s="17" t="inlineStr">
        <is>
          <t>Đã hoàn thiện</t>
        </is>
      </c>
      <c r="H2" s="17" t="inlineStr">
        <is>
          <t>Có</t>
        </is>
      </c>
      <c r="I2" s="15" t="inlineStr">
        <is>
          <t>Đã đăng nhập, đã tham gia (enroll) khóa học</t>
        </is>
      </c>
      <c r="J2" s="15" t="inlineStr">
        <is>
          <t>1. Vào /courses/:id/community
2. Nhập nội dung ở ô soạn bài
3. Chọn danh mục
4. Bấm Đăng bài</t>
        </is>
      </c>
      <c r="K2" s="15" t="inlineStr">
        <is>
          <t>-</t>
        </is>
      </c>
      <c r="L2" s="15" t="inlineStr">
        <is>
          <t>Bài viết xuất hiện ngay đầu bảng tin, đúng tác giả/nội dung/danh mục; BE lưu thật (POST /api/courses/:id/posts)</t>
        </is>
      </c>
      <c r="M2" s="15" t="inlineStr"/>
      <c r="N2" s="18" t="inlineStr">
        <is>
          <t>Chưa test</t>
        </is>
      </c>
      <c r="O2" s="15" t="inlineStr"/>
      <c r="P2" s="15" t="inlineStr"/>
      <c r="Q2" s="18" t="inlineStr">
        <is>
          <t>Chưa test</t>
        </is>
      </c>
      <c r="R2" s="15" t="inlineStr"/>
    </row>
    <row r="3" ht="30" customHeight="1">
      <c r="A3" s="14" t="inlineStr">
        <is>
          <t>TC-COMMVP-002</t>
        </is>
      </c>
      <c r="B3" s="15" t="inlineStr">
        <is>
          <t>Cộng đồng MVP (gắn theo khóa học — 2026-09-29)</t>
        </is>
      </c>
      <c r="C3" s="15" t="inlineStr">
        <is>
          <t>Bảng tin</t>
        </is>
      </c>
      <c r="D3" s="15" t="inlineStr">
        <is>
          <t>Không đăng bài được khi chưa tham gia khóa học (chặn ở server)</t>
        </is>
      </c>
      <c r="E3" s="15" t="inlineStr">
        <is>
          <t>Bảo mật</t>
        </is>
      </c>
      <c r="F3" s="16" t="inlineStr">
        <is>
          <t>Cao</t>
        </is>
      </c>
      <c r="G3" s="17" t="inlineStr">
        <is>
          <t>Đã hoàn thiện</t>
        </is>
      </c>
      <c r="H3" s="17" t="inlineStr">
        <is>
          <t>Có</t>
        </is>
      </c>
      <c r="I3" s="15" t="inlineStr">
        <is>
          <t>Đã đăng nhập, CHƯA tham gia khóa học</t>
        </is>
      </c>
      <c r="J3" s="15" t="inlineStr">
        <is>
          <t>1. Gọi trực tiếp POST /api/courses/:id/posts bằng access token hợp lệ nhưng chưa enroll</t>
        </is>
      </c>
      <c r="K3" s="15" t="inlineStr">
        <is>
          <t>-</t>
        </is>
      </c>
      <c r="L3" s="15" t="inlineStr">
        <is>
          <t>Trả về 403 (enrollmentService.requireMembership), không tạo được bài viết dù có token hợp lệ</t>
        </is>
      </c>
      <c r="M3" s="15" t="inlineStr"/>
      <c r="N3" s="18" t="inlineStr">
        <is>
          <t>Chưa test</t>
        </is>
      </c>
      <c r="O3" s="15" t="inlineStr"/>
      <c r="P3" s="15" t="inlineStr"/>
      <c r="Q3" s="18" t="inlineStr">
        <is>
          <t>Chưa test</t>
        </is>
      </c>
      <c r="R3" s="15" t="inlineStr"/>
    </row>
    <row r="4" ht="30" customHeight="1">
      <c r="A4" s="14" t="inlineStr">
        <is>
          <t>TC-COMMVP-003</t>
        </is>
      </c>
      <c r="B4" s="15" t="inlineStr">
        <is>
          <t>Cộng đồng MVP (gắn theo khóa học — 2026-09-29)</t>
        </is>
      </c>
      <c r="C4" s="15" t="inlineStr">
        <is>
          <t>Bảng tin</t>
        </is>
      </c>
      <c r="D4" s="15" t="inlineStr">
        <is>
          <t>Thích bài viết — không tự cộng điểm khi tự thích bài của chính mình</t>
        </is>
      </c>
      <c r="E4" s="15" t="inlineStr">
        <is>
          <t>Chức năng</t>
        </is>
      </c>
      <c r="F4" s="20" t="inlineStr">
        <is>
          <t>Trung bình</t>
        </is>
      </c>
      <c r="G4" s="17" t="inlineStr">
        <is>
          <t>Đã hoàn thiện</t>
        </is>
      </c>
      <c r="H4" s="17" t="inlineStr">
        <is>
          <t>Có</t>
        </is>
      </c>
      <c r="I4" s="15" t="inlineStr">
        <is>
          <t>Có bài viết do chính người test tạo</t>
        </is>
      </c>
      <c r="J4" s="15" t="inlineStr">
        <is>
          <t>1. Tự thích (like) bài viết của chính mình
2. Kiểm tra bảng xếp hạng</t>
        </is>
      </c>
      <c r="K4" s="15" t="inlineStr">
        <is>
          <t>-</t>
        </is>
      </c>
      <c r="L4" s="15" t="inlineStr">
        <is>
          <t>Số lượt thích tăng ngay; KHÔNG cộng điểm 'like_received' vì tác giả trùng người thích (đã verify bằng curl)</t>
        </is>
      </c>
      <c r="M4" s="15" t="inlineStr"/>
      <c r="N4" s="18" t="inlineStr">
        <is>
          <t>Chưa test</t>
        </is>
      </c>
      <c r="O4" s="15" t="inlineStr"/>
      <c r="P4" s="15" t="inlineStr"/>
      <c r="Q4" s="18" t="inlineStr">
        <is>
          <t>Chưa test</t>
        </is>
      </c>
      <c r="R4" s="15" t="inlineStr"/>
    </row>
    <row r="5" ht="45" customHeight="1">
      <c r="A5" s="14" t="inlineStr">
        <is>
          <t>TC-COMMVP-004</t>
        </is>
      </c>
      <c r="B5" s="15" t="inlineStr">
        <is>
          <t>Cộng đồng MVP (gắn theo khóa học — 2026-09-29)</t>
        </is>
      </c>
      <c r="C5" s="15" t="inlineStr">
        <is>
          <t>Bảng tin</t>
        </is>
      </c>
      <c r="D5" s="15" t="inlineStr">
        <is>
          <t>Bình luận bài viết</t>
        </is>
      </c>
      <c r="E5" s="15" t="inlineStr">
        <is>
          <t>Chức năng</t>
        </is>
      </c>
      <c r="F5" s="16" t="inlineStr">
        <is>
          <t>Cao</t>
        </is>
      </c>
      <c r="G5" s="17" t="inlineStr">
        <is>
          <t>Đã hoàn thiện</t>
        </is>
      </c>
      <c r="H5" s="17" t="inlineStr">
        <is>
          <t>Có</t>
        </is>
      </c>
      <c r="I5" s="15" t="inlineStr">
        <is>
          <t>Có bài viết trong cộng đồng</t>
        </is>
      </c>
      <c r="J5" s="15" t="inlineStr">
        <is>
          <t>1. Mở 1 bài viết
2. Nhập bình luận
3. Gửi</t>
        </is>
      </c>
      <c r="K5" s="15" t="inlineStr">
        <is>
          <t>-</t>
        </is>
      </c>
      <c r="L5" s="15" t="inlineStr">
        <is>
          <t>Bình luận lưu thật, hiển thị đúng tác giả/thời gian, tăng commentsCount</t>
        </is>
      </c>
      <c r="M5" s="15" t="inlineStr"/>
      <c r="N5" s="18" t="inlineStr">
        <is>
          <t>Chưa test</t>
        </is>
      </c>
      <c r="O5" s="15" t="inlineStr"/>
      <c r="P5" s="15" t="inlineStr"/>
      <c r="Q5" s="18" t="inlineStr">
        <is>
          <t>Chưa test</t>
        </is>
      </c>
      <c r="R5" s="15" t="inlineStr"/>
    </row>
    <row r="6" ht="45" customHeight="1">
      <c r="A6" s="14" t="inlineStr">
        <is>
          <t>TC-COMMVP-005</t>
        </is>
      </c>
      <c r="B6" s="15" t="inlineStr">
        <is>
          <t>Cộng đồng MVP (gắn theo khóa học — 2026-09-29)</t>
        </is>
      </c>
      <c r="C6" s="15" t="inlineStr">
        <is>
          <t>Bảng tin</t>
        </is>
      </c>
      <c r="D6" s="15" t="inlineStr">
        <is>
          <t>Ghim / bỏ ghim bài viết (chỉ mod trở lên)</t>
        </is>
      </c>
      <c r="E6" s="15" t="inlineStr">
        <is>
          <t>Chức năng</t>
        </is>
      </c>
      <c r="F6" s="20" t="inlineStr">
        <is>
          <t>Trung bình</t>
        </is>
      </c>
      <c r="G6" s="17" t="inlineStr">
        <is>
          <t>Đã hoàn thiện</t>
        </is>
      </c>
      <c r="H6" s="17" t="inlineStr">
        <is>
          <t>Có</t>
        </is>
      </c>
      <c r="I6" s="15" t="inlineStr">
        <is>
          <t>Đăng nhập mod@sofinhub.test (mod của photo), có bài viết trong photo</t>
        </is>
      </c>
      <c r="J6" s="15" t="inlineStr">
        <is>
          <t>1. Vào /courses/photo/community
2. Bấm 'Ghim' trên 1 bài viết
3. Bấm lại để bỏ ghim</t>
        </is>
      </c>
      <c r="K6" s="15" t="inlineStr">
        <is>
          <t>-</t>
        </is>
      </c>
      <c r="L6" s="15" t="inlineStr">
        <is>
          <t>Trạng thái pinned đảo đúng chiều. ĐÃ SỬA LỖI PHÂN QUYỀN (30/09/2026): chỉ mod trở lên ghim được; member thường không thấy nút và gọi API bị 403 FORBIDDEN (xem các case ma trận quyền ở FEED/ROLE)</t>
        </is>
      </c>
      <c r="M6" s="15" t="inlineStr"/>
      <c r="N6" s="18" t="inlineStr">
        <is>
          <t>Chưa test</t>
        </is>
      </c>
      <c r="O6" s="15" t="inlineStr"/>
      <c r="P6" s="15" t="inlineStr"/>
      <c r="Q6" s="18" t="inlineStr">
        <is>
          <t>Chưa test</t>
        </is>
      </c>
      <c r="R6" s="15" t="inlineStr"/>
    </row>
    <row r="7" ht="30" customHeight="1">
      <c r="A7" s="14" t="inlineStr">
        <is>
          <t>TC-COMMVP-006</t>
        </is>
      </c>
      <c r="B7" s="15" t="inlineStr">
        <is>
          <t>Cộng đồng MVP (gắn theo khóa học — 2026-09-29)</t>
        </is>
      </c>
      <c r="C7" s="15" t="inlineStr">
        <is>
          <t>Bảng tin</t>
        </is>
      </c>
      <c r="D7" s="15" t="inlineStr">
        <is>
          <t>Lọc bài viết theo danh mục &amp; sắp xếp Mới nhất/Phổ biến</t>
        </is>
      </c>
      <c r="E7" s="15" t="inlineStr">
        <is>
          <t>Chức năng</t>
        </is>
      </c>
      <c r="F7" s="20" t="inlineStr">
        <is>
          <t>Trung bình</t>
        </is>
      </c>
      <c r="G7" s="17" t="inlineStr">
        <is>
          <t>Đã hoàn thiện</t>
        </is>
      </c>
      <c r="H7" s="17" t="inlineStr">
        <is>
          <t>Có</t>
        </is>
      </c>
      <c r="I7" s="15" t="inlineStr">
        <is>
          <t>Có bài viết ở nhiều danh mục</t>
        </is>
      </c>
      <c r="J7" s="15" t="inlineStr">
        <is>
          <t>1. Chọn 1 danh mục cụ thể
2. Đổi sắp xếp giữa Mới nhất/Phổ biến</t>
        </is>
      </c>
      <c r="K7" s="15" t="inlineStr">
        <is>
          <t>-</t>
        </is>
      </c>
      <c r="L7" s="15" t="inlineStr">
        <is>
          <t>Danh sách lọc/sắp xếp đúng, bài ghim luôn lên đầu</t>
        </is>
      </c>
      <c r="M7" s="15" t="inlineStr"/>
      <c r="N7" s="18" t="inlineStr">
        <is>
          <t>Chưa test</t>
        </is>
      </c>
      <c r="O7" s="15" t="inlineStr"/>
      <c r="P7" s="15" t="inlineStr"/>
      <c r="Q7" s="18" t="inlineStr">
        <is>
          <t>Chưa test</t>
        </is>
      </c>
      <c r="R7" s="15" t="inlineStr"/>
    </row>
    <row r="8" ht="30" customHeight="1">
      <c r="A8" s="14" t="inlineStr">
        <is>
          <t>TC-COMMVP-007</t>
        </is>
      </c>
      <c r="B8" s="15" t="inlineStr">
        <is>
          <t>Cộng đồng MVP (gắn theo khóa học — 2026-09-29)</t>
        </is>
      </c>
      <c r="C8" s="15" t="inlineStr">
        <is>
          <t>Lớp học</t>
        </is>
      </c>
      <c r="D8" s="15" t="inlineStr">
        <is>
          <t>Xem danh sách module với % tiến độ thật theo từng người</t>
        </is>
      </c>
      <c r="E8" s="15" t="inlineStr">
        <is>
          <t>Chức năng</t>
        </is>
      </c>
      <c r="F8" s="16" t="inlineStr">
        <is>
          <t>Cao</t>
        </is>
      </c>
      <c r="G8" s="17" t="inlineStr">
        <is>
          <t>Đã hoàn thiện</t>
        </is>
      </c>
      <c r="H8" s="17" t="inlineStr">
        <is>
          <t>Có</t>
        </is>
      </c>
      <c r="I8" s="15" t="inlineStr">
        <is>
          <t>Đã tham gia khóa học</t>
        </is>
      </c>
      <c r="J8" s="15" t="inlineStr">
        <is>
          <t>1. Vào tab Lớp học</t>
        </is>
      </c>
      <c r="K8" s="15" t="inlineStr">
        <is>
          <t>-</t>
        </is>
      </c>
      <c r="L8" s="15" t="inlineStr">
        <is>
          <t>Module tự sinh từ course.lessons/durationMinutes (GET /api/courses/:id/modules), % tiến độ tính đúng theo bài học đã hoàn thành của riêng user đó</t>
        </is>
      </c>
      <c r="M8" s="15" t="inlineStr"/>
      <c r="N8" s="18" t="inlineStr">
        <is>
          <t>Chưa test</t>
        </is>
      </c>
      <c r="O8" s="15" t="inlineStr"/>
      <c r="P8" s="15" t="inlineStr"/>
      <c r="Q8" s="18" t="inlineStr">
        <is>
          <t>Chưa test</t>
        </is>
      </c>
      <c r="R8" s="15" t="inlineStr"/>
    </row>
    <row r="9" ht="30" customHeight="1">
      <c r="A9" s="14" t="inlineStr">
        <is>
          <t>TC-COMMVP-008</t>
        </is>
      </c>
      <c r="B9" s="15" t="inlineStr">
        <is>
          <t>Cộng đồng MVP (gắn theo khóa học — 2026-09-29)</t>
        </is>
      </c>
      <c r="C9" s="15" t="inlineStr">
        <is>
          <t>Lớp học</t>
        </is>
      </c>
      <c r="D9" s="15" t="inlineStr">
        <is>
          <t>Module tự động khóa tới khi hoàn thành 100% module trước</t>
        </is>
      </c>
      <c r="E9" s="15" t="inlineStr">
        <is>
          <t>Chức năng</t>
        </is>
      </c>
      <c r="F9" s="16" t="inlineStr">
        <is>
          <t>Cao</t>
        </is>
      </c>
      <c r="G9" s="17" t="inlineStr">
        <is>
          <t>Đã hoàn thiện</t>
        </is>
      </c>
      <c r="H9" s="17" t="inlineStr">
        <is>
          <t>Có</t>
        </is>
      </c>
      <c r="I9" s="15" t="inlineStr">
        <is>
          <t>Module 1 chưa hoàn thành hết</t>
        </is>
      </c>
      <c r="J9" s="15" t="inlineStr">
        <is>
          <t>1. Xem danh sách module khi module 1 chưa xong</t>
        </is>
      </c>
      <c r="K9" s="15" t="inlineStr">
        <is>
          <t>-</t>
        </is>
      </c>
      <c r="L9" s="15" t="inlineStr">
        <is>
          <t>Module 2 trở đi có locked=true; đã verify bằng curl: hoàn thành hết bài học module 1 thì module 2 mới mở</t>
        </is>
      </c>
      <c r="M9" s="15" t="inlineStr"/>
      <c r="N9" s="18" t="inlineStr">
        <is>
          <t>Chưa test</t>
        </is>
      </c>
      <c r="O9" s="15" t="inlineStr"/>
      <c r="P9" s="15" t="inlineStr"/>
      <c r="Q9" s="18" t="inlineStr">
        <is>
          <t>Chưa test</t>
        </is>
      </c>
      <c r="R9" s="15" t="inlineStr"/>
    </row>
    <row r="10" ht="30" customHeight="1">
      <c r="A10" s="14" t="inlineStr">
        <is>
          <t>TC-COMMVP-009</t>
        </is>
      </c>
      <c r="B10" s="15" t="inlineStr">
        <is>
          <t>Cộng đồng MVP (gắn theo khóa học — 2026-09-29)</t>
        </is>
      </c>
      <c r="C10" s="15" t="inlineStr">
        <is>
          <t>Lớp học</t>
        </is>
      </c>
      <c r="D10" s="15" t="inlineStr">
        <is>
          <t>Chặn ở server khi cố mở bài học của module đang khóa</t>
        </is>
      </c>
      <c r="E10" s="15" t="inlineStr">
        <is>
          <t>Bảo mật</t>
        </is>
      </c>
      <c r="F10" s="16" t="inlineStr">
        <is>
          <t>Cao</t>
        </is>
      </c>
      <c r="G10" s="17" t="inlineStr">
        <is>
          <t>Đã hoàn thiện</t>
        </is>
      </c>
      <c r="H10" s="17" t="inlineStr">
        <is>
          <t>Có</t>
        </is>
      </c>
      <c r="I10" s="15" t="inlineStr">
        <is>
          <t>Module 2 đang locked (module 1 chưa xong)</t>
        </is>
      </c>
      <c r="J10" s="15" t="inlineStr">
        <is>
          <t>1. Gọi trực tiếp GET /api/courses/:id/modules/:moduleId/lessons cho module đang khóa</t>
        </is>
      </c>
      <c r="K10" s="15" t="inlineStr">
        <is>
          <t>-</t>
        </is>
      </c>
      <c r="L10" s="15" t="inlineStr">
        <is>
          <t>Trả về 403 'Cần hoàn thành module trước đó để mở khóa module này', không tin riêng phía FE</t>
        </is>
      </c>
      <c r="M10" s="15" t="inlineStr"/>
      <c r="N10" s="18" t="inlineStr">
        <is>
          <t>Chưa test</t>
        </is>
      </c>
      <c r="O10" s="15" t="inlineStr"/>
      <c r="P10" s="15" t="inlineStr"/>
      <c r="Q10" s="18" t="inlineStr">
        <is>
          <t>Chưa test</t>
        </is>
      </c>
      <c r="R10" s="15" t="inlineStr"/>
    </row>
    <row r="11" ht="30" customHeight="1">
      <c r="A11" s="14" t="inlineStr">
        <is>
          <t>TC-COMMVP-010</t>
        </is>
      </c>
      <c r="B11" s="15" t="inlineStr">
        <is>
          <t>Cộng đồng MVP (gắn theo khóa học — 2026-09-29)</t>
        </is>
      </c>
      <c r="C11" s="15" t="inlineStr">
        <is>
          <t>Lớp học</t>
        </is>
      </c>
      <c r="D11" s="15" t="inlineStr">
        <is>
          <t>Đánh dấu hoàn thành bài học, % tiến độ cập nhật ngay</t>
        </is>
      </c>
      <c r="E11" s="15" t="inlineStr">
        <is>
          <t>Chức năng</t>
        </is>
      </c>
      <c r="F11" s="16" t="inlineStr">
        <is>
          <t>Cao</t>
        </is>
      </c>
      <c r="G11" s="17" t="inlineStr">
        <is>
          <t>Đã hoàn thiện</t>
        </is>
      </c>
      <c r="H11" s="17" t="inlineStr">
        <is>
          <t>Có</t>
        </is>
      </c>
      <c r="I11" s="15" t="inlineStr">
        <is>
          <t>Đang xem 1 bài học chưa hoàn thành</t>
        </is>
      </c>
      <c r="J11" s="15" t="inlineStr">
        <is>
          <t>1. Bấm hoàn thành 1 bài học</t>
        </is>
      </c>
      <c r="K11" s="15" t="inlineStr">
        <is>
          <t>-</t>
        </is>
      </c>
      <c r="L11" s="15" t="inlineStr">
        <is>
          <t>completed=true ngay, % tiến độ module tăng đúng tỉ lệ 1/tổng số bài</t>
        </is>
      </c>
      <c r="M11" s="15" t="inlineStr"/>
      <c r="N11" s="18" t="inlineStr">
        <is>
          <t>Chưa test</t>
        </is>
      </c>
      <c r="O11" s="15" t="inlineStr"/>
      <c r="P11" s="15" t="inlineStr"/>
      <c r="Q11" s="18" t="inlineStr">
        <is>
          <t>Chưa test</t>
        </is>
      </c>
      <c r="R11" s="15" t="inlineStr"/>
    </row>
    <row r="12" ht="30" customHeight="1">
      <c r="A12" s="14" t="inlineStr">
        <is>
          <t>TC-COMMVP-011</t>
        </is>
      </c>
      <c r="B12" s="15" t="inlineStr">
        <is>
          <t>Cộng đồng MVP (gắn theo khóa học — 2026-09-29)</t>
        </is>
      </c>
      <c r="C12" s="15" t="inlineStr">
        <is>
          <t>Lớp học</t>
        </is>
      </c>
      <c r="D12" s="15" t="inlineStr">
        <is>
          <t>Hoàn thành bài học được cộng điểm (+3)</t>
        </is>
      </c>
      <c r="E12" s="15" t="inlineStr">
        <is>
          <t>Chức năng</t>
        </is>
      </c>
      <c r="F12" s="20" t="inlineStr">
        <is>
          <t>Trung bình</t>
        </is>
      </c>
      <c r="G12" s="17" t="inlineStr">
        <is>
          <t>Đã hoàn thiện</t>
        </is>
      </c>
      <c r="H12" s="17" t="inlineStr">
        <is>
          <t>Có</t>
        </is>
      </c>
      <c r="I12" s="15" t="inlineStr">
        <is>
          <t>-</t>
        </is>
      </c>
      <c r="J12" s="15" t="inlineStr">
        <is>
          <t>1. Hoàn thành 1 bài học
2. Kiểm tra bảng xếp hạng</t>
        </is>
      </c>
      <c r="K12" s="15" t="inlineStr">
        <is>
          <t>-</t>
        </is>
      </c>
      <c r="L12" s="15" t="inlineStr">
        <is>
          <t>Điểm tăng đúng +3 (POINT_VALUES.lesson_complete)</t>
        </is>
      </c>
      <c r="M12" s="15" t="inlineStr"/>
      <c r="N12" s="18" t="inlineStr">
        <is>
          <t>Chưa test</t>
        </is>
      </c>
      <c r="O12" s="15" t="inlineStr"/>
      <c r="P12" s="15" t="inlineStr"/>
      <c r="Q12" s="18" t="inlineStr">
        <is>
          <t>Chưa test</t>
        </is>
      </c>
      <c r="R12" s="15" t="inlineStr"/>
    </row>
    <row r="13" ht="60" customHeight="1">
      <c r="A13" s="14" t="inlineStr">
        <is>
          <t>TC-COMMVP-012</t>
        </is>
      </c>
      <c r="B13" s="15" t="inlineStr">
        <is>
          <t>Cộng đồng MVP (gắn theo khóa học — 2026-09-29)</t>
        </is>
      </c>
      <c r="C13" s="15" t="inlineStr">
        <is>
          <t>Lịch sự kiện</t>
        </is>
      </c>
      <c r="D13" s="15" t="inlineStr">
        <is>
          <t>Tạo sự kiện mới (tên, thời gian, link họp, giới hạn số lượng)</t>
        </is>
      </c>
      <c r="E13" s="15" t="inlineStr">
        <is>
          <t>Chức năng</t>
        </is>
      </c>
      <c r="F13" s="16" t="inlineStr">
        <is>
          <t>Cao</t>
        </is>
      </c>
      <c r="G13" s="17" t="inlineStr">
        <is>
          <t>Đã hoàn thiện</t>
        </is>
      </c>
      <c r="H13" s="17" t="inlineStr">
        <is>
          <t>Có</t>
        </is>
      </c>
      <c r="I13" s="15" t="inlineStr">
        <is>
          <t>Đã tham gia khóa học</t>
        </is>
      </c>
      <c r="J13" s="15" t="inlineStr">
        <is>
          <t>1. Vào tab Lịch sự kiện
2. Bấm '+ Tạo sự kiện'
3. Điền thông tin
4. Tạo</t>
        </is>
      </c>
      <c r="K13" s="15" t="inlineStr">
        <is>
          <t>-</t>
        </is>
      </c>
      <c r="L13" s="15" t="inlineStr">
        <is>
          <t>Sự kiện lưu thật (POST /api/courses/:id/events), hiển thị đúng trong danh sách Sắp diễn ra</t>
        </is>
      </c>
      <c r="M13" s="15" t="inlineStr"/>
      <c r="N13" s="18" t="inlineStr">
        <is>
          <t>Chưa test</t>
        </is>
      </c>
      <c r="O13" s="15" t="inlineStr"/>
      <c r="P13" s="15" t="inlineStr"/>
      <c r="Q13" s="18" t="inlineStr">
        <is>
          <t>Chưa test</t>
        </is>
      </c>
      <c r="R13" s="15" t="inlineStr"/>
    </row>
    <row r="14" ht="30" customHeight="1">
      <c r="A14" s="14" t="inlineStr">
        <is>
          <t>TC-COMMVP-013</t>
        </is>
      </c>
      <c r="B14" s="15" t="inlineStr">
        <is>
          <t>Cộng đồng MVP (gắn theo khóa học — 2026-09-29)</t>
        </is>
      </c>
      <c r="C14" s="15" t="inlineStr">
        <is>
          <t>Lịch sự kiện</t>
        </is>
      </c>
      <c r="D14" s="15" t="inlineStr">
        <is>
          <t>Đăng ký / hủy đăng ký (RSVP) tham dự</t>
        </is>
      </c>
      <c r="E14" s="15" t="inlineStr">
        <is>
          <t>Chức năng</t>
        </is>
      </c>
      <c r="F14" s="16" t="inlineStr">
        <is>
          <t>Cao</t>
        </is>
      </c>
      <c r="G14" s="17" t="inlineStr">
        <is>
          <t>Đã hoàn thiện</t>
        </is>
      </c>
      <c r="H14" s="17" t="inlineStr">
        <is>
          <t>Có</t>
        </is>
      </c>
      <c r="I14" s="15" t="inlineStr">
        <is>
          <t>Có sự kiện sắp diễn ra</t>
        </is>
      </c>
      <c r="J14" s="15" t="inlineStr">
        <is>
          <t>1. Bấm 'Đăng ký'
2. Bấm lại để hủy</t>
        </is>
      </c>
      <c r="K14" s="15" t="inlineStr">
        <is>
          <t>-</t>
        </is>
      </c>
      <c r="L14" s="15" t="inlineStr">
        <is>
          <t>rsvpCount tăng/giảm đúng, trạng thái nút đổi theo viewerRsvped</t>
        </is>
      </c>
      <c r="M14" s="15" t="inlineStr"/>
      <c r="N14" s="18" t="inlineStr">
        <is>
          <t>Chưa test</t>
        </is>
      </c>
      <c r="O14" s="15" t="inlineStr"/>
      <c r="P14" s="15" t="inlineStr"/>
      <c r="Q14" s="18" t="inlineStr">
        <is>
          <t>Chưa test</t>
        </is>
      </c>
      <c r="R14" s="15" t="inlineStr"/>
    </row>
    <row r="15" ht="30" customHeight="1">
      <c r="A15" s="14" t="inlineStr">
        <is>
          <t>TC-COMMVP-014</t>
        </is>
      </c>
      <c r="B15" s="15" t="inlineStr">
        <is>
          <t>Cộng đồng MVP (gắn theo khóa học — 2026-09-29)</t>
        </is>
      </c>
      <c r="C15" s="15" t="inlineStr">
        <is>
          <t>Lịch sự kiện</t>
        </is>
      </c>
      <c r="D15" s="15" t="inlineStr">
        <is>
          <t>Từ chối RSVP khi sự kiện đã đủ số lượng giới hạn (capacity)</t>
        </is>
      </c>
      <c r="E15" s="15" t="inlineStr">
        <is>
          <t>Chức năng</t>
        </is>
      </c>
      <c r="F15" s="16" t="inlineStr">
        <is>
          <t>Cao</t>
        </is>
      </c>
      <c r="G15" s="17" t="inlineStr">
        <is>
          <t>Đã hoàn thiện</t>
        </is>
      </c>
      <c r="H15" s="17" t="inlineStr">
        <is>
          <t>Có</t>
        </is>
      </c>
      <c r="I15" s="15" t="inlineStr">
        <is>
          <t>Sự kiện có capacity=2, đã có 2 người đăng ký khác</t>
        </is>
      </c>
      <c r="J15" s="15" t="inlineStr">
        <is>
          <t>1. Người thứ 3 bấm 'Đăng ký'</t>
        </is>
      </c>
      <c r="K15" s="15" t="inlineStr">
        <is>
          <t>capacity=2, đã đủ</t>
        </is>
      </c>
      <c r="L15" s="15" t="inlineStr">
        <is>
          <t>Trả về 409 'Sự kiện đã đủ số lượng đăng ký' — đã verify capacity kiểm tra thật ở server</t>
        </is>
      </c>
      <c r="M15" s="15" t="inlineStr"/>
      <c r="N15" s="18" t="inlineStr">
        <is>
          <t>Chưa test</t>
        </is>
      </c>
      <c r="O15" s="15" t="inlineStr"/>
      <c r="P15" s="15" t="inlineStr"/>
      <c r="Q15" s="18" t="inlineStr">
        <is>
          <t>Chưa test</t>
        </is>
      </c>
      <c r="R15" s="15" t="inlineStr"/>
    </row>
    <row r="16" ht="30" customHeight="1">
      <c r="A16" s="14" t="inlineStr">
        <is>
          <t>TC-COMMVP-015</t>
        </is>
      </c>
      <c r="B16" s="15" t="inlineStr">
        <is>
          <t>Cộng đồng MVP (gắn theo khóa học — 2026-09-29)</t>
        </is>
      </c>
      <c r="C16" s="15" t="inlineStr">
        <is>
          <t>Lịch sự kiện</t>
        </is>
      </c>
      <c r="D16" s="15" t="inlineStr">
        <is>
          <t>Không cho RSVP sự kiện đã diễn ra trong quá khứ</t>
        </is>
      </c>
      <c r="E16" s="15" t="inlineStr">
        <is>
          <t>Chức năng</t>
        </is>
      </c>
      <c r="F16" s="20" t="inlineStr">
        <is>
          <t>Trung bình</t>
        </is>
      </c>
      <c r="G16" s="17" t="inlineStr">
        <is>
          <t>Đã hoàn thiện</t>
        </is>
      </c>
      <c r="H16" s="17" t="inlineStr">
        <is>
          <t>Có</t>
        </is>
      </c>
      <c r="I16" s="15" t="inlineStr">
        <is>
          <t>Có sự kiện với startAt trong quá khứ</t>
        </is>
      </c>
      <c r="J16" s="15" t="inlineStr">
        <is>
          <t>1. Gọi RSVP cho sự kiện đã qua</t>
        </is>
      </c>
      <c r="K16" s="15" t="inlineStr">
        <is>
          <t>-</t>
        </is>
      </c>
      <c r="L16" s="15" t="inlineStr">
        <is>
          <t>Trả về 400 'Sự kiện đã diễn ra, không thể đăng ký'</t>
        </is>
      </c>
      <c r="M16" s="15" t="inlineStr"/>
      <c r="N16" s="18" t="inlineStr">
        <is>
          <t>Chưa test</t>
        </is>
      </c>
      <c r="O16" s="15" t="inlineStr"/>
      <c r="P16" s="15" t="inlineStr"/>
      <c r="Q16" s="18" t="inlineStr">
        <is>
          <t>Chưa test</t>
        </is>
      </c>
      <c r="R16" s="15" t="inlineStr"/>
    </row>
    <row r="17" ht="30" customHeight="1">
      <c r="A17" s="14" t="inlineStr">
        <is>
          <t>TC-COMMVP-016</t>
        </is>
      </c>
      <c r="B17" s="15" t="inlineStr">
        <is>
          <t>Cộng đồng MVP (gắn theo khóa học — 2026-09-29)</t>
        </is>
      </c>
      <c r="C17" s="15" t="inlineStr">
        <is>
          <t>Thành viên</t>
        </is>
      </c>
      <c r="D17" s="15" t="inlineStr">
        <is>
          <t>Danh sách thành viên tìm kiếm theo tên</t>
        </is>
      </c>
      <c r="E17" s="15" t="inlineStr">
        <is>
          <t>Chức năng</t>
        </is>
      </c>
      <c r="F17" s="20" t="inlineStr">
        <is>
          <t>Trung bình</t>
        </is>
      </c>
      <c r="G17" s="17" t="inlineStr">
        <is>
          <t>Đã hoàn thiện</t>
        </is>
      </c>
      <c r="H17" s="17" t="inlineStr">
        <is>
          <t>Có</t>
        </is>
      </c>
      <c r="I17" s="15" t="inlineStr">
        <is>
          <t>Cộng đồng có nhiều thành viên</t>
        </is>
      </c>
      <c r="J17" s="15" t="inlineStr">
        <is>
          <t>1. Vào tab Thành viên
2. Nhập tên vào ô tìm kiếm</t>
        </is>
      </c>
      <c r="K17" s="15" t="inlineStr">
        <is>
          <t>-</t>
        </is>
      </c>
      <c r="L17" s="15" t="inlineStr">
        <is>
          <t>Trả về đúng thành viên khớp tên (GET /api/courses/:id/members?q=)</t>
        </is>
      </c>
      <c r="M17" s="15" t="inlineStr"/>
      <c r="N17" s="18" t="inlineStr">
        <is>
          <t>Chưa test</t>
        </is>
      </c>
      <c r="O17" s="15" t="inlineStr"/>
      <c r="P17" s="15" t="inlineStr"/>
      <c r="Q17" s="18" t="inlineStr">
        <is>
          <t>Chưa test</t>
        </is>
      </c>
      <c r="R17" s="15" t="inlineStr"/>
    </row>
    <row r="18" ht="30" customHeight="1">
      <c r="A18" s="14" t="inlineStr">
        <is>
          <t>TC-COMMVP-017</t>
        </is>
      </c>
      <c r="B18" s="15" t="inlineStr">
        <is>
          <t>Cộng đồng MVP (gắn theo khóa học — 2026-09-29)</t>
        </is>
      </c>
      <c r="C18" s="15" t="inlineStr">
        <is>
          <t>Thành viên</t>
        </is>
      </c>
      <c r="D18" s="15" t="inlineStr">
        <is>
          <t>Trạng thái 'Đang trực tuyến' dựa trên hoạt động gần nhất (lastActiveAt)</t>
        </is>
      </c>
      <c r="E18" s="15" t="inlineStr">
        <is>
          <t>Chức năng</t>
        </is>
      </c>
      <c r="F18" s="17" t="inlineStr">
        <is>
          <t>Thấp</t>
        </is>
      </c>
      <c r="G18" s="17" t="inlineStr">
        <is>
          <t>Đã hoàn thiện</t>
        </is>
      </c>
      <c r="H18" s="17" t="inlineStr">
        <is>
          <t>Có</t>
        </is>
      </c>
      <c r="I18" s="15" t="inlineStr">
        <is>
          <t>-</t>
        </is>
      </c>
      <c r="J18" s="15" t="inlineStr">
        <is>
          <t>1. Vừa gọi 1 API bất kỳ trong cộng đồng (touchActivity)
2. Xem tab Thành viên</t>
        </is>
      </c>
      <c r="K18" s="15" t="inlineStr">
        <is>
          <t>Trong 5 phút gần nhất</t>
        </is>
      </c>
      <c r="L18" s="15" t="inlineStr">
        <is>
          <t>Hiển thị 'Đang trực tuyến' nếu lastActiveAt trong 5 phút gần nhất, ngược lại 'Không hoạt động'</t>
        </is>
      </c>
      <c r="M18" s="15" t="inlineStr"/>
      <c r="N18" s="18" t="inlineStr">
        <is>
          <t>Chưa test</t>
        </is>
      </c>
      <c r="O18" s="15" t="inlineStr"/>
      <c r="P18" s="15" t="inlineStr"/>
      <c r="Q18" s="18" t="inlineStr">
        <is>
          <t>Chưa test</t>
        </is>
      </c>
      <c r="R18" s="15" t="inlineStr"/>
    </row>
    <row r="19" ht="30" customHeight="1">
      <c r="A19" s="14" t="inlineStr">
        <is>
          <t>TC-COMMVP-018</t>
        </is>
      </c>
      <c r="B19" s="15" t="inlineStr">
        <is>
          <t>Cộng đồng MVP (gắn theo khóa học — 2026-09-29)</t>
        </is>
      </c>
      <c r="C19" s="15" t="inlineStr">
        <is>
          <t>Bảng xếp hạng</t>
        </is>
      </c>
      <c r="D19" s="15" t="inlineStr">
        <is>
          <t>Tính điểm đúng theo cửa sổ thời gian 7 ngày / 30 ngày / mọi thời điểm</t>
        </is>
      </c>
      <c r="E19" s="15" t="inlineStr">
        <is>
          <t>Chức năng</t>
        </is>
      </c>
      <c r="F19" s="16" t="inlineStr">
        <is>
          <t>Cao</t>
        </is>
      </c>
      <c r="G19" s="17" t="inlineStr">
        <is>
          <t>Đã hoàn thiện</t>
        </is>
      </c>
      <c r="H19" s="17" t="inlineStr">
        <is>
          <t>Có</t>
        </is>
      </c>
      <c r="I19" s="15" t="inlineStr">
        <is>
          <t>Có hoạt động ghi nhận điểm</t>
        </is>
      </c>
      <c r="J19" s="15" t="inlineStr">
        <is>
          <t>1. Xem bảng xếp hạng, đổi qua lại 3 tab thời gian</t>
        </is>
      </c>
      <c r="K19" s="15" t="inlineStr">
        <is>
          <t>-</t>
        </is>
      </c>
      <c r="L19" s="15" t="inlineStr">
        <is>
          <t>Tổng điểm tính đúng theo đúng cửa sổ thời gian được chọn (GET /api/courses/:id/leaderboard?window=)</t>
        </is>
      </c>
      <c r="M19" s="15" t="inlineStr"/>
      <c r="N19" s="18" t="inlineStr">
        <is>
          <t>Chưa test</t>
        </is>
      </c>
      <c r="O19" s="15" t="inlineStr"/>
      <c r="P19" s="15" t="inlineStr"/>
      <c r="Q19" s="18" t="inlineStr">
        <is>
          <t>Chưa test</t>
        </is>
      </c>
      <c r="R19" s="15" t="inlineStr"/>
    </row>
    <row r="20" ht="30" customHeight="1">
      <c r="A20" s="14" t="inlineStr">
        <is>
          <t>TC-COMMVP-019</t>
        </is>
      </c>
      <c r="B20" s="15" t="inlineStr">
        <is>
          <t>Cộng đồng MVP (gắn theo khóa học — 2026-09-29)</t>
        </is>
      </c>
      <c r="C20" s="15" t="inlineStr">
        <is>
          <t>Bảng xếp hạng</t>
        </is>
      </c>
      <c r="D20" s="15" t="inlineStr">
        <is>
          <t>Cộng điểm đúng cho từng loại hoạt động (đăng bài +5, nhận thích +2, RSVP +1)</t>
        </is>
      </c>
      <c r="E20" s="15" t="inlineStr">
        <is>
          <t>Chức năng</t>
        </is>
      </c>
      <c r="F20" s="20" t="inlineStr">
        <is>
          <t>Trung bình</t>
        </is>
      </c>
      <c r="G20" s="17" t="inlineStr">
        <is>
          <t>Đã hoàn thiện</t>
        </is>
      </c>
      <c r="H20" s="17" t="inlineStr">
        <is>
          <t>Có</t>
        </is>
      </c>
      <c r="I20" s="15" t="inlineStr">
        <is>
          <t>-</t>
        </is>
      </c>
      <c r="J20" s="15" t="inlineStr">
        <is>
          <t>1. Thực hiện lần lượt: đăng bài, được người khác thích, RSVP sự kiện
2. Kiểm tra tổng điểm</t>
        </is>
      </c>
      <c r="K20" s="15" t="inlineStr">
        <is>
          <t>-</t>
        </is>
      </c>
      <c r="L20" s="15" t="inlineStr">
        <is>
          <t>Điểm cộng đúng theo POINT_VALUES: post=5, like_received=2, lesson_complete=3, event_rsvp=1</t>
        </is>
      </c>
      <c r="M20" s="15" t="inlineStr"/>
      <c r="N20" s="18" t="inlineStr">
        <is>
          <t>Chưa test</t>
        </is>
      </c>
      <c r="O20" s="15" t="inlineStr"/>
      <c r="P20" s="15" t="inlineStr"/>
      <c r="Q20" s="18" t="inlineStr">
        <is>
          <t>Chưa test</t>
        </is>
      </c>
      <c r="R20" s="15" t="inlineStr"/>
    </row>
    <row r="21" ht="60" customHeight="1">
      <c r="A21" s="14" t="inlineStr">
        <is>
          <t>TC-COMMVP-020</t>
        </is>
      </c>
      <c r="B21" s="15" t="inlineStr">
        <is>
          <t>Cộng đồng MVP (gắn theo khóa học — 2026-09-29)</t>
        </is>
      </c>
      <c r="C21" s="15" t="inlineStr">
        <is>
          <t>Thanh toán</t>
        </is>
      </c>
      <c r="D21" s="15" t="inlineStr">
        <is>
          <t>Tạo giao dịch (checkout) cho khóa học có phí</t>
        </is>
      </c>
      <c r="E21" s="15" t="inlineStr">
        <is>
          <t>Chức năng</t>
        </is>
      </c>
      <c r="F21" s="16" t="inlineStr">
        <is>
          <t>Cao</t>
        </is>
      </c>
      <c r="G21" s="17" t="inlineStr">
        <is>
          <t>Đã hoàn thiện</t>
        </is>
      </c>
      <c r="H21" s="20" t="inlineStr">
        <is>
          <t>Một phần</t>
        </is>
      </c>
      <c r="I21" s="15" t="inlineStr">
        <is>
          <t>Khóa học có priceUsd &gt; 0, chưa tham gia</t>
        </is>
      </c>
      <c r="J21" s="15" t="inlineStr">
        <is>
          <t>1. Bấm 'Tham gia ngay' trên khóa có phí
2. Xác nhận dialog
3. Chọn phương thức thanh toán
4. Bấm Thanh toán</t>
        </is>
      </c>
      <c r="K21" s="15" t="inlineStr">
        <is>
          <t>-</t>
        </is>
      </c>
      <c r="L21" s="15" t="inlineStr">
        <is>
          <t>Tạo PaymentIntent status=pending (POST /api/courses/:id/checkout), đúng amountUsd theo giá khóa học</t>
        </is>
      </c>
      <c r="M21" s="15" t="inlineStr"/>
      <c r="N21" s="18" t="inlineStr">
        <is>
          <t>Chưa test</t>
        </is>
      </c>
      <c r="O21" s="15" t="inlineStr"/>
      <c r="P21" s="15" t="inlineStr"/>
      <c r="Q21" s="18" t="inlineStr">
        <is>
          <t>Chưa test</t>
        </is>
      </c>
      <c r="R21" s="15" t="inlineStr"/>
    </row>
    <row r="22" ht="30" customHeight="1">
      <c r="A22" s="14" t="inlineStr">
        <is>
          <t>TC-COMMVP-021</t>
        </is>
      </c>
      <c r="B22" s="15" t="inlineStr">
        <is>
          <t>Cộng đồng MVP (gắn theo khóa học — 2026-09-29)</t>
        </is>
      </c>
      <c r="C22" s="15" t="inlineStr">
        <is>
          <t>Thanh toán</t>
        </is>
      </c>
      <c r="D22" s="15" t="inlineStr">
        <is>
          <t>Không cho checkout khóa học miễn phí</t>
        </is>
      </c>
      <c r="E22" s="15" t="inlineStr">
        <is>
          <t>Chức năng</t>
        </is>
      </c>
      <c r="F22" s="20" t="inlineStr">
        <is>
          <t>Trung bình</t>
        </is>
      </c>
      <c r="G22" s="17" t="inlineStr">
        <is>
          <t>Đã hoàn thiện</t>
        </is>
      </c>
      <c r="H22" s="20" t="inlineStr">
        <is>
          <t>Một phần</t>
        </is>
      </c>
      <c r="I22" s="15" t="inlineStr">
        <is>
          <t>Khóa học priceUsd = 0</t>
        </is>
      </c>
      <c r="J22" s="15" t="inlineStr">
        <is>
          <t>1. Gọi POST /api/courses/:id/checkout cho khóa miễn phí</t>
        </is>
      </c>
      <c r="K22" s="15" t="inlineStr">
        <is>
          <t>-</t>
        </is>
      </c>
      <c r="L22" s="15" t="inlineStr">
        <is>
          <t>Trả về 400 'Khóa học này miễn phí, không cần thanh toán'</t>
        </is>
      </c>
      <c r="M22" s="15" t="inlineStr"/>
      <c r="N22" s="18" t="inlineStr">
        <is>
          <t>Chưa test</t>
        </is>
      </c>
      <c r="O22" s="15" t="inlineStr"/>
      <c r="P22" s="15" t="inlineStr"/>
      <c r="Q22" s="18" t="inlineStr">
        <is>
          <t>Chưa test</t>
        </is>
      </c>
      <c r="R22" s="15" t="inlineStr"/>
    </row>
    <row r="23" ht="30" customHeight="1">
      <c r="A23" s="14" t="inlineStr">
        <is>
          <t>TC-COMMVP-022</t>
        </is>
      </c>
      <c r="B23" s="15" t="inlineStr">
        <is>
          <t>Cộng đồng MVP (gắn theo khóa học — 2026-09-29)</t>
        </is>
      </c>
      <c r="C23" s="15" t="inlineStr">
        <is>
          <t>Thanh toán</t>
        </is>
      </c>
      <c r="D23" s="15" t="inlineStr">
        <is>
          <t>Chặn truy cập nội dung cộng đồng trước khi xác nhận thanh toán</t>
        </is>
      </c>
      <c r="E23" s="15" t="inlineStr">
        <is>
          <t>Bảo mật</t>
        </is>
      </c>
      <c r="F23" s="16" t="inlineStr">
        <is>
          <t>Cao</t>
        </is>
      </c>
      <c r="G23" s="17" t="inlineStr">
        <is>
          <t>Đã hoàn thiện</t>
        </is>
      </c>
      <c r="H23" s="20" t="inlineStr">
        <is>
          <t>Một phần</t>
        </is>
      </c>
      <c r="I23" s="15" t="inlineStr">
        <is>
          <t>Đã checkout (PaymentIntent pending) nhưng CHƯA confirm</t>
        </is>
      </c>
      <c r="J23" s="15" t="inlineStr">
        <is>
          <t>1. Gọi GET /api/courses/:id/posts ngay sau khi checkout, trước khi confirm</t>
        </is>
      </c>
      <c r="K23" s="15" t="inlineStr">
        <is>
          <t>-</t>
        </is>
      </c>
      <c r="L23" s="15" t="inlineStr">
        <is>
          <t>Trả về 403 — đã verify: nội dung chỉ mở sau khi confirm thành công, không tin trạng thái 'pending' là đã có quyền</t>
        </is>
      </c>
      <c r="M23" s="15" t="inlineStr"/>
      <c r="N23" s="18" t="inlineStr">
        <is>
          <t>Chưa test</t>
        </is>
      </c>
      <c r="O23" s="15" t="inlineStr"/>
      <c r="P23" s="15" t="inlineStr"/>
      <c r="Q23" s="18" t="inlineStr">
        <is>
          <t>Chưa test</t>
        </is>
      </c>
      <c r="R23" s="15" t="inlineStr"/>
    </row>
    <row r="24" ht="30" customHeight="1">
      <c r="A24" s="14" t="inlineStr">
        <is>
          <t>TC-COMMVP-023</t>
        </is>
      </c>
      <c r="B24" s="15" t="inlineStr">
        <is>
          <t>Cộng đồng MVP (gắn theo khóa học — 2026-09-29)</t>
        </is>
      </c>
      <c r="C24" s="15" t="inlineStr">
        <is>
          <t>Thanh toán</t>
        </is>
      </c>
      <c r="D24" s="15" t="inlineStr">
        <is>
          <t>Xác nhận thanh toán cấp quyền truy cập thật ngay lập tức</t>
        </is>
      </c>
      <c r="E24" s="15" t="inlineStr">
        <is>
          <t>Chức năng</t>
        </is>
      </c>
      <c r="F24" s="16" t="inlineStr">
        <is>
          <t>Cao</t>
        </is>
      </c>
      <c r="G24" s="17" t="inlineStr">
        <is>
          <t>Đã hoàn thiện</t>
        </is>
      </c>
      <c r="H24" s="20" t="inlineStr">
        <is>
          <t>Một phần</t>
        </is>
      </c>
      <c r="I24" s="15" t="inlineStr">
        <is>
          <t>Có PaymentIntent đang pending</t>
        </is>
      </c>
      <c r="J24" s="15" t="inlineStr">
        <is>
          <t>1. Gọi POST /api/payments/:id/confirm</t>
        </is>
      </c>
      <c r="K24" s="15" t="inlineStr">
        <is>
          <t>-</t>
        </is>
      </c>
      <c r="L24" s="15" t="inlineStr">
        <is>
          <t>status chuyển succeeds, enrollmentService.grant() cấp quyền ngay — gọi lại GET .../posts sau đó trả 200</t>
        </is>
      </c>
      <c r="M24" s="15" t="inlineStr"/>
      <c r="N24" s="18" t="inlineStr">
        <is>
          <t>Chưa test</t>
        </is>
      </c>
      <c r="O24" s="15" t="inlineStr"/>
      <c r="P24" s="15" t="inlineStr"/>
      <c r="Q24" s="18" t="inlineStr">
        <is>
          <t>Chưa test</t>
        </is>
      </c>
      <c r="R24" s="15" t="inlineStr"/>
    </row>
    <row r="25" ht="30" customHeight="1">
      <c r="A25" s="14" t="inlineStr">
        <is>
          <t>TC-COMMVP-024</t>
        </is>
      </c>
      <c r="B25" s="15" t="inlineStr">
        <is>
          <t>Cộng đồng MVP (gắn theo khóa học — 2026-09-29)</t>
        </is>
      </c>
      <c r="C25" s="15" t="inlineStr">
        <is>
          <t>Thanh toán</t>
        </is>
      </c>
      <c r="D25" s="15" t="inlineStr">
        <is>
          <t>Xác nhận lại giao dịch đã thành công không xử lý trùng (idempotent)</t>
        </is>
      </c>
      <c r="E25" s="15" t="inlineStr">
        <is>
          <t>Bảo mật</t>
        </is>
      </c>
      <c r="F25" s="16" t="inlineStr">
        <is>
          <t>Cao</t>
        </is>
      </c>
      <c r="G25" s="17" t="inlineStr">
        <is>
          <t>Đã hoàn thiện</t>
        </is>
      </c>
      <c r="H25" s="20" t="inlineStr">
        <is>
          <t>Một phần</t>
        </is>
      </c>
      <c r="I25" s="15" t="inlineStr">
        <is>
          <t>PaymentIntent đã ở trạng thái succeeded</t>
        </is>
      </c>
      <c r="J25" s="15" t="inlineStr">
        <is>
          <t>1. Gọi POST /api/payments/:id/confirm lần thứ 2</t>
        </is>
      </c>
      <c r="K25" s="15" t="inlineStr">
        <is>
          <t>-</t>
        </is>
      </c>
      <c r="L25" s="15" t="inlineStr">
        <is>
          <t>Trả về đúng thông tin giao dịch đã succeeded, không cấp quyền/ghi log trùng lần 2 — đã verify bằng curl</t>
        </is>
      </c>
      <c r="M25" s="15" t="inlineStr"/>
      <c r="N25" s="18" t="inlineStr">
        <is>
          <t>Chưa test</t>
        </is>
      </c>
      <c r="O25" s="15" t="inlineStr"/>
      <c r="P25" s="15" t="inlineStr"/>
      <c r="Q25" s="18" t="inlineStr">
        <is>
          <t>Chưa test</t>
        </is>
      </c>
      <c r="R25" s="15" t="inlineStr"/>
    </row>
    <row r="26" ht="30" customHeight="1">
      <c r="A26" s="14" t="inlineStr">
        <is>
          <t>TC-COMMVP-025</t>
        </is>
      </c>
      <c r="B26" s="15" t="inlineStr">
        <is>
          <t>Cộng đồng MVP (gắn theo khóa học — 2026-09-29)</t>
        </is>
      </c>
      <c r="C26" s="15" t="inlineStr">
        <is>
          <t>Thanh toán</t>
        </is>
      </c>
      <c r="D26" s="15" t="inlineStr">
        <is>
          <t>Không cho checkout lại khi đã tham gia khóa học rồi</t>
        </is>
      </c>
      <c r="E26" s="15" t="inlineStr">
        <is>
          <t>Chức năng</t>
        </is>
      </c>
      <c r="F26" s="20" t="inlineStr">
        <is>
          <t>Trung bình</t>
        </is>
      </c>
      <c r="G26" s="17" t="inlineStr">
        <is>
          <t>Đã hoàn thiện</t>
        </is>
      </c>
      <c r="H26" s="20" t="inlineStr">
        <is>
          <t>Một phần</t>
        </is>
      </c>
      <c r="I26" s="15" t="inlineStr">
        <is>
          <t>Đã tham gia (enrolled) khóa học</t>
        </is>
      </c>
      <c r="J26" s="15" t="inlineStr">
        <is>
          <t>1. Gọi lại POST /api/courses/:id/checkout cho khóa đã tham gia</t>
        </is>
      </c>
      <c r="K26" s="15" t="inlineStr">
        <is>
          <t>-</t>
        </is>
      </c>
      <c r="L26" s="15" t="inlineStr">
        <is>
          <t>Trả về 409 'Bạn đã tham gia khóa học này rồi'</t>
        </is>
      </c>
      <c r="M26" s="15" t="inlineStr"/>
      <c r="N26" s="18" t="inlineStr">
        <is>
          <t>Chưa test</t>
        </is>
      </c>
      <c r="O26" s="15" t="inlineStr"/>
      <c r="P26" s="15" t="inlineStr"/>
      <c r="Q26" s="18" t="inlineStr">
        <is>
          <t>Chưa test</t>
        </is>
      </c>
      <c r="R26" s="15" t="inlineStr"/>
    </row>
    <row r="27" ht="30" customHeight="1">
      <c r="A27" s="14" t="inlineStr">
        <is>
          <t>TC-COMMVP-026</t>
        </is>
      </c>
      <c r="B27" s="15" t="inlineStr">
        <is>
          <t>Cộng đồng MVP (gắn theo khóa học — 2026-09-29)</t>
        </is>
      </c>
      <c r="C27" s="15" t="inlineStr">
        <is>
          <t>Điều hướng</t>
        </is>
      </c>
      <c r="D27" s="15" t="inlineStr">
        <is>
          <t>Vào thẳng URL /courses/:id/community khi chưa tham gia sẽ bị chuyển hướng</t>
        </is>
      </c>
      <c r="E27" s="15" t="inlineStr">
        <is>
          <t>Chức năng</t>
        </is>
      </c>
      <c r="F27" s="20" t="inlineStr">
        <is>
          <t>Trung bình</t>
        </is>
      </c>
      <c r="G27" s="17" t="inlineStr">
        <is>
          <t>Đã hoàn thiện</t>
        </is>
      </c>
      <c r="H27" s="17" t="inlineStr">
        <is>
          <t>Có</t>
        </is>
      </c>
      <c r="I27" s="15" t="inlineStr">
        <is>
          <t>Chưa tham gia khóa học</t>
        </is>
      </c>
      <c r="J27" s="15" t="inlineStr">
        <is>
          <t>1. Gõ thẳng URL /courses/:id/community khi chưa enroll</t>
        </is>
      </c>
      <c r="K27" s="15" t="inlineStr">
        <is>
          <t>-</t>
        </is>
      </c>
      <c r="L27" s="15" t="inlineStr">
        <is>
          <t>FE tự redirect về /courses/:id (chặn UX sớm); quyền thật vẫn do từng API con tự xác thực lại ở server, không tin riêng cờ viewerEnrolled ở FE</t>
        </is>
      </c>
      <c r="M27" s="15" t="inlineStr"/>
      <c r="N27" s="18" t="inlineStr">
        <is>
          <t>Chưa test</t>
        </is>
      </c>
      <c r="O27" s="15" t="inlineStr"/>
      <c r="P27" s="15" t="inlineStr"/>
      <c r="Q27" s="18" t="inlineStr">
        <is>
          <t>Chưa test</t>
        </is>
      </c>
      <c r="R27" s="15" t="inlineStr"/>
    </row>
    <row r="28" ht="30" customHeight="1">
      <c r="A28" s="14" t="inlineStr">
        <is>
          <t>TC-COMMVP-027</t>
        </is>
      </c>
      <c r="B28" s="15" t="inlineStr">
        <is>
          <t>Cộng đồng MVP (gắn theo khóa học — 2026-09-29)</t>
        </is>
      </c>
      <c r="C28" s="15" t="inlineStr">
        <is>
          <t>Điều hướng</t>
        </is>
      </c>
      <c r="D28" s="15" t="inlineStr">
        <is>
          <t>Bấm 'Tham gia ngay' trên khóa có phí hiện dialog xác nhận trước khi sang trang thanh toán</t>
        </is>
      </c>
      <c r="E28" s="15" t="inlineStr">
        <is>
          <t>Chức năng</t>
        </is>
      </c>
      <c r="F28" s="16" t="inlineStr">
        <is>
          <t>Cao</t>
        </is>
      </c>
      <c r="G28" s="17" t="inlineStr">
        <is>
          <t>Đã hoàn thiện</t>
        </is>
      </c>
      <c r="H28" s="20" t="inlineStr">
        <is>
          <t>Một phần</t>
        </is>
      </c>
      <c r="I28" s="15" t="inlineStr">
        <is>
          <t>Khóa học có phí, chưa tham gia, đã đăng nhập</t>
        </is>
      </c>
      <c r="J28" s="15" t="inlineStr">
        <is>
          <t>1. Bấm 'Tham gia ngay'</t>
        </is>
      </c>
      <c r="K28" s="15" t="inlineStr">
        <is>
          <t>-</t>
        </is>
      </c>
      <c r="L28" s="15" t="inlineStr">
        <is>
          <t>Hiện dialog thông báo giá + thông tin dùng thử, có nút 'Đi tới thanh toán' → điều hướng /courses/:id/checkout. Khóa miễn phí thì bỏ qua dialog, vào thẳng /courses/:id/community</t>
        </is>
      </c>
      <c r="M28" s="15" t="inlineStr"/>
      <c r="N28" s="18" t="inlineStr">
        <is>
          <t>Chưa test</t>
        </is>
      </c>
      <c r="O28" s="15" t="inlineStr"/>
      <c r="P28" s="15" t="inlineStr"/>
      <c r="Q28" s="18" t="inlineStr">
        <is>
          <t>Chưa test</t>
        </is>
      </c>
      <c r="R28" s="15" t="inlineStr"/>
    </row>
  </sheetData>
  <autoFilter ref="A1:R28"/>
  <conditionalFormatting sqref="N2:N2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8" showDropDown="0" showInputMessage="0" showErrorMessage="0" allowBlank="1" type="list">
      <formula1>"Chưa test,Pass,Fail,Blocked,N/A"</formula1>
    </dataValidation>
    <dataValidation sqref="Q2:Q28" showDropDown="0" showInputMessage="0" showErrorMessage="0" allowBlank="1" type="list">
      <formula1>"Chưa test,Pass,Fail,Blocked,N/A"</formula1>
    </dataValidation>
    <dataValidation sqref="F2:F28" showDropDown="0" showInputMessage="0" showErrorMessage="0" allowBlank="1" type="list">
      <formula1>"Cao,Trung bình,Thấp"</formula1>
    </dataValidation>
    <dataValidation sqref="G2:G28" showDropDown="0" showInputMessage="0" showErrorMessage="0" allowBlank="1" type="list">
      <formula1>"Đã hoàn thiện,Kế hoạch"</formula1>
    </dataValidation>
    <dataValidation sqref="H2:H28"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0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TC-COURSE-001</t>
        </is>
      </c>
      <c r="B2" s="15" t="inlineStr">
        <is>
          <t>Khóa học / Lớp học</t>
        </is>
      </c>
      <c r="C2" s="15" t="inlineStr">
        <is>
          <t>Trang chi tiết khóa học</t>
        </is>
      </c>
      <c r="D2" s="15" t="inlineStr">
        <is>
          <t>Hiển thị đầy đủ thông tin khóa học (mô tả, giảng viên, đánh giá, nội dung, giá, FAQ)</t>
        </is>
      </c>
      <c r="E2" s="15" t="inlineStr">
        <is>
          <t>Giao diện</t>
        </is>
      </c>
      <c r="F2" s="16" t="inlineStr">
        <is>
          <t>Cao</t>
        </is>
      </c>
      <c r="G2" s="17" t="inlineStr">
        <is>
          <t>Đã hoàn thiện</t>
        </is>
      </c>
      <c r="H2" s="17" t="inlineStr">
        <is>
          <t>Có</t>
        </is>
      </c>
      <c r="I2" s="15" t="inlineStr">
        <is>
          <t>Khóa học đã tồn tại trong hệ thống</t>
        </is>
      </c>
      <c r="J2" s="15" t="inlineStr">
        <is>
          <t>1. Vào trang khám phá
2. Bấm vào 1 khóa học
3. Kiểm tra đủ các khu vực: mô tả, giảng viên, đánh giá, nội dung, giá, FAQ</t>
        </is>
      </c>
      <c r="K2" s="15" t="inlineStr">
        <is>
          <t>-</t>
        </is>
      </c>
      <c r="L2" s="15" t="inlineStr">
        <is>
          <t>Tất cả thông tin hiển thị đầy đủ, chính xác, không thiếu khu vực nào</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TC-COURSE-002</t>
        </is>
      </c>
      <c r="B3" s="15" t="inlineStr">
        <is>
          <t>Khóa học / Lớp học</t>
        </is>
      </c>
      <c r="C3" s="15" t="inlineStr">
        <is>
          <t>Trang chi tiết khóa học</t>
        </is>
      </c>
      <c r="D3" s="15" t="inlineStr">
        <is>
          <t>Xem trang chi tiết khóa học khi chưa đăng nhập (Khách)</t>
        </is>
      </c>
      <c r="E3" s="15" t="inlineStr">
        <is>
          <t>Chức năng</t>
        </is>
      </c>
      <c r="F3" s="20" t="inlineStr">
        <is>
          <t>Trung bình</t>
        </is>
      </c>
      <c r="G3" s="17" t="inlineStr">
        <is>
          <t>Đã hoàn thiện</t>
        </is>
      </c>
      <c r="H3" s="17" t="inlineStr">
        <is>
          <t>Có</t>
        </is>
      </c>
      <c r="I3" s="15" t="inlineStr">
        <is>
          <t>Chưa đăng nhập</t>
        </is>
      </c>
      <c r="J3" s="15" t="inlineStr">
        <is>
          <t>1. Vào trang chi tiết 1 khóa học công khai khi chưa đăng nhập</t>
        </is>
      </c>
      <c r="K3" s="15" t="inlineStr">
        <is>
          <t>-</t>
        </is>
      </c>
      <c r="L3" s="15" t="inlineStr">
        <is>
          <t>Xem được thông tin sơ lược công khai, không xem được nội dung chi tiết bên trong (theo vai trò Khách)</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30" customHeight="1">
      <c r="A4" s="14" t="inlineStr">
        <is>
          <t>TC-COURSE-003</t>
        </is>
      </c>
      <c r="B4" s="15" t="inlineStr">
        <is>
          <t>Khóa học / Lớp học</t>
        </is>
      </c>
      <c r="C4" s="15" t="inlineStr">
        <is>
          <t>Tham gia khóa học</t>
        </is>
      </c>
      <c r="D4" s="15" t="inlineStr">
        <is>
          <t>Tham gia khóa học thành công, lưu trạng thái ở server</t>
        </is>
      </c>
      <c r="E4" s="15" t="inlineStr">
        <is>
          <t>Chức năng</t>
        </is>
      </c>
      <c r="F4" s="16" t="inlineStr">
        <is>
          <t>Cao</t>
        </is>
      </c>
      <c r="G4" s="17" t="inlineStr">
        <is>
          <t>Đã hoàn thiện</t>
        </is>
      </c>
      <c r="H4" s="17" t="inlineStr">
        <is>
          <t>Có</t>
        </is>
      </c>
      <c r="I4" s="15" t="inlineStr">
        <is>
          <t>Đã đăng nhập, khóa học ở trạng thái có thể tham gia</t>
        </is>
      </c>
      <c r="J4" s="15" t="inlineStr">
        <is>
          <t>1. Vào trang chi tiết khóa học
2. Bấm 'Tham gia ngay'</t>
        </is>
      </c>
      <c r="K4" s="15" t="inlineStr">
        <is>
          <t>-</t>
        </is>
      </c>
      <c r="L4" s="15" t="inlineStr">
        <is>
          <t>Trạng thái 'Đã tham gia' được ghi nhận, hiển thị đúng ngay sau khi bấm</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TC-COURSE-004</t>
        </is>
      </c>
      <c r="B5" s="15" t="inlineStr">
        <is>
          <t>Khóa học / Lớp học</t>
        </is>
      </c>
      <c r="C5" s="15" t="inlineStr">
        <is>
          <t>Tham gia khóa học</t>
        </is>
      </c>
      <c r="D5" s="15" t="inlineStr">
        <is>
          <t>Trạng thái tham gia khóa học không mất khi tải lại trang</t>
        </is>
      </c>
      <c r="E5" s="15" t="inlineStr">
        <is>
          <t>Chức năng</t>
        </is>
      </c>
      <c r="F5" s="16" t="inlineStr">
        <is>
          <t>Cao</t>
        </is>
      </c>
      <c r="G5" s="17" t="inlineStr">
        <is>
          <t>Đã hoàn thiện</t>
        </is>
      </c>
      <c r="H5" s="17" t="inlineStr">
        <is>
          <t>Có</t>
        </is>
      </c>
      <c r="I5" s="15" t="inlineStr">
        <is>
          <t>Đã tham gia 1 khóa học</t>
        </is>
      </c>
      <c r="J5" s="15" t="inlineStr">
        <is>
          <t>1. Tham gia 1 khóa học
2. Nhấn F5 tải lại trang
3. Kiểm tra trạng thái tham gia</t>
        </is>
      </c>
      <c r="K5" s="15" t="inlineStr">
        <is>
          <t>-</t>
        </is>
      </c>
      <c r="L5" s="15" t="inlineStr">
        <is>
          <t>Trạng thái 'Đã tham gia' vẫn được giữ nguyên (dữ liệu lấy từ server, không chỉ ở client)</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c r="Q5" s="18" t="inlineStr">
        <is>
          <t>Chưa test</t>
        </is>
      </c>
      <c r="R5" s="15" t="inlineStr"/>
    </row>
    <row r="6" ht="30" customHeight="1">
      <c r="A6" s="14" t="inlineStr">
        <is>
          <t>TC-COURSE-005</t>
        </is>
      </c>
      <c r="B6" s="15" t="inlineStr">
        <is>
          <t>Khóa học / Lớp học</t>
        </is>
      </c>
      <c r="C6" s="15" t="inlineStr">
        <is>
          <t>Tham gia khóa học</t>
        </is>
      </c>
      <c r="D6" s="15" t="inlineStr">
        <is>
          <t>Tham gia lại khóa học đã tham gia trước đó (idempotent)</t>
        </is>
      </c>
      <c r="E6" s="15" t="inlineStr">
        <is>
          <t>Chức năng</t>
        </is>
      </c>
      <c r="F6" s="20" t="inlineStr">
        <is>
          <t>Trung bình</t>
        </is>
      </c>
      <c r="G6" s="17" t="inlineStr">
        <is>
          <t>Đã hoàn thiện</t>
        </is>
      </c>
      <c r="H6" s="17" t="inlineStr">
        <is>
          <t>Có</t>
        </is>
      </c>
      <c r="I6" s="15" t="inlineStr">
        <is>
          <t>Đã tham gia 1 khóa học</t>
        </is>
      </c>
      <c r="J6" s="15" t="inlineStr">
        <is>
          <t>1. Vào lại trang chi tiết khóa học đã tham gia
2. Bấm nút tham gia (nếu còn hiển thị) hoặc F5 nhiều lần</t>
        </is>
      </c>
      <c r="K6" s="15" t="inlineStr">
        <is>
          <t>-</t>
        </is>
      </c>
      <c r="L6" s="15" t="inlineStr">
        <is>
          <t>Không tạo bản ghi tham gia trùng lặp, trạng thái vẫn nhất quán</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c r="Q6" s="18" t="inlineStr">
        <is>
          <t>Chưa test</t>
        </is>
      </c>
      <c r="R6" s="15" t="inlineStr">
        <is>
          <t>LƯU Ý THIẾT KẾ: nút Tham gia hoạt động dạng toggle (POST /api/courses/:id/enroll đảo trạng thái enrolled). Bấm lại vào nút "Đã tham gia" sẽ RỜI khóa học ngay lập tức, không có bước xác nhận. Test case gốc giả định bấm lại là no-op (idempotent join) — hành vi thực tế khác, cần chốt với BA/PO xem đây có phải trải nghiệm mong muốn không (dễ rời nhầm khóa học khi bấm nhầm 2 lần).</t>
        </is>
      </c>
    </row>
    <row r="7" ht="60" customHeight="1">
      <c r="A7" s="14" t="inlineStr">
        <is>
          <t>TC-COURSE-006</t>
        </is>
      </c>
      <c r="B7" s="15" t="inlineStr">
        <is>
          <t>Khóa học / Lớp học</t>
        </is>
      </c>
      <c r="C7" s="15" t="inlineStr">
        <is>
          <t>Soạn thảo khóa học</t>
        </is>
      </c>
      <c r="D7" s="15" t="inlineStr">
        <is>
          <t>Owner tạo Module mới trong khóa học</t>
        </is>
      </c>
      <c r="E7" s="15" t="inlineStr">
        <is>
          <t>Chức năng</t>
        </is>
      </c>
      <c r="F7" s="16" t="inlineStr">
        <is>
          <t>Cao</t>
        </is>
      </c>
      <c r="G7" s="17" t="inlineStr">
        <is>
          <t>Đã hoàn thiện</t>
        </is>
      </c>
      <c r="H7" s="17" t="inlineStr">
        <is>
          <t>Có</t>
        </is>
      </c>
      <c r="I7" s="15" t="inlineStr">
        <is>
          <t>Đăng nhập với vai trò Owner của cộng đồng</t>
        </is>
      </c>
      <c r="J7" s="15" t="inlineStr">
        <is>
          <t>1. Vào trang quản trị khóa học
2. Bấm 'Thêm Module'
3. Nhập tên module
4. Lưu</t>
        </is>
      </c>
      <c r="K7" s="15" t="inlineStr">
        <is>
          <t>-</t>
        </is>
      </c>
      <c r="L7" s="15" t="inlineStr">
        <is>
          <t>Module mới được tạo và hiển thị đúng thứ tự trong khóa học</t>
        </is>
      </c>
      <c r="M7" s="15" t="inlineStr"/>
      <c r="N7" s="18" t="inlineStr">
        <is>
          <t>Chưa test</t>
        </is>
      </c>
      <c r="O7" s="15" t="inlineStr"/>
      <c r="P7" s="15" t="inlineStr"/>
      <c r="Q7" s="18" t="inlineStr">
        <is>
          <t>Chưa test</t>
        </is>
      </c>
      <c r="R7" s="15" t="inlineStr"/>
    </row>
    <row r="8" ht="60" customHeight="1">
      <c r="A8" s="14" t="inlineStr">
        <is>
          <t>TC-COURSE-007</t>
        </is>
      </c>
      <c r="B8" s="15" t="inlineStr">
        <is>
          <t>Khóa học / Lớp học</t>
        </is>
      </c>
      <c r="C8" s="15" t="inlineStr">
        <is>
          <t>Soạn thảo khóa học</t>
        </is>
      </c>
      <c r="D8" s="15" t="inlineStr">
        <is>
          <t>Owner thêm bài học dạng video vào module</t>
        </is>
      </c>
      <c r="E8" s="15" t="inlineStr">
        <is>
          <t>Chức năng</t>
        </is>
      </c>
      <c r="F8" s="16" t="inlineStr">
        <is>
          <t>Cao</t>
        </is>
      </c>
      <c r="G8" s="17" t="inlineStr">
        <is>
          <t>Đã hoàn thiện</t>
        </is>
      </c>
      <c r="H8" s="17" t="inlineStr">
        <is>
          <t>Có</t>
        </is>
      </c>
      <c r="I8" s="15" t="inlineStr">
        <is>
          <t>Đã có ít nhất 1 module</t>
        </is>
      </c>
      <c r="J8" s="15" t="inlineStr">
        <is>
          <t>1. Vào module
2. Bấm 'Thêm bài học'
3. Chọn loại Video
4. Nhập link video và lưu</t>
        </is>
      </c>
      <c r="K8" s="15" t="inlineStr">
        <is>
          <t>-</t>
        </is>
      </c>
      <c r="L8" s="15" t="inlineStr">
        <is>
          <t>Bài học video được thêm, phát được nội dung khi vào học</t>
        </is>
      </c>
      <c r="M8" s="15" t="inlineStr"/>
      <c r="N8" s="18" t="inlineStr">
        <is>
          <t>Chưa test</t>
        </is>
      </c>
      <c r="O8" s="15" t="inlineStr"/>
      <c r="P8" s="15" t="inlineStr"/>
      <c r="Q8" s="18" t="inlineStr">
        <is>
          <t>Chưa test</t>
        </is>
      </c>
      <c r="R8" s="15" t="inlineStr"/>
    </row>
    <row r="9" ht="60" customHeight="1">
      <c r="A9" s="14" t="inlineStr">
        <is>
          <t>TC-COURSE-008</t>
        </is>
      </c>
      <c r="B9" s="15" t="inlineStr">
        <is>
          <t>Khóa học / Lớp học</t>
        </is>
      </c>
      <c r="C9" s="15" t="inlineStr">
        <is>
          <t>Soạn thảo khóa học</t>
        </is>
      </c>
      <c r="D9" s="15" t="inlineStr">
        <is>
          <t>Owner thêm bài học dạng văn bản/tệp đính kèm</t>
        </is>
      </c>
      <c r="E9" s="15" t="inlineStr">
        <is>
          <t>Chức năng</t>
        </is>
      </c>
      <c r="F9" s="20" t="inlineStr">
        <is>
          <t>Trung bình</t>
        </is>
      </c>
      <c r="G9" s="17" t="inlineStr">
        <is>
          <t>Đã hoàn thiện</t>
        </is>
      </c>
      <c r="H9" s="17" t="inlineStr">
        <is>
          <t>Có</t>
        </is>
      </c>
      <c r="I9" s="15" t="inlineStr">
        <is>
          <t>Đã có ít nhất 1 module</t>
        </is>
      </c>
      <c r="J9" s="15" t="inlineStr">
        <is>
          <t>1. Vào module
2. Bấm 'Thêm bài học'
3. Chọn loại Văn bản, nhập nội dung hoặc đính kèm tệp
4. Lưu</t>
        </is>
      </c>
      <c r="K9" s="15" t="inlineStr">
        <is>
          <t>-</t>
        </is>
      </c>
      <c r="L9" s="15" t="inlineStr">
        <is>
          <t>Bài học được thêm, hiển thị đúng nội dung/tệp khi học viên mở</t>
        </is>
      </c>
      <c r="M9" s="15" t="inlineStr"/>
      <c r="N9" s="18" t="inlineStr">
        <is>
          <t>Chưa test</t>
        </is>
      </c>
      <c r="O9" s="15" t="inlineStr"/>
      <c r="P9" s="15" t="inlineStr"/>
      <c r="Q9" s="18" t="inlineStr">
        <is>
          <t>Chưa test</t>
        </is>
      </c>
      <c r="R9" s="15" t="inlineStr"/>
    </row>
    <row r="10" ht="45" customHeight="1">
      <c r="A10" s="14" t="inlineStr">
        <is>
          <t>TC-COURSE-009</t>
        </is>
      </c>
      <c r="B10" s="15" t="inlineStr">
        <is>
          <t>Khóa học / Lớp học</t>
        </is>
      </c>
      <c r="C10" s="15" t="inlineStr">
        <is>
          <t>Soạn thảo khóa học</t>
        </is>
      </c>
      <c r="D10" s="15" t="inlineStr">
        <is>
          <t>Sắp xếp lại thứ tự module/bài học</t>
        </is>
      </c>
      <c r="E10" s="15" t="inlineStr">
        <is>
          <t>Chức năng</t>
        </is>
      </c>
      <c r="F10" s="20" t="inlineStr">
        <is>
          <t>Trung bình</t>
        </is>
      </c>
      <c r="G10" s="17" t="inlineStr">
        <is>
          <t>Đã hoàn thiện</t>
        </is>
      </c>
      <c r="H10" s="17" t="inlineStr">
        <is>
          <t>Có</t>
        </is>
      </c>
      <c r="I10" s="15" t="inlineStr">
        <is>
          <t>Khóa học có từ 2 module/bài học trở lên</t>
        </is>
      </c>
      <c r="J10" s="15" t="inlineStr">
        <is>
          <t>1. Vào trang quản trị khóa học
2. Kéo-thả đổi thứ tự module hoặc bài học
3. Lưu</t>
        </is>
      </c>
      <c r="K10" s="15" t="inlineStr">
        <is>
          <t>-</t>
        </is>
      </c>
      <c r="L10" s="15" t="inlineStr">
        <is>
          <t>Thứ tự hiển thị cho học viên thay đổi đúng theo thứ tự mới đã sắp xếp</t>
        </is>
      </c>
      <c r="M10" s="15" t="inlineStr"/>
      <c r="N10" s="18" t="inlineStr">
        <is>
          <t>Chưa test</t>
        </is>
      </c>
      <c r="O10" s="15" t="inlineStr"/>
      <c r="P10" s="15" t="inlineStr"/>
      <c r="Q10" s="18" t="inlineStr">
        <is>
          <t>Chưa test</t>
        </is>
      </c>
      <c r="R10" s="15" t="inlineStr"/>
    </row>
    <row r="11" ht="45" customHeight="1">
      <c r="A11" s="14" t="inlineStr">
        <is>
          <t>TC-COURSE-010</t>
        </is>
      </c>
      <c r="B11" s="15" t="inlineStr">
        <is>
          <t>Khóa học / Lớp học</t>
        </is>
      </c>
      <c r="C11" s="15" t="inlineStr">
        <is>
          <t>Học &amp; tiến độ</t>
        </is>
      </c>
      <c r="D11" s="15" t="inlineStr">
        <is>
          <t>Đánh dấu hoàn thành một bài học</t>
        </is>
      </c>
      <c r="E11" s="15" t="inlineStr">
        <is>
          <t>Chức năng</t>
        </is>
      </c>
      <c r="F11" s="16" t="inlineStr">
        <is>
          <t>Cao</t>
        </is>
      </c>
      <c r="G11" s="17" t="inlineStr">
        <is>
          <t>Đã hoàn thiện</t>
        </is>
      </c>
      <c r="H11" s="17" t="inlineStr">
        <is>
          <t>Có</t>
        </is>
      </c>
      <c r="I11" s="15" t="inlineStr">
        <is>
          <t>Đã tham gia khóa học, đang xem 1 bài học</t>
        </is>
      </c>
      <c r="J11" s="15" t="inlineStr">
        <is>
          <t>1. Vào trang học
2. Xem hết bài học
3. Bấm 'Đánh dấu hoàn thành'</t>
        </is>
      </c>
      <c r="K11" s="15" t="inlineStr">
        <is>
          <t>-</t>
        </is>
      </c>
      <c r="L11" s="15" t="inlineStr">
        <is>
          <t>Bài học chuyển trạng thái Hoàn thành, % tiến độ tổng của khóa học được cập nhật</t>
        </is>
      </c>
      <c r="M11" s="15" t="inlineStr"/>
      <c r="N11" s="18" t="inlineStr">
        <is>
          <t>Chưa test</t>
        </is>
      </c>
      <c r="O11" s="15" t="inlineStr"/>
      <c r="P11" s="15" t="inlineStr"/>
      <c r="Q11" s="18" t="inlineStr">
        <is>
          <t>Chưa test</t>
        </is>
      </c>
      <c r="R11" s="15" t="inlineStr"/>
    </row>
    <row r="12" ht="30" customHeight="1">
      <c r="A12" s="14" t="inlineStr">
        <is>
          <t>TC-COURSE-011</t>
        </is>
      </c>
      <c r="B12" s="15" t="inlineStr">
        <is>
          <t>Khóa học / Lớp học</t>
        </is>
      </c>
      <c r="C12" s="15" t="inlineStr">
        <is>
          <t>Học &amp; tiến độ</t>
        </is>
      </c>
      <c r="D12" s="15" t="inlineStr">
        <is>
          <t>Hiển thị đúng % tiến độ tổng khóa học</t>
        </is>
      </c>
      <c r="E12" s="15" t="inlineStr">
        <is>
          <t>Chức năng</t>
        </is>
      </c>
      <c r="F12" s="20" t="inlineStr">
        <is>
          <t>Trung bình</t>
        </is>
      </c>
      <c r="G12" s="17" t="inlineStr">
        <is>
          <t>Đã hoàn thiện</t>
        </is>
      </c>
      <c r="H12" s="17" t="inlineStr">
        <is>
          <t>Có</t>
        </is>
      </c>
      <c r="I12" s="15" t="inlineStr">
        <is>
          <t>Đã hoàn thành một số bài học trong khóa học</t>
        </is>
      </c>
      <c r="J12" s="15" t="inlineStr">
        <is>
          <t>1. Hoàn thành N/tổng số M bài học
2. Kiểm tra thanh tiến độ hiển thị</t>
        </is>
      </c>
      <c r="K12" s="15" t="inlineStr">
        <is>
          <t>N=3, M=10</t>
        </is>
      </c>
      <c r="L12" s="15" t="inlineStr">
        <is>
          <t>% tiến độ hiển thị = (N/M)*100%, chính xác theo số liệu thực tế</t>
        </is>
      </c>
      <c r="M12" s="15" t="inlineStr"/>
      <c r="N12" s="18" t="inlineStr">
        <is>
          <t>Chưa test</t>
        </is>
      </c>
      <c r="O12" s="15" t="inlineStr"/>
      <c r="P12" s="15" t="inlineStr"/>
      <c r="Q12" s="18" t="inlineStr">
        <is>
          <t>Chưa test</t>
        </is>
      </c>
      <c r="R12" s="15" t="inlineStr"/>
    </row>
    <row r="13" ht="45" customHeight="1">
      <c r="A13" s="14" t="inlineStr">
        <is>
          <t>TC-COURSE-012</t>
        </is>
      </c>
      <c r="B13" s="15" t="inlineStr">
        <is>
          <t>Khóa học / Lớp học</t>
        </is>
      </c>
      <c r="C13" s="15" t="inlineStr">
        <is>
          <t>Khóa bài học theo gói</t>
        </is>
      </c>
      <c r="D13" s="15" t="inlineStr">
        <is>
          <t>Người chưa trả phí không xem được nội dung bài học đã khóa</t>
        </is>
      </c>
      <c r="E13" s="15" t="inlineStr">
        <is>
          <t>Bảo mật</t>
        </is>
      </c>
      <c r="F13" s="16" t="inlineStr">
        <is>
          <t>Cao</t>
        </is>
      </c>
      <c r="G13" s="17" t="inlineStr">
        <is>
          <t>Đã hoàn thiện</t>
        </is>
      </c>
      <c r="H13" s="17" t="inlineStr">
        <is>
          <t>Có</t>
        </is>
      </c>
      <c r="I13" s="15" t="inlineStr">
        <is>
          <t>Khóa học có phần nội dung khóa cho người trả phí, tài khoản test chưa trả phí</t>
        </is>
      </c>
      <c r="J13" s="15" t="inlineStr">
        <is>
          <t>1. Đăng nhập tài khoản chưa trả phí
2. Vào khóa học có phần nội dung khóa
3. Cố mở bài học đã khóa</t>
        </is>
      </c>
      <c r="K13" s="15" t="inlineStr">
        <is>
          <t>-</t>
        </is>
      </c>
      <c r="L13" s="15" t="inlineStr">
        <is>
          <t>Không truy cập được nội dung, hiển thị thông báo cần nâng cấp/trả phí</t>
        </is>
      </c>
      <c r="M13" s="15" t="inlineStr"/>
      <c r="N13" s="18" t="inlineStr">
        <is>
          <t>Chưa test</t>
        </is>
      </c>
      <c r="O13" s="15" t="inlineStr"/>
      <c r="P13" s="15" t="inlineStr"/>
      <c r="Q13" s="18" t="inlineStr">
        <is>
          <t>Chưa test</t>
        </is>
      </c>
      <c r="R13" s="15" t="inlineStr"/>
    </row>
    <row r="14" ht="30" customHeight="1">
      <c r="A14" s="14" t="inlineStr">
        <is>
          <t>TC-COURSE-013</t>
        </is>
      </c>
      <c r="B14" s="15" t="inlineStr">
        <is>
          <t>Khóa học / Lớp học</t>
        </is>
      </c>
      <c r="C14" s="15" t="inlineStr">
        <is>
          <t>Khóa bài học theo gói</t>
        </is>
      </c>
      <c r="D14" s="15" t="inlineStr">
        <is>
          <t>Quyền truy cập nội dung được xác thực ở server (không chỉ chặn ở giao diện)</t>
        </is>
      </c>
      <c r="E14" s="15" t="inlineStr">
        <is>
          <t>Bảo mật</t>
        </is>
      </c>
      <c r="F14" s="16" t="inlineStr">
        <is>
          <t>Cao</t>
        </is>
      </c>
      <c r="G14" s="17" t="inlineStr">
        <is>
          <t>Đã hoàn thiện</t>
        </is>
      </c>
      <c r="H14" s="17" t="inlineStr">
        <is>
          <t>Có</t>
        </is>
      </c>
      <c r="I14" s="15" t="inlineStr">
        <is>
          <t>Tài khoản chưa trả phí, biết được endpoint API lấy nội dung bài học</t>
        </is>
      </c>
      <c r="J14" s="15" t="inlineStr">
        <is>
          <t>1. Đăng nhập tài khoản chưa trả phí
2. Gọi trực tiếp API lấy nội dung bài học đã khóa (qua Postman/DevTools), bỏ qua giao diện</t>
        </is>
      </c>
      <c r="K14" s="15" t="inlineStr">
        <is>
          <t>-</t>
        </is>
      </c>
      <c r="L14" s="15" t="inlineStr">
        <is>
          <t>API trả về lỗi từ chối truy cập (401/403), không trả về nội dung dù bypass giao diện</t>
        </is>
      </c>
      <c r="M14" s="15" t="inlineStr"/>
      <c r="N14" s="18" t="inlineStr">
        <is>
          <t>Chưa test</t>
        </is>
      </c>
      <c r="O14" s="15" t="inlineStr"/>
      <c r="P14" s="15" t="inlineStr"/>
      <c r="Q14" s="18" t="inlineStr">
        <is>
          <t>Chưa test</t>
        </is>
      </c>
      <c r="R14" s="15" t="inlineStr"/>
    </row>
    <row r="15" ht="30" customHeight="1">
      <c r="A15" s="14" t="inlineStr">
        <is>
          <t>TC-COURSE-014</t>
        </is>
      </c>
      <c r="B15" s="15" t="inlineStr">
        <is>
          <t>Khóa học / Lớp học</t>
        </is>
      </c>
      <c r="C15" s="15" t="inlineStr">
        <is>
          <t>Nhúng video bài giảng</t>
        </is>
      </c>
      <c r="D15" s="15" t="inlineStr">
        <is>
          <t>Nhúng và phát video từ YouTube</t>
        </is>
      </c>
      <c r="E15" s="15" t="inlineStr">
        <is>
          <t>Tích hợp</t>
        </is>
      </c>
      <c r="F15" s="20" t="inlineStr">
        <is>
          <t>Trung bình</t>
        </is>
      </c>
      <c r="G15" s="17" t="inlineStr">
        <is>
          <t>Đã hoàn thiện</t>
        </is>
      </c>
      <c r="H15" s="20" t="inlineStr">
        <is>
          <t>Một phần</t>
        </is>
      </c>
      <c r="I15" s="15" t="inlineStr">
        <is>
          <t>Bài học có link YouTube hợp lệ</t>
        </is>
      </c>
      <c r="J15" s="15" t="inlineStr">
        <is>
          <t>1. Vào bài học có video YouTube
2. Bấm play</t>
        </is>
      </c>
      <c r="K15" s="15" t="inlineStr">
        <is>
          <t>Link YouTube hợp lệ</t>
        </is>
      </c>
      <c r="L15" s="15" t="inlineStr">
        <is>
          <t>Video load và phát được ngay trong trang, không lỗi embed</t>
        </is>
      </c>
      <c r="M15" s="15" t="inlineStr"/>
      <c r="N15" s="18" t="inlineStr">
        <is>
          <t>Chưa test</t>
        </is>
      </c>
      <c r="O15" s="15" t="inlineStr"/>
      <c r="P15" s="15" t="inlineStr"/>
      <c r="Q15" s="18" t="inlineStr">
        <is>
          <t>Chưa test</t>
        </is>
      </c>
      <c r="R15" s="15" t="inlineStr"/>
    </row>
    <row r="16" ht="30" customHeight="1">
      <c r="A16" s="14" t="inlineStr">
        <is>
          <t>TC-COURSE-015</t>
        </is>
      </c>
      <c r="B16" s="15" t="inlineStr">
        <is>
          <t>Khóa học / Lớp học</t>
        </is>
      </c>
      <c r="C16" s="15" t="inlineStr">
        <is>
          <t>Nhúng video bài giảng</t>
        </is>
      </c>
      <c r="D16" s="15" t="inlineStr">
        <is>
          <t>Nhúng và phát video từ Vimeo</t>
        </is>
      </c>
      <c r="E16" s="15" t="inlineStr">
        <is>
          <t>Tích hợp</t>
        </is>
      </c>
      <c r="F16" s="20" t="inlineStr">
        <is>
          <t>Trung bình</t>
        </is>
      </c>
      <c r="G16" s="17" t="inlineStr">
        <is>
          <t>Đã hoàn thiện</t>
        </is>
      </c>
      <c r="H16" s="20" t="inlineStr">
        <is>
          <t>Một phần</t>
        </is>
      </c>
      <c r="I16" s="15" t="inlineStr">
        <is>
          <t>Bài học có link Vimeo hợp lệ</t>
        </is>
      </c>
      <c r="J16" s="15" t="inlineStr">
        <is>
          <t>1. Vào bài học có video Vimeo
2. Bấm play</t>
        </is>
      </c>
      <c r="K16" s="15" t="inlineStr">
        <is>
          <t>Link Vimeo hợp lệ</t>
        </is>
      </c>
      <c r="L16" s="15" t="inlineStr">
        <is>
          <t>Video load và phát được ngay trong trang, không lỗi embed</t>
        </is>
      </c>
      <c r="M16" s="15" t="inlineStr"/>
      <c r="N16" s="18" t="inlineStr">
        <is>
          <t>Chưa test</t>
        </is>
      </c>
      <c r="O16" s="15" t="inlineStr"/>
      <c r="P16" s="15" t="inlineStr"/>
      <c r="Q16" s="18" t="inlineStr">
        <is>
          <t>Chưa test</t>
        </is>
      </c>
      <c r="R16" s="15" t="inlineStr"/>
    </row>
    <row r="17" ht="30" customHeight="1">
      <c r="A17" s="14" t="inlineStr">
        <is>
          <t>TC-COURSE-016</t>
        </is>
      </c>
      <c r="B17" s="15" t="inlineStr">
        <is>
          <t>Khóa học / Lớp học</t>
        </is>
      </c>
      <c r="C17" s="15" t="inlineStr">
        <is>
          <t>Trang chi tiết khóa học</t>
        </is>
      </c>
      <c r="D17" s="15" t="inlineStr">
        <is>
          <t>Giao diện khác nhau giữa người đã tham gia và chưa tham gia khóa học</t>
        </is>
      </c>
      <c r="E17" s="15" t="inlineStr">
        <is>
          <t>Giao diện</t>
        </is>
      </c>
      <c r="F17" s="20" t="inlineStr">
        <is>
          <t>Trung bình</t>
        </is>
      </c>
      <c r="G17" s="17" t="inlineStr">
        <is>
          <t>Đã hoàn thiện</t>
        </is>
      </c>
      <c r="H17" s="17" t="inlineStr">
        <is>
          <t>Có</t>
        </is>
      </c>
      <c r="I17" s="15" t="inlineStr">
        <is>
          <t>Có 2 tài khoản: 1 đã tham gia, 1 chưa tham gia</t>
        </is>
      </c>
      <c r="J17" s="15" t="inlineStr">
        <is>
          <t>1. Đăng nhập tài khoản đã tham gia, xem trang chi tiết khóa học
2. Đăng nhập tài khoản chưa tham gia, xem cùng khóa học</t>
        </is>
      </c>
      <c r="K17" s="15" t="inlineStr">
        <is>
          <t>-</t>
        </is>
      </c>
      <c r="L17" s="15" t="inlineStr">
        <is>
          <t>Tài khoản đã tham gia thấy nút/khu vực 'Vào học'; tài khoản chưa tham gia thấy nút 'Tham gia ngay', không lẫn lộn</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c r="Q17" s="18" t="inlineStr">
        <is>
          <t>Chưa test</t>
        </is>
      </c>
      <c r="R17" s="15" t="inlineStr"/>
    </row>
    <row r="18" ht="30" customHeight="1">
      <c r="A18" s="14" t="inlineStr">
        <is>
          <t>TC-COURSE-017</t>
        </is>
      </c>
      <c r="B18" s="15" t="inlineStr">
        <is>
          <t>Khóa học / Lớp học</t>
        </is>
      </c>
      <c r="C18" s="15" t="inlineStr">
        <is>
          <t>Trang chi tiết khóa học</t>
        </is>
      </c>
      <c r="D18" s="15" t="inlineStr">
        <is>
          <t>Khóa học chưa có đánh giá nào vẫn hiển thị đúng, không lỗi</t>
        </is>
      </c>
      <c r="E18" s="15" t="inlineStr">
        <is>
          <t>Chức năng</t>
        </is>
      </c>
      <c r="F18" s="17" t="inlineStr">
        <is>
          <t>Thấp</t>
        </is>
      </c>
      <c r="G18" s="17" t="inlineStr">
        <is>
          <t>Đã hoàn thiện</t>
        </is>
      </c>
      <c r="H18" s="17" t="inlineStr">
        <is>
          <t>Có</t>
        </is>
      </c>
      <c r="I18" s="15" t="inlineStr">
        <is>
          <t>Có khóa học mới chưa có review/rating</t>
        </is>
      </c>
      <c r="J18" s="15" t="inlineStr">
        <is>
          <t>1. Mở trang chi tiết 1 khóa học chưa có đánh giá</t>
        </is>
      </c>
      <c r="K18" s="15" t="inlineStr">
        <is>
          <t>-</t>
        </is>
      </c>
      <c r="L18" s="15" t="inlineStr">
        <is>
          <t>Khu vực đánh giá hiển thị trạng thái rỗng hợp lý, không lỗi giao diện/số liệu NaN</t>
        </is>
      </c>
      <c r="M18" s="15" t="inlineStr">
        <is>
          <t>Claude (Playwright automation)</t>
        </is>
      </c>
      <c r="N18" s="18" t="inlineStr">
        <is>
          <t>N/A</t>
        </is>
      </c>
      <c r="O18" s="19" t="inlineStr">
        <is>
          <t>Không có ảnh riêng (test bị bỏ qua) — trace đầy đủ: e2e/report/index.html (chỉ mở được khi tải file .xlsx và mở Excel local)</t>
        </is>
      </c>
      <c r="P18" s="15" t="inlineStr"/>
      <c r="Q18" s="18" t="inlineStr">
        <is>
          <t>Chưa test</t>
        </is>
      </c>
      <c r="R18" s="15" t="inlineStr">
        <is>
          <t>Không có khóa học nào với ratingCount = 0 trong dữ liệu mẫu hiện tại để test case này</t>
        </is>
      </c>
    </row>
    <row r="19" ht="30" customHeight="1">
      <c r="A19" s="14" t="inlineStr">
        <is>
          <t>TC-COURSE-018</t>
        </is>
      </c>
      <c r="B19" s="15" t="inlineStr">
        <is>
          <t>Khóa học / Lớp học</t>
        </is>
      </c>
      <c r="C19" s="15" t="inlineStr">
        <is>
          <t>Tham gia khóa học</t>
        </is>
      </c>
      <c r="D19" s="15" t="inlineStr">
        <is>
          <t>Bấm 'Tham gia ngay' nhiều lần liên tiếp (double click) không tạo bản ghi trùng</t>
        </is>
      </c>
      <c r="E19" s="15" t="inlineStr">
        <is>
          <t>Chức năng</t>
        </is>
      </c>
      <c r="F19" s="16" t="inlineStr">
        <is>
          <t>Cao</t>
        </is>
      </c>
      <c r="G19" s="17" t="inlineStr">
        <is>
          <t>Đã hoàn thiện</t>
        </is>
      </c>
      <c r="H19" s="17" t="inlineStr">
        <is>
          <t>Có</t>
        </is>
      </c>
      <c r="I19" s="15" t="inlineStr">
        <is>
          <t>Đã đăng nhập, khóa học chưa tham gia</t>
        </is>
      </c>
      <c r="J19" s="15" t="inlineStr">
        <is>
          <t>1. Vào trang chi tiết khóa học
2. Bấm rất nhanh 2-3 lần liên tiếp vào nút 'Tham gia ngay'</t>
        </is>
      </c>
      <c r="K19" s="15" t="inlineStr">
        <is>
          <t>-</t>
        </is>
      </c>
      <c r="L19" s="15" t="inlineStr">
        <is>
          <t>Chỉ tạo đúng 1 bản ghi tham gia, không lỗi trùng lặp hoặc lỗi 500</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c r="Q19" s="18" t="inlineStr">
        <is>
          <t>Chưa test</t>
        </is>
      </c>
      <c r="R19" s="15" t="inlineStr"/>
    </row>
    <row r="20" ht="30" customHeight="1">
      <c r="A20" s="14" t="inlineStr">
        <is>
          <t>TC-COURSE-019</t>
        </is>
      </c>
      <c r="B20" s="15" t="inlineStr">
        <is>
          <t>Khóa học / Lớp học</t>
        </is>
      </c>
      <c r="C20" s="15" t="inlineStr">
        <is>
          <t>Khóa bài học theo gói</t>
        </is>
      </c>
      <c r="D20" s="15" t="inlineStr">
        <is>
          <t>Owner xem trước được toàn bộ nội dung khóa học của chính mình dù chưa trả phí</t>
        </is>
      </c>
      <c r="E20" s="15" t="inlineStr">
        <is>
          <t>Chức năng</t>
        </is>
      </c>
      <c r="F20" s="20" t="inlineStr">
        <is>
          <t>Trung bình</t>
        </is>
      </c>
      <c r="G20" s="17" t="inlineStr">
        <is>
          <t>Đã hoàn thiện</t>
        </is>
      </c>
      <c r="H20" s="20" t="inlineStr">
        <is>
          <t>Một phần</t>
        </is>
      </c>
      <c r="I20" s="15" t="inlineStr">
        <is>
          <t>Đăng nhập với vai trò Owner của cộng đồng chứa khóa học có phí</t>
        </is>
      </c>
      <c r="J20" s="15" t="inlineStr">
        <is>
          <t>1. Owner vào khóa học có phí do chính mình tạo
2. Mở các bài học đã khóa cho người trả phí</t>
        </is>
      </c>
      <c r="K20" s="15" t="inlineStr">
        <is>
          <t>-</t>
        </is>
      </c>
      <c r="L20" s="15" t="inlineStr">
        <is>
          <t>Owner xem được toàn bộ nội dung không cần thanh toán (quyền sở hữu nội dung)</t>
        </is>
      </c>
      <c r="M20" s="15" t="inlineStr"/>
      <c r="N20" s="18" t="inlineStr">
        <is>
          <t>Chưa test</t>
        </is>
      </c>
      <c r="O20" s="15" t="inlineStr"/>
      <c r="P20" s="15" t="inlineStr"/>
      <c r="Q20" s="18" t="inlineStr">
        <is>
          <t>Chưa test</t>
        </is>
      </c>
      <c r="R20" s="15" t="inlineStr"/>
    </row>
    <row r="21" ht="30" customHeight="1">
      <c r="A21" s="14" t="inlineStr">
        <is>
          <t>TC-COURSE-020</t>
        </is>
      </c>
      <c r="B21" s="15" t="inlineStr">
        <is>
          <t>Khóa học / Lớp học</t>
        </is>
      </c>
      <c r="C21" s="15" t="inlineStr">
        <is>
          <t>Soạn thảo khóa học</t>
        </is>
      </c>
      <c r="D21" s="15" t="inlineStr">
        <is>
          <t>Không cho phép Member thường truy cập trang soạn thảo khóa học</t>
        </is>
      </c>
      <c r="E21" s="15" t="inlineStr">
        <is>
          <t>Bảo mật</t>
        </is>
      </c>
      <c r="F21" s="16" t="inlineStr">
        <is>
          <t>Cao</t>
        </is>
      </c>
      <c r="G21" s="17" t="inlineStr">
        <is>
          <t>Đã hoàn thiện</t>
        </is>
      </c>
      <c r="H21" s="17" t="inlineStr">
        <is>
          <t>Có</t>
        </is>
      </c>
      <c r="I21" s="15" t="inlineStr">
        <is>
          <t>Tài khoản chỉ là Member thường trong cộng đồng</t>
        </is>
      </c>
      <c r="J21" s="15" t="inlineStr">
        <is>
          <t>1. Đăng nhập tài khoản Member thường
2. Cố truy cập URL trang soạn thảo khóa học của cộng đồng đó</t>
        </is>
      </c>
      <c r="K21" s="15" t="inlineStr">
        <is>
          <t>-</t>
        </is>
      </c>
      <c r="L21" s="15" t="inlineStr">
        <is>
          <t>Bị từ chối truy cập/chuyển hướng, không vào được trang quản trị nội dung</t>
        </is>
      </c>
      <c r="M21" s="15" t="inlineStr"/>
      <c r="N21" s="18" t="inlineStr">
        <is>
          <t>Chưa test</t>
        </is>
      </c>
      <c r="O21" s="15" t="inlineStr"/>
      <c r="P21" s="15" t="inlineStr"/>
      <c r="Q21" s="18" t="inlineStr">
        <is>
          <t>Chưa test</t>
        </is>
      </c>
      <c r="R21" s="15" t="inlineStr"/>
    </row>
    <row r="22" ht="45" customHeight="1">
      <c r="A22" s="14" t="inlineStr">
        <is>
          <t>TC-COURSE-021</t>
        </is>
      </c>
      <c r="B22" s="15" t="inlineStr">
        <is>
          <t>Khóa học / Lớp học</t>
        </is>
      </c>
      <c r="C22" s="15" t="inlineStr">
        <is>
          <t>Lớp học - Danh sách module &amp; tiến độ</t>
        </is>
      </c>
      <c r="D22" s="15" t="inlineStr">
        <is>
          <t>member1 xem module photo: module 1 xong 100%, module 2 đã mở khóa</t>
        </is>
      </c>
      <c r="E22" s="15" t="inlineStr">
        <is>
          <t>Chức năng</t>
        </is>
      </c>
      <c r="F22" s="16" t="inlineStr">
        <is>
          <t>Cao</t>
        </is>
      </c>
      <c r="G22" s="17" t="inlineStr">
        <is>
          <t>Đã hoàn thiện</t>
        </is>
      </c>
      <c r="H22" s="17" t="inlineStr">
        <is>
          <t>Có</t>
        </is>
      </c>
      <c r="I22" s="15" t="inlineStr">
        <is>
          <t>Tiền điều kiện chung: đã `db:seed`, BE :4000, FE :5173; mật khẩu mọi tài khoản seed = Passw0rd!x. Đăng nhập member1@sofinhub.test; cộng đồng photo có 2 module x 6 bài (seed): member1 đã xong toàn bộ module 1.</t>
        </is>
      </c>
      <c r="J22" s="15" t="inlineStr">
        <is>
          <t>1. Đăng nhập member1, lấy token
2. GET /api/courses/photo/modules
3. Mở UI /courses/photo/community/lop-hoc và quan sát 2 thẻ module</t>
        </is>
      </c>
      <c r="K22" s="15" t="inlineStr">
        <is>
          <t>courseId=photo; module id mod-photo-1, mod-photo-2</t>
        </is>
      </c>
      <c r="L22"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t>
        </is>
      </c>
      <c r="M22" s="15" t="inlineStr"/>
      <c r="N22" s="18" t="inlineStr">
        <is>
          <t>Chưa test</t>
        </is>
      </c>
      <c r="O22" s="15" t="inlineStr"/>
      <c r="P22" s="15" t="inlineStr"/>
      <c r="Q22" s="18" t="inlineStr">
        <is>
          <t>Chưa test</t>
        </is>
      </c>
      <c r="R22" s="15" t="inlineStr"/>
    </row>
    <row r="23" ht="45" customHeight="1">
      <c r="A23" s="14" t="inlineStr">
        <is>
          <t>TC-COURSE-022</t>
        </is>
      </c>
      <c r="B23" s="15" t="inlineStr">
        <is>
          <t>Khóa học / Lớp học</t>
        </is>
      </c>
      <c r="C23" s="15" t="inlineStr">
        <is>
          <t>Lớp học - Danh sách module &amp; tiến độ</t>
        </is>
      </c>
      <c r="D23" s="15" t="inlineStr">
        <is>
          <t>member2 xem module photo: module 1 xong 33% (2/6), module 2 bị khóa 'previous_module'</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Đăng nhập member2@sofinhub.test; seed: member2 xong 2 bài đầu module 1 photo (les-photo-1-1, les-photo-1-2).</t>
        </is>
      </c>
      <c r="J23" s="15" t="inlineStr">
        <is>
          <t>1. Đăng nhập member2
2. GET /api/courses/photo/modules
3. Mở UI /courses/photo/community/lop-hoc</t>
        </is>
      </c>
      <c r="K23" s="15" t="inlineStr">
        <is>
          <t>courseId=photo</t>
        </is>
      </c>
      <c r="L23" s="15" t="inlineStr">
        <is>
          <t>200. m1: completedCount 2, lessonsCount 6, pct 33 (làm tròn 2/6), locked false. m2: pct 0, locked true, lockReason 'previous_module'. UI: thẻ module 2 có lớp phủ 'Hoàn thành module trước', nút mở bị vô hiệu.</t>
        </is>
      </c>
      <c r="M23" s="15" t="inlineStr"/>
      <c r="N23" s="18" t="inlineStr">
        <is>
          <t>Chưa test</t>
        </is>
      </c>
      <c r="O23" s="15" t="inlineStr"/>
      <c r="P23" s="15" t="inlineStr"/>
      <c r="Q23" s="18" t="inlineStr">
        <is>
          <t>Chưa test</t>
        </is>
      </c>
      <c r="R23" s="15" t="inlineStr"/>
    </row>
    <row r="24" ht="30" customHeight="1">
      <c r="A24" s="14" t="inlineStr">
        <is>
          <t>TC-COURSE-023</t>
        </is>
      </c>
      <c r="B24" s="15" t="inlineStr">
        <is>
          <t>Khóa học / Lớp học</t>
        </is>
      </c>
      <c r="C24" s="15" t="inlineStr">
        <is>
          <t>Lớp học - Danh sách module &amp; tiến độ</t>
        </is>
      </c>
      <c r="D24" s="15" t="inlineStr">
        <is>
          <t>member3 chưa học gì: 0% mọi module, module 2 khóa</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member3@sofinhub.test (photo, không có tiến độ seed).</t>
        </is>
      </c>
      <c r="J24" s="15" t="inlineStr">
        <is>
          <t>1. Đăng nhập member3
2. GET /api/courses/photo/modules</t>
        </is>
      </c>
      <c r="K24" s="15" t="inlineStr">
        <is>
          <t>courseId=photo</t>
        </is>
      </c>
      <c r="L24" s="15" t="inlineStr">
        <is>
          <t>200. m1: completedCount 0, pct 0, locked false. m2: pct 0, locked true, lockReason 'previous_module'.</t>
        </is>
      </c>
      <c r="M24" s="15" t="inlineStr"/>
      <c r="N24" s="18" t="inlineStr">
        <is>
          <t>Chưa test</t>
        </is>
      </c>
      <c r="O24" s="15" t="inlineStr"/>
      <c r="P24" s="15" t="inlineStr"/>
      <c r="Q24" s="18" t="inlineStr">
        <is>
          <t>Chưa test</t>
        </is>
      </c>
      <c r="R24" s="15" t="inlineStr"/>
    </row>
    <row r="25" ht="30" customHeight="1">
      <c r="A25" s="14" t="inlineStr">
        <is>
          <t>TC-COURSE-024</t>
        </is>
      </c>
      <c r="B25" s="15" t="inlineStr">
        <is>
          <t>Khóa học / Lớp học</t>
        </is>
      </c>
      <c r="C25" s="15" t="inlineStr">
        <is>
          <t>Lớp học - Danh sách module &amp; tiến độ</t>
        </is>
      </c>
      <c r="D25" s="15" t="inlineStr">
        <is>
          <t>Tiến độ tổng của member1 ở photo: 50%, 6/12 bài, 1 module, nextLesson sang module 2</t>
        </is>
      </c>
      <c r="E25" s="15" t="inlineStr">
        <is>
          <t>Chức năng</t>
        </is>
      </c>
      <c r="F25" s="16" t="inlineStr">
        <is>
          <t>Cao</t>
        </is>
      </c>
      <c r="G25" s="17" t="inlineStr">
        <is>
          <t>Đã hoàn thiện</t>
        </is>
      </c>
      <c r="H25" s="17" t="inlineStr">
        <is>
          <t>Có</t>
        </is>
      </c>
      <c r="I25" s="15" t="inlineStr">
        <is>
          <t>Tiền điều kiện chung: đã `db:seed`, BE :4000, FE :5173; mật khẩu mọi tài khoản seed = Passw0rd!x. Đăng nhập member1.</t>
        </is>
      </c>
      <c r="J25" s="15" t="inlineStr">
        <is>
          <t>1. GET /api/courses/photo/progress
2. Đối chiếu thanh 'Tiến độ khóa học' trên /courses/photo/community/lop-hoc</t>
        </is>
      </c>
      <c r="K25" s="15" t="inlineStr">
        <is>
          <t>courseId=photo</t>
        </is>
      </c>
      <c r="L25"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25" s="15" t="inlineStr"/>
      <c r="N25" s="18" t="inlineStr">
        <is>
          <t>Chưa test</t>
        </is>
      </c>
      <c r="O25" s="15" t="inlineStr"/>
      <c r="P25" s="15" t="inlineStr"/>
      <c r="Q25" s="18" t="inlineStr">
        <is>
          <t>Chưa test</t>
        </is>
      </c>
      <c r="R25" s="15" t="inlineStr"/>
    </row>
    <row r="26" ht="30" customHeight="1">
      <c r="A26" s="14" t="inlineStr">
        <is>
          <t>TC-COURSE-025</t>
        </is>
      </c>
      <c r="B26" s="15" t="inlineStr">
        <is>
          <t>Khóa học / Lớp học</t>
        </is>
      </c>
      <c r="C26" s="15" t="inlineStr">
        <is>
          <t>Lớp học - Danh sách module &amp; tiến độ</t>
        </is>
      </c>
      <c r="D26" s="15" t="inlineStr">
        <is>
          <t>Tiến độ tổng của member2: 17% (2/12), nextLesson là bài 3 module 1</t>
        </is>
      </c>
      <c r="E26" s="15" t="inlineStr">
        <is>
          <t>Chức năng</t>
        </is>
      </c>
      <c r="F26" s="16" t="inlineStr">
        <is>
          <t>Cao</t>
        </is>
      </c>
      <c r="G26" s="17" t="inlineStr">
        <is>
          <t>Đã hoàn thiện</t>
        </is>
      </c>
      <c r="H26" s="17" t="inlineStr">
        <is>
          <t>Có</t>
        </is>
      </c>
      <c r="I26" s="15" t="inlineStr">
        <is>
          <t>Tiền điều kiện chung: đã `db:seed`, BE :4000, FE :5173; mật khẩu mọi tài khoản seed = Passw0rd!x. Đăng nhập member2.</t>
        </is>
      </c>
      <c r="J26" s="15" t="inlineStr">
        <is>
          <t>1. GET /api/courses/photo/progress</t>
        </is>
      </c>
      <c r="K26" s="15" t="inlineStr">
        <is>
          <t>courseId=photo</t>
        </is>
      </c>
      <c r="L26" s="15" t="inlineStr">
        <is>
          <t>200 { percent: 17 (làm tròn 2/12), completedLessons: 2, totalLessons: 12, completedModules: 0, lastLessonId: 'les-photo-1-2', nextLesson: { id: 'les-photo-1-3', moduleId: 'mod-photo-1' } }. Module 2 khóa nên nextLesson KHÔNG nhảy sang module 2.</t>
        </is>
      </c>
      <c r="M26" s="15" t="inlineStr"/>
      <c r="N26" s="18" t="inlineStr">
        <is>
          <t>Chưa test</t>
        </is>
      </c>
      <c r="O26" s="15" t="inlineStr"/>
      <c r="P26" s="15" t="inlineStr"/>
      <c r="Q26" s="18" t="inlineStr">
        <is>
          <t>Chưa test</t>
        </is>
      </c>
      <c r="R26" s="15" t="inlineStr"/>
    </row>
    <row r="27" ht="30" customHeight="1">
      <c r="A27" s="14" t="inlineStr">
        <is>
          <t>TC-COURSE-026</t>
        </is>
      </c>
      <c r="B27" s="15" t="inlineStr">
        <is>
          <t>Khóa học / Lớp học</t>
        </is>
      </c>
      <c r="C27" s="15" t="inlineStr">
        <is>
          <t>Lớp học - Danh sách module &amp; tiến độ</t>
        </is>
      </c>
      <c r="D27" s="15" t="inlineStr">
        <is>
          <t>Tiến độ của member3: 0%, lastLessonId null, nextLesson là bài đầu tiên</t>
        </is>
      </c>
      <c r="E27" s="15" t="inlineStr">
        <is>
          <t>Chức năng</t>
        </is>
      </c>
      <c r="F27" s="20" t="inlineStr">
        <is>
          <t>Trung bình</t>
        </is>
      </c>
      <c r="G27" s="17" t="inlineStr">
        <is>
          <t>Đã hoàn thiện</t>
        </is>
      </c>
      <c r="H27" s="17" t="inlineStr">
        <is>
          <t>Có</t>
        </is>
      </c>
      <c r="I27" s="15" t="inlineStr">
        <is>
          <t>Tiền điều kiện chung: đã `db:seed`, BE :4000, FE :5173; mật khẩu mọi tài khoản seed = Passw0rd!x. Đăng nhập member3.</t>
        </is>
      </c>
      <c r="J27" s="15" t="inlineStr">
        <is>
          <t>1. GET /api/courses/photo/progress</t>
        </is>
      </c>
      <c r="K27" s="15" t="inlineStr">
        <is>
          <t>courseId=photo</t>
        </is>
      </c>
      <c r="L27" s="15" t="inlineStr">
        <is>
          <t>200 { percent: 0, completedLessons: 0, totalLessons: 12, completedModules: 0, lastLessonId: null, nextLesson: { id: 'les-photo-1-1' } }.</t>
        </is>
      </c>
      <c r="M27" s="15" t="inlineStr"/>
      <c r="N27" s="18" t="inlineStr">
        <is>
          <t>Chưa test</t>
        </is>
      </c>
      <c r="O27" s="15" t="inlineStr"/>
      <c r="P27" s="15" t="inlineStr"/>
      <c r="Q27" s="18" t="inlineStr">
        <is>
          <t>Chưa test</t>
        </is>
      </c>
      <c r="R27" s="15" t="inlineStr"/>
    </row>
    <row r="28" ht="45" customHeight="1">
      <c r="A28" s="14" t="inlineStr">
        <is>
          <t>TC-COURSE-027</t>
        </is>
      </c>
      <c r="B28" s="15" t="inlineStr">
        <is>
          <t>Khóa học / Lớp học</t>
        </is>
      </c>
      <c r="C28" s="15" t="inlineStr">
        <is>
          <t>Lớp học - Danh sách module &amp; tiến độ</t>
        </is>
      </c>
      <c r="D28" s="15" t="inlineStr">
        <is>
          <t>UI đầu trang lớp học: thanh tiến độ và nút 'Tiếp tục học' đi đúng bài</t>
        </is>
      </c>
      <c r="E28" s="15" t="inlineStr">
        <is>
          <t>Giao diện</t>
        </is>
      </c>
      <c r="F28" s="20" t="inlineStr">
        <is>
          <t>Trung bình</t>
        </is>
      </c>
      <c r="G28" s="17" t="inlineStr">
        <is>
          <t>Đã hoàn thiện</t>
        </is>
      </c>
      <c r="H28" s="17" t="inlineStr">
        <is>
          <t>Có</t>
        </is>
      </c>
      <c r="I28" s="15" t="inlineStr">
        <is>
          <t>Tiền điều kiện chung: đã `db:seed`, BE :4000, FE :5173; mật khẩu mọi tài khoản seed = Passw0rd!x. Đăng nhập member2.</t>
        </is>
      </c>
      <c r="J28" s="15" t="inlineStr">
        <is>
          <t>1. Mở /courses/photo/community/lop-hoc
2. Đọc dòng tiến độ và % thanh
3. Bấm 'Tiếp tục học'</t>
        </is>
      </c>
      <c r="K28" s="15" t="inlineStr">
        <is>
          <t>member2: 2/12 bài</t>
        </is>
      </c>
      <c r="L28" s="15" t="inlineStr">
        <is>
          <t>Hiển thị '2/12 bài · 0 module' và 17%. Bấm 'Tiếp tục học' chuyển tới /courses/photo/community/lop-hoc/les-photo-1-3 (nextLesson).</t>
        </is>
      </c>
      <c r="M28" s="15" t="inlineStr"/>
      <c r="N28" s="18" t="inlineStr">
        <is>
          <t>Chưa test</t>
        </is>
      </c>
      <c r="O28" s="15" t="inlineStr"/>
      <c r="P28" s="15" t="inlineStr"/>
      <c r="Q28" s="18" t="inlineStr">
        <is>
          <t>Chưa test</t>
        </is>
      </c>
      <c r="R28" s="15" t="inlineStr"/>
    </row>
    <row r="29" ht="45" customHeight="1">
      <c r="A29" s="14" t="inlineStr">
        <is>
          <t>TC-COURSE-028</t>
        </is>
      </c>
      <c r="B29" s="15" t="inlineStr">
        <is>
          <t>Khóa học / Lớp học</t>
        </is>
      </c>
      <c r="C29" s="15" t="inlineStr">
        <is>
          <t>Lớp học - Danh sách module &amp; tiến độ</t>
        </is>
      </c>
      <c r="D29" s="15" t="inlineStr">
        <is>
          <t>Module khóa hiển thị đúng lớp phủ và không mở được danh sách bài</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member3.</t>
        </is>
      </c>
      <c r="J29" s="15" t="inlineStr">
        <is>
          <t>1. Mở /courses/photo/community/lop-hoc
2. Quan sát thẻ 'Tư duy &amp; Nền tảng'
3. Thử bấm mũi tên 'Mở Tư duy &amp; Nền tảng'</t>
        </is>
      </c>
      <c r="K29" s="15" t="inlineStr">
        <is>
          <t>module 2 photo bị khóa</t>
        </is>
      </c>
      <c r="L29" s="15" t="inlineStr">
        <is>
          <t>Thẻ có lớp phủ 'Hoàn thành module trước'; nút mở bị vô hiệu, không gọi được GET .../modules/mod-photo-2/lessons (không phát sinh request 403).</t>
        </is>
      </c>
      <c r="M29" s="15" t="inlineStr"/>
      <c r="N29" s="18" t="inlineStr">
        <is>
          <t>Chưa test</t>
        </is>
      </c>
      <c r="O29" s="15" t="inlineStr"/>
      <c r="P29" s="15" t="inlineStr"/>
      <c r="Q29" s="18" t="inlineStr">
        <is>
          <t>Chưa test</t>
        </is>
      </c>
      <c r="R29" s="15" t="inlineStr"/>
    </row>
    <row r="30" ht="60" customHeight="1">
      <c r="A30" s="14" t="inlineStr">
        <is>
          <t>TC-COURSE-029</t>
        </is>
      </c>
      <c r="B30" s="15" t="inlineStr">
        <is>
          <t>Khóa học / Lớp học</t>
        </is>
      </c>
      <c r="C30" s="15" t="inlineStr">
        <is>
          <t>Lớp học - Danh sách module &amp; tiến độ</t>
        </is>
      </c>
      <c r="D30" s="15" t="inlineStr">
        <is>
          <t>Cấu trúc nội dung seed: photo 2x6, yt 5 module (5-5-5-5-4), fin 3 module (5-5-6)</t>
        </is>
      </c>
      <c r="E30" s="15" t="inlineStr">
        <is>
          <t>Chức năng</t>
        </is>
      </c>
      <c r="F30" s="20" t="inlineStr">
        <is>
          <t>Trung bình</t>
        </is>
      </c>
      <c r="G30" s="17" t="inlineStr">
        <is>
          <t>Đã hoàn thiện</t>
        </is>
      </c>
      <c r="H30" s="17" t="inlineStr">
        <is>
          <t>Có</t>
        </is>
      </c>
      <c r="I30" s="15" t="inlineStr">
        <is>
          <t>Tiền điều kiện chung: đã `db:seed`, BE :4000, FE :5173; mật khẩu mọi tài khoản seed = Passw0rd!x. Dùng member1 (thuộc photo, yt, fin). Công thức seed: số module = clamp(round(số bài/5), 2..5), module cuối nhận phần dư.</t>
        </is>
      </c>
      <c r="J30" s="15" t="inlineStr">
        <is>
          <t>1. GET /api/courses/photo/modules
2. GET /api/courses/yt/modules
3. GET /api/courses/fin/modules
4. So sánh lessonsCount từng module và id (mod-&lt;course&gt;-&lt;n&gt;)</t>
        </is>
      </c>
      <c r="K30" s="15" t="inlineStr">
        <is>
          <t>photo=12 bài, yt=24 bài, fin=16 bài</t>
        </is>
      </c>
      <c r="L30"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t>
        </is>
      </c>
      <c r="M30" s="15" t="inlineStr"/>
      <c r="N30" s="18" t="inlineStr">
        <is>
          <t>Chưa test</t>
        </is>
      </c>
      <c r="O30" s="15" t="inlineStr"/>
      <c r="P30" s="15" t="inlineStr"/>
      <c r="Q30" s="18" t="inlineStr">
        <is>
          <t>Chưa test</t>
        </is>
      </c>
      <c r="R30" s="15" t="inlineStr"/>
    </row>
    <row r="31" ht="60" customHeight="1">
      <c r="A31" s="14" t="inlineStr">
        <is>
          <t>TC-COURSE-030</t>
        </is>
      </c>
      <c r="B31" s="15" t="inlineStr">
        <is>
          <t>Khóa học / Lớp học</t>
        </is>
      </c>
      <c r="C31" s="15" t="inlineStr">
        <is>
          <t>Lớp học - Danh sách module &amp; tiến độ</t>
        </is>
      </c>
      <c r="D31" s="15" t="inlineStr">
        <is>
          <t>Phân trang danh sách module trên UI (10 module/trang)</t>
        </is>
      </c>
      <c r="E31" s="15" t="inlineStr">
        <is>
          <t>Giao diện</t>
        </is>
      </c>
      <c r="F31" s="17" t="inlineStr">
        <is>
          <t>Thấp</t>
        </is>
      </c>
      <c r="G31" s="17" t="inlineStr">
        <is>
          <t>Đã hoàn thiện</t>
        </is>
      </c>
      <c r="H31" s="17" t="inlineStr">
        <is>
          <t>Có</t>
        </is>
      </c>
      <c r="I31" s="15" t="inlineStr">
        <is>
          <t>Tiền điều kiện chung: đã `db:seed`, BE :4000, FE :5173; mật khẩu mọi tài khoản seed = Passw0rd!x. Đăng nhập mod@sofinhub.test (mod photo). Photo đang có 2 module; tạo thêm 9 module (tổng 11). Dọn sau test bằng DELETE.</t>
        </is>
      </c>
      <c r="J31" s="15" t="inlineStr">
        <is>
          <t>1. Với mod: POST /api/courses/photo/modules 9 lần, body {title:'Trang N', description:'x'}
2. Mở /courses/photo/community/lop-hoc
3. Kiểm tra trang 1 hiển thị 10 thẻ, bấm 'Tiếp theo ›'
4. Xóa 9 module vừa tạo</t>
        </is>
      </c>
      <c r="K31" s="15" t="inlineStr">
        <is>
          <t>9 module 'Trang 1'..'Trang 9'</t>
        </is>
      </c>
      <c r="L31" s="15" t="inlineStr">
        <is>
          <t>Trang 1 hiện 10 module và chân trang '1–10 trên 11'; trang 2 hiện 1 thẻ; nút '‹ Trước' bị vô hiệu ở trang 1, 'Tiếp theo ›' bị vô hiệu ở trang cuối.</t>
        </is>
      </c>
      <c r="M31" s="15" t="inlineStr"/>
      <c r="N31" s="18" t="inlineStr">
        <is>
          <t>Chưa test</t>
        </is>
      </c>
      <c r="O31" s="15" t="inlineStr"/>
      <c r="P31" s="15" t="inlineStr"/>
      <c r="Q31" s="18" t="inlineStr">
        <is>
          <t>Chưa test</t>
        </is>
      </c>
      <c r="R31" s="15" t="inlineStr"/>
    </row>
    <row r="32" ht="45" customHeight="1">
      <c r="A32" s="14" t="inlineStr">
        <is>
          <t>TC-COURSE-031</t>
        </is>
      </c>
      <c r="B32" s="15" t="inlineStr">
        <is>
          <t>Khóa học / Lớp học</t>
        </is>
      </c>
      <c r="C32" s="15" t="inlineStr">
        <is>
          <t>Lớp học - Danh sách module &amp; tiến độ</t>
        </is>
      </c>
      <c r="D32" s="15" t="inlineStr">
        <is>
          <t>Lớp học chưa có nội dung: trạng thái rỗng cho học viên và cho mod</t>
        </is>
      </c>
      <c r="E32" s="15" t="inlineStr">
        <is>
          <t>Giao diện</t>
        </is>
      </c>
      <c r="F32" s="17" t="inlineStr">
        <is>
          <t>Thấp</t>
        </is>
      </c>
      <c r="G32" s="17" t="inlineStr">
        <is>
          <t>Đã hoàn thiện</t>
        </is>
      </c>
      <c r="H32" s="17" t="inlineStr">
        <is>
          <t>Có</t>
        </is>
      </c>
      <c r="I32" s="15" t="inlineStr">
        <is>
          <t>Tiền điều kiện chung: đã `db:seed`, BE :4000, FE :5173; mật khẩu mọi tài khoản seed = Passw0rd!x. Dùng khóa thử của owner (hoặc photo rồi seed lại). Xóa hết module bằng DELETE /api/courses/photo/modules/:id. Lưu ý: chạy lại `npm run db:seed` sẽ dựng lại module khi khóa không còn module nào.</t>
        </is>
      </c>
      <c r="J32" s="15" t="inlineStr">
        <is>
          <t>1. Đăng nhập owner, xóa mọi module của khóa
2. Đăng nhập member -&gt; mở /courses/photo/community/lop-hoc
3. Đăng nhập mod -&gt; mở /courses/photo/community/lop-hoc -&gt; 'Chỉnh sửa lớp học'</t>
        </is>
      </c>
      <c r="K32" s="15" t="inlineStr">
        <is>
          <t>0 module</t>
        </is>
      </c>
      <c r="L32" s="15" t="inlineStr">
        <is>
          <t>Học viên: 'Lớp học chưa có nội dung.'. Mod trong chế độ chỉnh sửa: 'Lớp học chưa có module nào. Hãy thêm module đầu tiên.'. GET /progress trả percent 0, totalLessons 0, nextLesson null (không chia cho 0).</t>
        </is>
      </c>
      <c r="M32" s="15" t="inlineStr"/>
      <c r="N32" s="18" t="inlineStr">
        <is>
          <t>Chưa test</t>
        </is>
      </c>
      <c r="O32" s="15" t="inlineStr"/>
      <c r="P32" s="15" t="inlineStr"/>
      <c r="Q32" s="18" t="inlineStr">
        <is>
          <t>Chưa test</t>
        </is>
      </c>
      <c r="R32" s="15" t="inlineStr"/>
    </row>
    <row r="33" ht="30" customHeight="1">
      <c r="A33" s="14" t="inlineStr">
        <is>
          <t>TC-COURSE-032</t>
        </is>
      </c>
      <c r="B33" s="15" t="inlineStr">
        <is>
          <t>Khóa học / Lớp học</t>
        </is>
      </c>
      <c r="C33" s="15" t="inlineStr">
        <is>
          <t>Lớp học - Danh sách module &amp; tiến độ</t>
        </is>
      </c>
      <c r="D33" s="15" t="inlineStr">
        <is>
          <t>Lỗi tải danh sách module hiển thị ErrorNote, không trắng trang</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Đăng nhập member1. Playwright: route.fulfill 500 cho GET /api/courses/photo/modules.</t>
        </is>
      </c>
      <c r="J33" s="15" t="inlineStr">
        <is>
          <t>1. Chặn request modules trả 500
2. Mở /courses/photo/community/lop-hoc</t>
        </is>
      </c>
      <c r="K33" s="15" t="inlineStr">
        <is>
          <t>GET /api/courses/photo/modules -&gt; 500</t>
        </is>
      </c>
      <c r="L33" s="15" t="inlineStr">
        <is>
          <t>Thấy thông báo lỗi 'Không tải được lớp học' (hoặc message từ API); trang không crash; các phần khác của cộng đồng (sidebar, topbar) vẫn hiển thị.</t>
        </is>
      </c>
      <c r="M33" s="15" t="inlineStr"/>
      <c r="N33" s="18" t="inlineStr">
        <is>
          <t>Chưa test</t>
        </is>
      </c>
      <c r="O33" s="15" t="inlineStr"/>
      <c r="P33" s="15" t="inlineStr"/>
      <c r="Q33" s="18" t="inlineStr">
        <is>
          <t>Chưa test</t>
        </is>
      </c>
      <c r="R33" s="15" t="inlineStr"/>
    </row>
    <row r="34" ht="45" customHeight="1">
      <c r="A34" s="14" t="inlineStr">
        <is>
          <t>TC-COURSE-033</t>
        </is>
      </c>
      <c r="B34" s="15" t="inlineStr">
        <is>
          <t>Khóa học / Lớp học</t>
        </is>
      </c>
      <c r="C34" s="15" t="inlineStr">
        <is>
          <t>Lớp học - Danh sách module &amp; tiến độ</t>
        </is>
      </c>
      <c r="D34" s="15" t="inlineStr">
        <is>
          <t>Trạng thái đang tải hiển thị 'Đang tải lớp học…'</t>
        </is>
      </c>
      <c r="E34" s="15" t="inlineStr">
        <is>
          <t>Giao diện</t>
        </is>
      </c>
      <c r="F34" s="17" t="inlineStr">
        <is>
          <t>Thấp</t>
        </is>
      </c>
      <c r="G34" s="17" t="inlineStr">
        <is>
          <t>Đã hoàn thiện</t>
        </is>
      </c>
      <c r="H34" s="17" t="inlineStr">
        <is>
          <t>Có</t>
        </is>
      </c>
      <c r="I34" s="15" t="inlineStr">
        <is>
          <t>Tiền điều kiện chung: đã `db:seed`, BE :4000, FE :5173; mật khẩu mọi tài khoản seed = Passw0rd!x. Đăng nhập member1. Playwright: trì hoãn GET /api/courses/photo/modules 2 giây.</t>
        </is>
      </c>
      <c r="J34" s="15" t="inlineStr">
        <is>
          <t>1. Trì hoãn response modules
2. Mở /courses/photo/community/lop-hoc
3. Chụp màn hình trong lúc chờ</t>
        </is>
      </c>
      <c r="K34" s="15" t="inlineStr">
        <is>
          <t>delay 2000ms</t>
        </is>
      </c>
      <c r="L34" s="15" t="inlineStr">
        <is>
          <t>Trong lúc chờ hiển thị 'Đang tải lớp học…'; sau khi có dữ liệu thay bằng danh sách module.</t>
        </is>
      </c>
      <c r="M34" s="15" t="inlineStr"/>
      <c r="N34" s="18" t="inlineStr">
        <is>
          <t>Chưa test</t>
        </is>
      </c>
      <c r="O34" s="15" t="inlineStr"/>
      <c r="P34" s="15" t="inlineStr"/>
      <c r="Q34" s="18" t="inlineStr">
        <is>
          <t>Chưa test</t>
        </is>
      </c>
      <c r="R34" s="15" t="inlineStr"/>
    </row>
    <row r="35" ht="30" customHeight="1">
      <c r="A35" s="14" t="inlineStr">
        <is>
          <t>TC-COURSE-034</t>
        </is>
      </c>
      <c r="B35" s="15" t="inlineStr">
        <is>
          <t>Khóa học / Lớp học</t>
        </is>
      </c>
      <c r="C35" s="15" t="inlineStr">
        <is>
          <t>Lớp học - Trang học (player)</t>
        </is>
      </c>
      <c r="D35" s="15" t="inlineStr">
        <is>
          <t>Chi tiết bài học đầu tiên: prev null, next là bài 2</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member1.</t>
        </is>
      </c>
      <c r="J35" s="15" t="inlineStr">
        <is>
          <t>1. GET /api/courses/photo/lessons/les-photo-1-1</t>
        </is>
      </c>
      <c r="K35" s="15" t="inlineStr">
        <is>
          <t>lessonId=les-photo-1-1</t>
        </is>
      </c>
      <c r="L35"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35" s="15" t="inlineStr"/>
      <c r="N35" s="18" t="inlineStr">
        <is>
          <t>Chưa test</t>
        </is>
      </c>
      <c r="O35" s="15" t="inlineStr"/>
      <c r="P35" s="15" t="inlineStr"/>
      <c r="Q35" s="18" t="inlineStr">
        <is>
          <t>Chưa test</t>
        </is>
      </c>
      <c r="R35" s="15" t="inlineStr"/>
    </row>
    <row r="36" ht="30" customHeight="1">
      <c r="A36" s="14" t="inlineStr">
        <is>
          <t>TC-COURSE-035</t>
        </is>
      </c>
      <c r="B36" s="15" t="inlineStr">
        <is>
          <t>Khóa học / Lớp học</t>
        </is>
      </c>
      <c r="C36" s="15" t="inlineStr">
        <is>
          <t>Lớp học - Trang học (player)</t>
        </is>
      </c>
      <c r="D36" s="15" t="inlineStr">
        <is>
          <t>Bài cuối module 1 -&gt; bài sau nhảy sang module 2 (thứ tự toàn khóa)</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Đăng nhập member1 (module 2 photo đã mở).</t>
        </is>
      </c>
      <c r="J36" s="15" t="inlineStr">
        <is>
          <t>1. GET /api/courses/photo/lessons/les-photo-1-6
2. GET /api/courses/photo/lessons/les-photo-2-1</t>
        </is>
      </c>
      <c r="K36" s="15" t="inlineStr">
        <is>
          <t>les-photo-1-6, les-photo-2-1</t>
        </is>
      </c>
      <c r="L36" s="15" t="inlineStr">
        <is>
          <t>les-photo-1-6: nextLessonId 'les-photo-2-1'. les-photo-2-1: prevLessonId 'les-photo-1-6', moduleIndex 2, moduleTitle 'Tư duy &amp; Nền tảng'.</t>
        </is>
      </c>
      <c r="M36" s="15" t="inlineStr"/>
      <c r="N36" s="18" t="inlineStr">
        <is>
          <t>Chưa test</t>
        </is>
      </c>
      <c r="O36" s="15" t="inlineStr"/>
      <c r="P36" s="15" t="inlineStr"/>
      <c r="Q36" s="18" t="inlineStr">
        <is>
          <t>Chưa test</t>
        </is>
      </c>
      <c r="R36" s="15" t="inlineStr"/>
    </row>
    <row r="37" ht="30" customHeight="1">
      <c r="A37" s="14" t="inlineStr">
        <is>
          <t>TC-COURSE-036</t>
        </is>
      </c>
      <c r="B37" s="15" t="inlineStr">
        <is>
          <t>Khóa học / Lớp học</t>
        </is>
      </c>
      <c r="C37" s="15" t="inlineStr">
        <is>
          <t>Lớp học - Trang học (player)</t>
        </is>
      </c>
      <c r="D37" s="15" t="inlineStr">
        <is>
          <t>Bài cuối cùng của khóa: nextLessonId null; UI hiện 'Về lớp học' thay nút Bài sau</t>
        </is>
      </c>
      <c r="E37" s="15" t="inlineStr">
        <is>
          <t>Chức năng</t>
        </is>
      </c>
      <c r="F37" s="20" t="inlineStr">
        <is>
          <t>Trung bình</t>
        </is>
      </c>
      <c r="G37" s="17" t="inlineStr">
        <is>
          <t>Đã hoàn thiện</t>
        </is>
      </c>
      <c r="H37" s="17" t="inlineStr">
        <is>
          <t>Có</t>
        </is>
      </c>
      <c r="I37" s="15" t="inlineStr">
        <is>
          <t>Tiền điều kiện chung: đã `db:seed`, BE :4000, FE :5173; mật khẩu mọi tài khoản seed = Passw0rd!x. Đăng nhập member1.</t>
        </is>
      </c>
      <c r="J37" s="15" t="inlineStr">
        <is>
          <t>1. GET /api/courses/photo/lessons/les-photo-2-6
2. Mở UI /courses/photo/community/lop-hoc/les-photo-2-6</t>
        </is>
      </c>
      <c r="K37" s="15" t="inlineStr">
        <is>
          <t>les-photo-2-6</t>
        </is>
      </c>
      <c r="L37" s="15" t="inlineStr">
        <is>
          <t>200 nextLessonId null, prevLessonId 'les-photo-2-5'. UI: có 'Bài trước', KHÔNG có nút 'Bài sau', có nút 'Về lớp học'.</t>
        </is>
      </c>
      <c r="M37" s="15" t="inlineStr"/>
      <c r="N37" s="18" t="inlineStr">
        <is>
          <t>Chưa test</t>
        </is>
      </c>
      <c r="O37" s="15" t="inlineStr"/>
      <c r="P37" s="15" t="inlineStr"/>
      <c r="Q37" s="18" t="inlineStr">
        <is>
          <t>Chưa test</t>
        </is>
      </c>
      <c r="R37" s="15" t="inlineStr"/>
    </row>
    <row r="38" ht="30" customHeight="1">
      <c r="A38" s="14" t="inlineStr">
        <is>
          <t>TC-COURSE-037</t>
        </is>
      </c>
      <c r="B38" s="15" t="inlineStr">
        <is>
          <t>Khóa học / Lớp học</t>
        </is>
      </c>
      <c r="C38" s="15" t="inlineStr">
        <is>
          <t>Lớp học - Trang học (player)</t>
        </is>
      </c>
      <c r="D38" s="15" t="inlineStr">
        <is>
          <t>Bài đầu tiên của khóa: UI không có 'Bài trước'</t>
        </is>
      </c>
      <c r="E38" s="15" t="inlineStr">
        <is>
          <t>Giao diện</t>
        </is>
      </c>
      <c r="F38" s="17" t="inlineStr">
        <is>
          <t>Thấp</t>
        </is>
      </c>
      <c r="G38" s="17" t="inlineStr">
        <is>
          <t>Đã hoàn thiện</t>
        </is>
      </c>
      <c r="H38" s="17" t="inlineStr">
        <is>
          <t>Có</t>
        </is>
      </c>
      <c r="I38" s="15" t="inlineStr">
        <is>
          <t>Tiền điều kiện chung: đã `db:seed`, BE :4000, FE :5173; mật khẩu mọi tài khoản seed = Passw0rd!x. Đăng nhập member3.</t>
        </is>
      </c>
      <c r="J38" s="15" t="inlineStr">
        <is>
          <t>1. Mở UI /courses/photo/community/lop-hoc/les-photo-1-1</t>
        </is>
      </c>
      <c r="K38" s="15" t="inlineStr">
        <is>
          <t>les-photo-1-1</t>
        </is>
      </c>
      <c r="L38" s="15" t="inlineStr">
        <is>
          <t>Không hiển thị nút 'Bài trước'; hiển thị 'Bài sau' dẫn tới /courses/photo/community/lop-hoc/les-photo-1-2.</t>
        </is>
      </c>
      <c r="M38" s="15" t="inlineStr"/>
      <c r="N38" s="18" t="inlineStr">
        <is>
          <t>Chưa test</t>
        </is>
      </c>
      <c r="O38" s="15" t="inlineStr"/>
      <c r="P38" s="15" t="inlineStr"/>
      <c r="Q38" s="18" t="inlineStr">
        <is>
          <t>Chưa test</t>
        </is>
      </c>
      <c r="R38" s="15" t="inlineStr"/>
    </row>
    <row r="39" ht="30" customHeight="1">
      <c r="A39" s="14" t="inlineStr">
        <is>
          <t>TC-COURSE-038</t>
        </is>
      </c>
      <c r="B39" s="15" t="inlineStr">
        <is>
          <t>Khóa học / Lớp học</t>
        </is>
      </c>
      <c r="C39" s="15" t="inlineStr">
        <is>
          <t>Lớp học - Trang học (player)</t>
        </is>
      </c>
      <c r="D39" s="15" t="inlineStr">
        <is>
          <t>Bài dạng văn bản (bài 4) hiển thị nội dung, không có khung video</t>
        </is>
      </c>
      <c r="E39" s="15" t="inlineStr">
        <is>
          <t>Giao diện</t>
        </is>
      </c>
      <c r="F39" s="20" t="inlineStr">
        <is>
          <t>Trung bình</t>
        </is>
      </c>
      <c r="G39" s="17" t="inlineStr">
        <is>
          <t>Đã hoàn thiện</t>
        </is>
      </c>
      <c r="H39" s="17" t="inlineStr">
        <is>
          <t>Có</t>
        </is>
      </c>
      <c r="I39" s="15" t="inlineStr">
        <is>
          <t>Tiền điều kiện chung: đã `db:seed`, BE :4000, FE :5173; mật khẩu mọi tài khoản seed = Passw0rd!x. Đăng nhập member1. Bài les-photo-1-4 có type 'text'.</t>
        </is>
      </c>
      <c r="J39" s="15" t="inlineStr">
        <is>
          <t>1. Mở UI /courses/photo/community/lop-hoc/les-photo-1-4</t>
        </is>
      </c>
      <c r="K39" s="15" t="inlineStr">
        <is>
          <t>les-photo-1-4</t>
        </is>
      </c>
      <c r="L39" s="15" t="inlineStr">
        <is>
          <t>Nhãn '&lt;N&gt; phút · Bài đọc'; hiển thị nội dung body; không có iframe video.</t>
        </is>
      </c>
      <c r="M39" s="15" t="inlineStr"/>
      <c r="N39" s="18" t="inlineStr">
        <is>
          <t>Chưa test</t>
        </is>
      </c>
      <c r="O39" s="15" t="inlineStr"/>
      <c r="P39" s="15" t="inlineStr"/>
      <c r="Q39" s="18" t="inlineStr">
        <is>
          <t>Chưa test</t>
        </is>
      </c>
      <c r="R39" s="15" t="inlineStr"/>
    </row>
    <row r="40" ht="30" customHeight="1">
      <c r="A40" s="14" t="inlineStr">
        <is>
          <t>TC-COURSE-039</t>
        </is>
      </c>
      <c r="B40" s="15" t="inlineStr">
        <is>
          <t>Khóa học / Lớp học</t>
        </is>
      </c>
      <c r="C40" s="15" t="inlineStr">
        <is>
          <t>Lớp học - Trang học (player)</t>
        </is>
      </c>
      <c r="D40" s="15" t="inlineStr">
        <is>
          <t>Bài video seed chưa có link video: hiển thị thông báo thay vì iframe</t>
        </is>
      </c>
      <c r="E40" s="15" t="inlineStr">
        <is>
          <t>Giao diện</t>
        </is>
      </c>
      <c r="F40" s="20" t="inlineStr">
        <is>
          <t>Trung bình</t>
        </is>
      </c>
      <c r="G40" s="17" t="inlineStr">
        <is>
          <t>Đã hoàn thiện</t>
        </is>
      </c>
      <c r="H40" s="17" t="inlineStr">
        <is>
          <t>Có</t>
        </is>
      </c>
      <c r="I40" s="15" t="inlineStr">
        <is>
          <t>Tiền điều kiện chung: đã `db:seed`, BE :4000, FE :5173; mật khẩu mọi tài khoản seed = Passw0rd!x. Đăng nhập member1. Bài les-photo-1-1 type 'video' nhưng seed KHÔNG gán videoUrl.</t>
        </is>
      </c>
      <c r="J40" s="15" t="inlineStr">
        <is>
          <t>1. Mở UI /courses/photo/community/lop-hoc/les-photo-1-1</t>
        </is>
      </c>
      <c r="K40" s="15" t="inlineStr">
        <is>
          <t>les-photo-1-1</t>
        </is>
      </c>
      <c r="L40" s="15" t="inlineStr">
        <is>
          <t>Khung 16:9 hiển thị 'Bài học này chưa có video.'; nhãn '&lt;N&gt; phút · Video'; không lỗi console.</t>
        </is>
      </c>
      <c r="M40" s="15" t="inlineStr"/>
      <c r="N40" s="18" t="inlineStr">
        <is>
          <t>Chưa test</t>
        </is>
      </c>
      <c r="O40" s="15" t="inlineStr"/>
      <c r="P40" s="15" t="inlineStr"/>
      <c r="Q40" s="18" t="inlineStr">
        <is>
          <t>Chưa test</t>
        </is>
      </c>
      <c r="R40" s="15" t="inlineStr"/>
    </row>
    <row r="41" ht="45" customHeight="1">
      <c r="A41" s="14" t="inlineStr">
        <is>
          <t>TC-COURSE-040</t>
        </is>
      </c>
      <c r="B41" s="15" t="inlineStr">
        <is>
          <t>Khóa học / Lớp học</t>
        </is>
      </c>
      <c r="C41" s="15" t="inlineStr">
        <is>
          <t>Lớp học - Trang học (player)</t>
        </is>
      </c>
      <c r="D41" s="15" t="inlineStr">
        <is>
          <t>Bài có link YouTube: embed dựng lại từ ID, iframe có sandbox và referrerpolicy</t>
        </is>
      </c>
      <c r="E41" s="15" t="inlineStr">
        <is>
          <t>Bảo mật</t>
        </is>
      </c>
      <c r="F41" s="16" t="inlineStr">
        <is>
          <t>Cao</t>
        </is>
      </c>
      <c r="G41" s="17" t="inlineStr">
        <is>
          <t>Đã hoàn thiện</t>
        </is>
      </c>
      <c r="H41" s="17" t="inlineStr">
        <is>
          <t>Có</t>
        </is>
      </c>
      <c r="I41"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41" s="15" t="inlineStr">
        <is>
          <t>1. PATCH videoUrl như trên -&gt; đọc response
2. Đăng nhập member1, mở /courses/photo/community/lop-hoc/les-photo-1-1
3. Kiểm tra thuộc tính iframe bằng DevTools</t>
        </is>
      </c>
      <c r="K41" s="15" t="inlineStr">
        <is>
          <t>videoUrl=https://www.youtube.com/watch?v=dQw4w9WgXcQ&amp;t=10s</t>
        </is>
      </c>
      <c r="L41" s="15" t="inlineStr">
        <is>
          <t>PATCH 200: videoUrl lưu bản trim, embedUrl = 'https://www.youtube.com/embed/dQw4w9WgXcQ' (bỏ tham số &amp;t). UI có 1 iframe src=embedUrl, có thuộc tính sandbox và referrerpolicy; không có host lạ.</t>
        </is>
      </c>
      <c r="M41" s="15" t="inlineStr"/>
      <c r="N41" s="18" t="inlineStr">
        <is>
          <t>Chưa test</t>
        </is>
      </c>
      <c r="O41" s="15" t="inlineStr"/>
      <c r="P41" s="15" t="inlineStr"/>
      <c r="Q41" s="18" t="inlineStr">
        <is>
          <t>Chưa test</t>
        </is>
      </c>
      <c r="R41" s="15" t="inlineStr"/>
    </row>
    <row r="42" ht="45" customHeight="1">
      <c r="A42" s="14" t="inlineStr">
        <is>
          <t>TC-COURSE-041</t>
        </is>
      </c>
      <c r="B42" s="15" t="inlineStr">
        <is>
          <t>Khóa học / Lớp học</t>
        </is>
      </c>
      <c r="C42" s="15" t="inlineStr">
        <is>
          <t>Lớp học - Trang học (player)</t>
        </is>
      </c>
      <c r="D42" s="15" t="inlineStr">
        <is>
          <t>Chuẩn hóa nhiều dạng link video hợp lệ về URL nhúng (matrix)</t>
        </is>
      </c>
      <c r="E42" s="15" t="inlineStr">
        <is>
          <t>Chức năng</t>
        </is>
      </c>
      <c r="F42" s="16" t="inlineStr">
        <is>
          <t>Cao</t>
        </is>
      </c>
      <c r="G42" s="17" t="inlineStr">
        <is>
          <t>Đã hoàn thiện</t>
        </is>
      </c>
      <c r="H42" s="17" t="inlineStr">
        <is>
          <t>Có</t>
        </is>
      </c>
      <c r="I42" s="15" t="inlineStr">
        <is>
          <t>Tiền điều kiện chung: đã `db:seed`, BE :4000, FE :5173; mật khẩu mọi tài khoản seed = Passw0rd!x. Đăng nhập mod. Dùng 1 module mới để tạo bài: POST /api/courses/photo/modules/{id}/lessons {title:'V', type:'video', durationMin:5, body:'x', videoUrl:&lt;...&gt;}.</t>
        </is>
      </c>
      <c r="J42" s="15" t="inlineStr">
        <is>
          <t>1. Tạo lần lượt 6 bài với 6 link ở Dữ liệu test
2. Đọc embedUrl của mỗi bài
3. Xóa module thử</t>
        </is>
      </c>
      <c r="K42" s="15" t="inlineStr">
        <is>
          <t>1) https://youtu.be/dQw4w9WgXcQ 2) https://www.youtube.com/shorts/dQw4w9WgXcQ 3) https://www.youtube.com/embed/dQw4w9WgXcQ 4) https://m.youtube.com/watch?v=dQw4w9WgXcQ 5) https://vimeo.com/76979871 6) https://player.vimeo.com/video/76979871</t>
        </is>
      </c>
      <c r="L42" s="15" t="inlineStr">
        <is>
          <t>Cả 6 trả 201. embedUrl bài 1-4 = 'https://www.youtube.com/embed/dQw4w9WgXcQ'; bài 5-6 = 'https://player.vimeo.com/video/76979871'.</t>
        </is>
      </c>
      <c r="M42" s="15" t="inlineStr"/>
      <c r="N42" s="18" t="inlineStr">
        <is>
          <t>Chưa test</t>
        </is>
      </c>
      <c r="O42" s="15" t="inlineStr"/>
      <c r="P42" s="15" t="inlineStr"/>
      <c r="Q42" s="18" t="inlineStr">
        <is>
          <t>Chưa test</t>
        </is>
      </c>
      <c r="R42" s="15" t="inlineStr"/>
    </row>
    <row r="43" ht="30" customHeight="1">
      <c r="A43" s="14" t="inlineStr">
        <is>
          <t>TC-COURSE-042</t>
        </is>
      </c>
      <c r="B43" s="15" t="inlineStr">
        <is>
          <t>Khóa học / Lớp học</t>
        </is>
      </c>
      <c r="C43" s="15" t="inlineStr">
        <is>
          <t>Lớp học - Trang học (player)</t>
        </is>
      </c>
      <c r="D43" s="15" t="inlineStr">
        <is>
          <t>Từ chối link video không hợp lệ (matrix bảo mật)</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mod, có module thử để tạo bài.</t>
        </is>
      </c>
      <c r="J43" s="15" t="inlineStr">
        <is>
          <t>1. POST tạo bài với từng videoUrl ở Dữ liệu test
2. Kiểm tra response và không có bài nào được tạo</t>
        </is>
      </c>
      <c r="K43" s="15" t="inlineStr">
        <is>
          <t>a) https://evil.example.com/watch?v=dQw4w9WgXcQ b) https://youtube.com.evil.com/watch?v=dQw4w9WgXcQ c) javascript:alert(1) d) https://www.youtube.com/watch?v=short (ID 10 ký tự) e) https://vimeo.com/abc f) ftp://youtu.be/dQw4w9WgXcQ g) 'không phải url'</t>
        </is>
      </c>
      <c r="L43" s="15" t="inlineStr">
        <is>
          <t>Cả 7 trả 400 VALIDATION_ERROR ('Tham số không hợp lệ', details.fieldErrors) với thông điệp trường videoUrl 'Chỉ chấp nhận link video YouTube hoặc Vimeo hợp lệ'; số bài của module không đổi.</t>
        </is>
      </c>
      <c r="M43" s="15" t="inlineStr"/>
      <c r="N43" s="18" t="inlineStr">
        <is>
          <t>Chưa test</t>
        </is>
      </c>
      <c r="O43" s="15" t="inlineStr"/>
      <c r="P43" s="15" t="inlineStr"/>
      <c r="Q43" s="18" t="inlineStr">
        <is>
          <t>Chưa test</t>
        </is>
      </c>
      <c r="R43" s="15" t="inlineStr"/>
    </row>
    <row r="44" ht="45" customHeight="1">
      <c r="A44" s="14" t="inlineStr">
        <is>
          <t>TC-COURSE-043</t>
        </is>
      </c>
      <c r="B44" s="15" t="inlineStr">
        <is>
          <t>Khóa học / Lớp học</t>
        </is>
      </c>
      <c r="C44" s="15" t="inlineStr">
        <is>
          <t>Lớp học - Trang học (player)</t>
        </is>
      </c>
      <c r="D44" s="15" t="inlineStr">
        <is>
          <t>Bài có tệp đính kèm: hiển thị danh sách link tải; link không hợp lệ bị đánh dấu</t>
        </is>
      </c>
      <c r="E44" s="15" t="inlineStr">
        <is>
          <t>Giao diện</t>
        </is>
      </c>
      <c r="F44" s="20" t="inlineStr">
        <is>
          <t>Trung bình</t>
        </is>
      </c>
      <c r="G44" s="17" t="inlineStr">
        <is>
          <t>Đã hoàn thiện</t>
        </is>
      </c>
      <c r="H44" s="17" t="inlineStr">
        <is>
          <t>Có</t>
        </is>
      </c>
      <c r="I44" s="15" t="inlineStr">
        <is>
          <t>Tiền điều kiện chung: đã `db:seed`, BE :4000, FE :5173; mật khẩu mọi tài khoản seed = Passw0rd!x. Đăng nhập mod. Tạo bài có attachments:[{name:'Tài liệu.pdf', url:'https://example.com/a.pdf', size:1024}] và mở bằng member1.</t>
        </is>
      </c>
      <c r="J44" s="15" t="inlineStr">
        <is>
          <t>1. POST tạo bài với attachments
2. Mở /courses/photo/community/lop-hoc/{lessonId} bằng member1
3. Bấm vào 'Tài liệu.pdf'</t>
        </is>
      </c>
      <c r="K44" s="15" t="inlineStr">
        <is>
          <t>attachment name 'Tài liệu.pdf', url https://example.com/a.pdf</t>
        </is>
      </c>
      <c r="L44" s="15" t="inlineStr">
        <is>
          <t>Khối 'Tệp đính kèm' liệt kê 'Tài liệu.pdf' là liên kết mở tab mới tới URL; tệp có url không phải http(s) (nếu dữ liệu cũ) hiển thị '&lt;tên&gt; (liên kết không hợp lệ)' không click được.</t>
        </is>
      </c>
      <c r="M44" s="15" t="inlineStr"/>
      <c r="N44" s="18" t="inlineStr">
        <is>
          <t>Chưa test</t>
        </is>
      </c>
      <c r="O44" s="15" t="inlineStr"/>
      <c r="P44" s="15" t="inlineStr"/>
      <c r="Q44" s="18" t="inlineStr">
        <is>
          <t>Chưa test</t>
        </is>
      </c>
      <c r="R44" s="15" t="inlineStr"/>
    </row>
    <row r="45" ht="45" customHeight="1">
      <c r="A45" s="14" t="inlineStr">
        <is>
          <t>TC-COURSE-044</t>
        </is>
      </c>
      <c r="B45" s="15" t="inlineStr">
        <is>
          <t>Khóa học / Lớp học</t>
        </is>
      </c>
      <c r="C45" s="15" t="inlineStr">
        <is>
          <t>Lớp học - Trang học (player)</t>
        </is>
      </c>
      <c r="D45" s="15" t="inlineStr">
        <is>
          <t>Thanh điều hướng, tiến độ khóa và danh sách bài cùng module ở cột phải</t>
        </is>
      </c>
      <c r="E45" s="15" t="inlineStr">
        <is>
          <t>Giao diện</t>
        </is>
      </c>
      <c r="F45" s="17" t="inlineStr">
        <is>
          <t>Thấp</t>
        </is>
      </c>
      <c r="G45" s="17" t="inlineStr">
        <is>
          <t>Đã hoàn thiện</t>
        </is>
      </c>
      <c r="H45" s="17" t="inlineStr">
        <is>
          <t>Có</t>
        </is>
      </c>
      <c r="I45" s="15" t="inlineStr">
        <is>
          <t>Tiền điều kiện chung: đã `db:seed`, BE :4000, FE :5173; mật khẩu mọi tài khoản seed = Passw0rd!x. Đăng nhập member2.</t>
        </is>
      </c>
      <c r="J45" s="15" t="inlineStr">
        <is>
          <t>1. Mở UI /courses/photo/community/lop-hoc/les-photo-1-3
2. Quan sát breadcrumb 'Lớp học', thanh 'Tiến độ khóa học', danh sách bài của module 1
3. Bấm bài les-photo-1-5 ở cột phải</t>
        </is>
      </c>
      <c r="K45" s="15" t="inlineStr">
        <is>
          <t>member2, les-photo-1-3</t>
        </is>
      </c>
      <c r="L45" s="15" t="inlineStr">
        <is>
          <t>Breadcrumb 'Lớp học' quay lại danh sách; tiến độ '2/12 bài · 17%'; cột phải liệt kê 6 bài của module 1, bài đang xem có aria-current='page'; bấm bài 5 chuyển sang /courses/photo/community/lop-hoc/les-photo-1-5.</t>
        </is>
      </c>
      <c r="M45" s="15" t="inlineStr"/>
      <c r="N45" s="18" t="inlineStr">
        <is>
          <t>Chưa test</t>
        </is>
      </c>
      <c r="O45" s="15" t="inlineStr"/>
      <c r="P45" s="15" t="inlineStr"/>
      <c r="Q45" s="18" t="inlineStr">
        <is>
          <t>Chưa test</t>
        </is>
      </c>
      <c r="R45" s="15" t="inlineStr"/>
    </row>
    <row r="46" ht="30" customHeight="1">
      <c r="A46" s="14" t="inlineStr">
        <is>
          <t>TC-COURSE-045</t>
        </is>
      </c>
      <c r="B46" s="15" t="inlineStr">
        <is>
          <t>Khóa học / Lớp học</t>
        </is>
      </c>
      <c r="C46" s="15" t="inlineStr">
        <is>
          <t>Lớp học - Trang học (player)</t>
        </is>
      </c>
      <c r="D46" s="15" t="inlineStr">
        <is>
          <t>Bài học không tồn tại: 404 và màn 'Không mở được bài học'</t>
        </is>
      </c>
      <c r="E46" s="15" t="inlineStr">
        <is>
          <t>Chức năng</t>
        </is>
      </c>
      <c r="F46" s="20" t="inlineStr">
        <is>
          <t>Trung bình</t>
        </is>
      </c>
      <c r="G46" s="17" t="inlineStr">
        <is>
          <t>Đã hoàn thiện</t>
        </is>
      </c>
      <c r="H46" s="17" t="inlineStr">
        <is>
          <t>Có</t>
        </is>
      </c>
      <c r="I46" s="15" t="inlineStr">
        <is>
          <t>Tiền điều kiện chung: đã `db:seed`, BE :4000, FE :5173; mật khẩu mọi tài khoản seed = Passw0rd!x. Đăng nhập member1.</t>
        </is>
      </c>
      <c r="J46" s="15" t="inlineStr">
        <is>
          <t>1. GET /api/courses/photo/lessons/les-photo-9-9
2. Mở UI /courses/photo/community/lop-hoc/les-photo-9-9</t>
        </is>
      </c>
      <c r="K46" s="15" t="inlineStr">
        <is>
          <t>lessonId=les-photo-9-9</t>
        </is>
      </c>
      <c r="L46" s="15" t="inlineStr">
        <is>
          <t>API: 404 NOT_FOUND 'Không tìm thấy bài học'. UI: tiêu đề 'Không mở được bài học', nội dung 'Bài học không tồn tại hoặc bạn không có quyền xem.' và nút 'Về danh sách lớp học'.</t>
        </is>
      </c>
      <c r="M46" s="15" t="inlineStr"/>
      <c r="N46" s="18" t="inlineStr">
        <is>
          <t>Chưa test</t>
        </is>
      </c>
      <c r="O46" s="15" t="inlineStr"/>
      <c r="P46" s="15" t="inlineStr"/>
      <c r="Q46" s="18" t="inlineStr">
        <is>
          <t>Chưa test</t>
        </is>
      </c>
      <c r="R46" s="15" t="inlineStr"/>
    </row>
    <row r="47" ht="45" customHeight="1">
      <c r="A47" s="14" t="inlineStr">
        <is>
          <t>TC-COURSE-046</t>
        </is>
      </c>
      <c r="B47" s="15" t="inlineStr">
        <is>
          <t>Khóa học / Lớp học</t>
        </is>
      </c>
      <c r="C47" s="15" t="inlineStr">
        <is>
          <t>Lớp học - Trang học (player)</t>
        </is>
      </c>
      <c r="D47" s="15" t="inlineStr">
        <is>
          <t>IDOR chéo khóa: dùng id bài của cộng đồng khác qua URL photo trả 404</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(thuộc cả photo và yt). Bài les-yt-1-1 thuộc yt.</t>
        </is>
      </c>
      <c r="J47" s="15" t="inlineStr">
        <is>
          <t>1. GET /api/courses/photo/lessons/les-yt-1-1
2. POST /api/courses/photo/lessons/les-yt-1-1/complete
3. GET /api/courses/photo/modules/mod-yt-1/lessons</t>
        </is>
      </c>
      <c r="K47" s="15" t="inlineStr">
        <is>
          <t>les-yt-1-1, mod-yt-1 qua courseId=photo</t>
        </is>
      </c>
      <c r="L47" s="15" t="inlineStr">
        <is>
          <t>Cả 3 trả 404 NOT_FOUND ('Không tìm thấy bài học' / 'Không tìm thấy module'); không tạo LessonProgress cho yt qua URL photo.</t>
        </is>
      </c>
      <c r="M47" s="15" t="inlineStr"/>
      <c r="N47" s="18" t="inlineStr">
        <is>
          <t>Chưa test</t>
        </is>
      </c>
      <c r="O47" s="15" t="inlineStr"/>
      <c r="P47" s="15" t="inlineStr"/>
      <c r="Q47" s="18" t="inlineStr">
        <is>
          <t>Chưa test</t>
        </is>
      </c>
      <c r="R47" s="15" t="inlineStr"/>
    </row>
    <row r="48" ht="45" customHeight="1">
      <c r="A48" s="14" t="inlineStr">
        <is>
          <t>TC-COURSE-047</t>
        </is>
      </c>
      <c r="B48" s="15" t="inlineStr">
        <is>
          <t>Khóa học / Lớp học</t>
        </is>
      </c>
      <c r="C48" s="15" t="inlineStr">
        <is>
          <t>Lớp học - Đánh dấu hoàn thành</t>
        </is>
      </c>
      <c r="D48" s="15" t="inlineStr">
        <is>
          <t>member2 hoàn thành bài 3: completed true, module 1 lên 50%, tổng 25%</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member2 (2/6 module 1). Khôi phục sau test: gọi lại POST complete để bỏ đánh dấu.</t>
        </is>
      </c>
      <c r="J48" s="15" t="inlineStr">
        <is>
          <t>1. POST /api/courses/photo/lessons/les-photo-1-3/complete
2. GET /api/courses/photo/modules
3. GET /api/courses/photo/progress</t>
        </is>
      </c>
      <c r="K48" s="15" t="inlineStr">
        <is>
          <t>lessonId=les-photo-1-3</t>
        </is>
      </c>
      <c r="L48" s="15" t="inlineStr">
        <is>
          <t>POST 200 { data: { completed: true } }. Module 1: completedCount 3, pct 50. Progress: completedLessons 3, percent 25, lastLessonId 'les-photo-1-3', nextLesson 'les-photo-1-4'.</t>
        </is>
      </c>
      <c r="M48" s="15" t="inlineStr"/>
      <c r="N48" s="18" t="inlineStr">
        <is>
          <t>Chưa test</t>
        </is>
      </c>
      <c r="O48" s="15" t="inlineStr"/>
      <c r="P48" s="15" t="inlineStr"/>
      <c r="Q48" s="18" t="inlineStr">
        <is>
          <t>Chưa test</t>
        </is>
      </c>
      <c r="R48" s="15" t="inlineStr"/>
    </row>
    <row r="49" ht="30" customHeight="1">
      <c r="A49" s="14" t="inlineStr">
        <is>
          <t>TC-COURSE-048</t>
        </is>
      </c>
      <c r="B49" s="15" t="inlineStr">
        <is>
          <t>Khóa học / Lớp học</t>
        </is>
      </c>
      <c r="C49" s="15" t="inlineStr">
        <is>
          <t>Lớp học - Đánh dấu hoàn thành</t>
        </is>
      </c>
      <c r="D49" s="15" t="inlineStr">
        <is>
          <t>Bấm lần 2 là bỏ hoàn thành (toggle) và % quay lại như cũ</t>
        </is>
      </c>
      <c r="E49" s="15" t="inlineStr">
        <is>
          <t>Chức năng</t>
        </is>
      </c>
      <c r="F49" s="16" t="inlineStr">
        <is>
          <t>Cao</t>
        </is>
      </c>
      <c r="G49" s="17" t="inlineStr">
        <is>
          <t>Đã hoàn thiện</t>
        </is>
      </c>
      <c r="H49" s="17" t="inlineStr">
        <is>
          <t>Có</t>
        </is>
      </c>
      <c r="I49" s="15" t="inlineStr">
        <is>
          <t>Tiền điều kiện chung: đã `db:seed`, BE :4000, FE :5173; mật khẩu mọi tài khoản seed = Passw0rd!x. Tiếp nối case trước: member2 vừa hoàn thành les-photo-1-3.</t>
        </is>
      </c>
      <c r="J49" s="15" t="inlineStr">
        <is>
          <t>1. POST complete les-photo-1-3 lần nữa
2. GET /api/courses/photo/progress</t>
        </is>
      </c>
      <c r="K49" s="15" t="inlineStr">
        <is>
          <t>lessonId=les-photo-1-3</t>
        </is>
      </c>
      <c r="L49" s="15" t="inlineStr">
        <is>
          <t>200 { completed: false }; completedLessons 2, percent 17; bài hiển thị completed=false trong GET .../lessons.</t>
        </is>
      </c>
      <c r="M49" s="15" t="inlineStr"/>
      <c r="N49" s="18" t="inlineStr">
        <is>
          <t>Chưa test</t>
        </is>
      </c>
      <c r="O49" s="15" t="inlineStr"/>
      <c r="P49" s="15" t="inlineStr"/>
      <c r="Q49" s="18" t="inlineStr">
        <is>
          <t>Chưa test</t>
        </is>
      </c>
      <c r="R49" s="15" t="inlineStr"/>
    </row>
    <row r="50" ht="45" customHeight="1">
      <c r="A50" s="14" t="inlineStr">
        <is>
          <t>TC-COURSE-049</t>
        </is>
      </c>
      <c r="B50" s="15" t="inlineStr">
        <is>
          <t>Khóa học / Lớp học</t>
        </is>
      </c>
      <c r="C50" s="15" t="inlineStr">
        <is>
          <t>Lớp học - Đánh dấu hoàn thành</t>
        </is>
      </c>
      <c r="D50" s="15" t="inlineStr">
        <is>
          <t>Hoàn thành bài lần đầu cộng +3 điểm lesson_complete cho cộng đồng photo</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member3 (photo, tổng điểm seed 6, chưa hoàn thành bài nào). Điểm một bài = +3 (giá trị tạm, xem points.types).</t>
        </is>
      </c>
      <c r="J50" s="15" t="inlineStr">
        <is>
          <t>1. Mở tab Xếp hạng (/courses/photo/community/xep-hang) ghi điểm all-time của member3, hoặc GET /api/courses/photo/leaderboard?window=all
2. POST /api/courses/photo/lessons/les-photo-1-1/complete
3. Đọc lại điểm</t>
        </is>
      </c>
      <c r="K50" s="15" t="inlineStr">
        <is>
          <t>member3, les-photo-1-1</t>
        </is>
      </c>
      <c r="L50" s="15" t="inlineStr">
        <is>
          <t>Điểm all-time của member3 ở photo tăng đúng 3 (6 -&gt; 9). Không ảnh hưởng điểm ở cộng đồng khác.</t>
        </is>
      </c>
      <c r="M50" s="15" t="inlineStr"/>
      <c r="N50" s="18" t="inlineStr">
        <is>
          <t>Chưa test</t>
        </is>
      </c>
      <c r="O50" s="15" t="inlineStr"/>
      <c r="P50" s="15" t="inlineStr"/>
      <c r="Q50" s="18" t="inlineStr">
        <is>
          <t>Chưa test</t>
        </is>
      </c>
      <c r="R50" s="15" t="inlineStr"/>
    </row>
    <row r="51" ht="45" customHeight="1">
      <c r="A51" s="14" t="inlineStr">
        <is>
          <t>TC-COURSE-050</t>
        </is>
      </c>
      <c r="B51" s="15" t="inlineStr">
        <is>
          <t>Khóa học / Lớp học</t>
        </is>
      </c>
      <c r="C51" s="15" t="inlineStr">
        <is>
          <t>Lớp học - Đánh dấu hoàn thành</t>
        </is>
      </c>
      <c r="D51" s="15" t="inlineStr">
        <is>
          <t>Bỏ hoàn thành rồi hoàn thành lại cùng một bài không cộng điểm lần 2</t>
        </is>
      </c>
      <c r="E51" s="15" t="inlineStr">
        <is>
          <t>Chức năng</t>
        </is>
      </c>
      <c r="F51" s="16" t="inlineStr">
        <is>
          <t>Cao</t>
        </is>
      </c>
      <c r="G51" s="17" t="inlineStr">
        <is>
          <t>Đã hoàn thiện</t>
        </is>
      </c>
      <c r="H51" s="17" t="inlineStr">
        <is>
          <t>Có</t>
        </is>
      </c>
      <c r="I51" s="15" t="inlineStr">
        <is>
          <t>Tiền điều kiện chung: đã `db:seed`, BE :4000, FE :5173; mật khẩu mọi tài khoản seed = Passw0rd!x. Tiếp nối case trước: member3 đã hoàn thành les-photo-1-1 (đã nhận +3).</t>
        </is>
      </c>
      <c r="J51" s="15" t="inlineStr">
        <is>
          <t>1. POST complete les-photo-1-1 (bỏ)
2. POST complete les-photo-1-1 (hoàn thành lại)
3. Đọc điểm all-time của member3</t>
        </is>
      </c>
      <c r="K51" s="15" t="inlineStr">
        <is>
          <t>member3, les-photo-1-1 (3 lần toggle)</t>
        </is>
      </c>
      <c r="L51" s="15" t="inlineStr">
        <is>
          <t>Trạng thái cuối completed true nhưng điểm vẫn 9 (chỉ cộng 1 lần cho mỗi cặp user+bài; điểm KHÔNG bị trừ khi bỏ hoàn thành).</t>
        </is>
      </c>
      <c r="M51" s="15" t="inlineStr"/>
      <c r="N51" s="18" t="inlineStr">
        <is>
          <t>Chưa test</t>
        </is>
      </c>
      <c r="O51" s="15" t="inlineStr"/>
      <c r="P51" s="15" t="inlineStr"/>
      <c r="Q51" s="18" t="inlineStr">
        <is>
          <t>Chưa test</t>
        </is>
      </c>
      <c r="R51" s="15" t="inlineStr"/>
    </row>
    <row r="52" ht="30" customHeight="1">
      <c r="A52" s="14" t="inlineStr">
        <is>
          <t>TC-COURSE-051</t>
        </is>
      </c>
      <c r="B52" s="15" t="inlineStr">
        <is>
          <t>Khóa học / Lớp học</t>
        </is>
      </c>
      <c r="C52" s="15" t="inlineStr">
        <is>
          <t>Lớp học - Đánh dấu hoàn thành</t>
        </is>
      </c>
      <c r="D52" s="15" t="inlineStr">
        <is>
          <t>5 request hoàn thành song song cùng một bài chỉ cộng điểm 1 lần</t>
        </is>
      </c>
      <c r="E52" s="15" t="inlineStr">
        <is>
          <t>Bảo mật</t>
        </is>
      </c>
      <c r="F52" s="16" t="inlineStr">
        <is>
          <t>Cao</t>
        </is>
      </c>
      <c r="G52" s="17" t="inlineStr">
        <is>
          <t>Đã hoàn thiện</t>
        </is>
      </c>
      <c r="H52" s="17" t="inlineStr">
        <is>
          <t>Có</t>
        </is>
      </c>
      <c r="I52" s="15" t="inlineStr">
        <is>
          <t>Tiền điều kiện chung: đã `db:seed`, BE :4000, FE :5173; mật khẩu mọi tài khoản seed = Passw0rd!x. Đăng nhập member3, chọn bài chưa từng làm (les-photo-1-2); ghi điểm trước.</t>
        </is>
      </c>
      <c r="J52" s="15" t="inlineStr">
        <is>
          <t>1. Promise.all 5 x POST /api/courses/photo/lessons/les-photo-1-2/complete
2. Đọc điểm all-time và trạng thái bài</t>
        </is>
      </c>
      <c r="K52" s="15" t="inlineStr">
        <is>
          <t>5 request đồng thời</t>
        </is>
      </c>
      <c r="L52" s="15" t="inlineStr">
        <is>
          <t>Tất cả 200; điểm tăng đúng +3 (INSERT ... ON CONFLICT: chỉ một request nhận firstTime). Trạng thái cuối theo số lần toggle (5 lần -&gt; completed true). Không có 500.</t>
        </is>
      </c>
      <c r="M52" s="15" t="inlineStr"/>
      <c r="N52" s="18" t="inlineStr">
        <is>
          <t>Chưa test</t>
        </is>
      </c>
      <c r="O52" s="15" t="inlineStr"/>
      <c r="P52" s="15" t="inlineStr"/>
      <c r="Q52" s="18" t="inlineStr">
        <is>
          <t>Chưa test</t>
        </is>
      </c>
      <c r="R52" s="15" t="inlineStr"/>
    </row>
    <row r="53" ht="60" customHeight="1">
      <c r="A53" s="14" t="inlineStr">
        <is>
          <t>TC-COURSE-052</t>
        </is>
      </c>
      <c r="B53" s="15" t="inlineStr">
        <is>
          <t>Khóa học / Lớp học</t>
        </is>
      </c>
      <c r="C53" s="15" t="inlineStr">
        <is>
          <t>Lớp học - Đánh dấu hoàn thành</t>
        </is>
      </c>
      <c r="D53" s="15" t="inlineStr">
        <is>
          <t>Bỏ hoàn thành bài của module 1 khiến module 2 khóa lại (tính lại ở server)</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member1 (module 1 xong 100%, module 2 mở). Khôi phục bằng POST complete lần nữa.</t>
        </is>
      </c>
      <c r="J53" s="15" t="inlineStr">
        <is>
          <t>1. POST complete les-photo-1-6 (bỏ hoàn thành)
2. GET /api/courses/photo/modules
3. GET /api/courses/photo/lessons/les-photo-2-1
4. POST lại complete les-photo-1-6</t>
        </is>
      </c>
      <c r="K53" s="15" t="inlineStr">
        <is>
          <t>lessonId=les-photo-1-6</t>
        </is>
      </c>
      <c r="L53"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53" s="15" t="inlineStr"/>
      <c r="N53" s="18" t="inlineStr">
        <is>
          <t>Chưa test</t>
        </is>
      </c>
      <c r="O53" s="15" t="inlineStr"/>
      <c r="P53" s="15" t="inlineStr"/>
      <c r="Q53" s="18" t="inlineStr">
        <is>
          <t>Chưa test</t>
        </is>
      </c>
      <c r="R53" s="15" t="inlineStr"/>
    </row>
    <row r="54" ht="45" customHeight="1">
      <c r="A54" s="14" t="inlineStr">
        <is>
          <t>TC-COURSE-053</t>
        </is>
      </c>
      <c r="B54" s="15" t="inlineStr">
        <is>
          <t>Khóa học / Lớp học</t>
        </is>
      </c>
      <c r="C54" s="15" t="inlineStr">
        <is>
          <t>Lớp học - Đánh dấu hoàn thành</t>
        </is>
      </c>
      <c r="D54" s="15" t="inlineStr">
        <is>
          <t>Hoàn thành hết 6 bài module 1 sẽ mở khóa module 2</t>
        </is>
      </c>
      <c r="E54" s="15" t="inlineStr">
        <is>
          <t>Chức năng</t>
        </is>
      </c>
      <c r="F54" s="16" t="inlineStr">
        <is>
          <t>Cao</t>
        </is>
      </c>
      <c r="G54" s="17" t="inlineStr">
        <is>
          <t>Đã hoàn thiện</t>
        </is>
      </c>
      <c r="H54" s="17" t="inlineStr">
        <is>
          <t>Có</t>
        </is>
      </c>
      <c r="I54" s="15" t="inlineStr">
        <is>
          <t>Tiền điều kiện chung: đã `db:seed`, BE :4000, FE :5173; mật khẩu mọi tài khoản seed = Passw0rd!x. Đăng nhập member2 (đang 2/6). Cần dọn lại tiến độ sau test.</t>
        </is>
      </c>
      <c r="J54" s="15" t="inlineStr">
        <is>
          <t>1. POST complete lần lượt les-photo-1-3 .. les-photo-1-6
2. GET /api/courses/photo/modules
3. GET /api/courses/photo/modules/mod-photo-2/lessons</t>
        </is>
      </c>
      <c r="K54" s="15" t="inlineStr">
        <is>
          <t>4 bài còn lại của module 1</t>
        </is>
      </c>
      <c r="L54" s="15" t="inlineStr">
        <is>
          <t>Module 1 pct 100 (6/6); module 2 locked false, lockReason null; GET lessons của mod-photo-2 trả 200 với 6 bài (completed false). Điểm tăng +12 (4 x 3) so với trước.</t>
        </is>
      </c>
      <c r="M54" s="15" t="inlineStr"/>
      <c r="N54" s="18" t="inlineStr">
        <is>
          <t>Chưa test</t>
        </is>
      </c>
      <c r="O54" s="15" t="inlineStr"/>
      <c r="P54" s="15" t="inlineStr"/>
      <c r="Q54" s="18" t="inlineStr">
        <is>
          <t>Chưa test</t>
        </is>
      </c>
      <c r="R54" s="15" t="inlineStr"/>
    </row>
    <row r="55" ht="60" customHeight="1">
      <c r="A55" s="14" t="inlineStr">
        <is>
          <t>TC-COURSE-054</t>
        </is>
      </c>
      <c r="B55" s="15" t="inlineStr">
        <is>
          <t>Khóa học / Lớp học</t>
        </is>
      </c>
      <c r="C55" s="15" t="inlineStr">
        <is>
          <t>Lớp học - Đánh dấu hoàn thành</t>
        </is>
      </c>
      <c r="D55" s="15" t="inlineStr">
        <is>
          <t>UI trang học: nút Hoàn thành / Bỏ hoàn thành, toast và thẻ xác nhận</t>
        </is>
      </c>
      <c r="E55" s="15" t="inlineStr">
        <is>
          <t>Giao diện</t>
        </is>
      </c>
      <c r="F55" s="16" t="inlineStr">
        <is>
          <t>Cao</t>
        </is>
      </c>
      <c r="G55" s="17" t="inlineStr">
        <is>
          <t>Đã hoàn thiện</t>
        </is>
      </c>
      <c r="H55" s="17" t="inlineStr">
        <is>
          <t>Có</t>
        </is>
      </c>
      <c r="I55" s="15" t="inlineStr">
        <is>
          <t>Tiền điều kiện chung: đã `db:seed`, BE :4000, FE :5173; mật khẩu mọi tài khoản seed = Passw0rd!x. Đăng nhập member3 (chưa xong les-photo-1-3).</t>
        </is>
      </c>
      <c r="J55" s="15" t="inlineStr">
        <is>
          <t>1. Mở UI /courses/photo/community/lop-hoc/les-photo-1-3
2. Bấm 'Hoàn thành'
3. Quan sát toast, khối 'Bạn đã hoàn thành bài này', thanh tiến độ
4. Bấm 'Bỏ hoàn thành'</t>
        </is>
      </c>
      <c r="K55" s="15" t="inlineStr">
        <is>
          <t>member3, les-photo-1-3</t>
        </is>
      </c>
      <c r="L55"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55" s="15" t="inlineStr"/>
      <c r="N55" s="18" t="inlineStr">
        <is>
          <t>Chưa test</t>
        </is>
      </c>
      <c r="O55" s="15" t="inlineStr"/>
      <c r="P55" s="15" t="inlineStr"/>
      <c r="Q55" s="18" t="inlineStr">
        <is>
          <t>Chưa test</t>
        </is>
      </c>
      <c r="R55" s="15" t="inlineStr"/>
    </row>
    <row r="56" ht="45" customHeight="1">
      <c r="A56" s="14" t="inlineStr">
        <is>
          <t>TC-COURSE-055</t>
        </is>
      </c>
      <c r="B56" s="15" t="inlineStr">
        <is>
          <t>Khóa học / Lớp học</t>
        </is>
      </c>
      <c r="C56" s="15" t="inlineStr">
        <is>
          <t>Lớp học - Đánh dấu hoàn thành</t>
        </is>
      </c>
      <c r="D56" s="15" t="inlineStr">
        <is>
          <t>Đánh dấu nhanh ở danh sách bài của thẻ module (checkbox tròn)</t>
        </is>
      </c>
      <c r="E56" s="15" t="inlineStr">
        <is>
          <t>Giao diện</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member3.</t>
        </is>
      </c>
      <c r="J56" s="15" t="inlineStr">
        <is>
          <t>1. Mở /courses/photo/community/lop-hoc và bấm mũi tên 'Mở Chào mừng &amp; Lộ trình'
2. Bấm nút 'Đánh dấu hoàn thành: &lt;tiêu đề bài 1&gt;'
3. Bấm biểu tượng play 'Học bài &lt;tiêu đề&gt;'</t>
        </is>
      </c>
      <c r="K56" s="15" t="inlineStr">
        <is>
          <t>module mod-photo-1</t>
        </is>
      </c>
      <c r="L56" s="15" t="inlineStr">
        <is>
          <t>Checkbox đổi sang trạng thái xong (aria-label 'Bỏ hoàn thành: ...'), % module cập nhật ngay; bấm play chuyển sang trang học của bài đó.</t>
        </is>
      </c>
      <c r="M56" s="15" t="inlineStr"/>
      <c r="N56" s="18" t="inlineStr">
        <is>
          <t>Chưa test</t>
        </is>
      </c>
      <c r="O56" s="15" t="inlineStr"/>
      <c r="P56" s="15" t="inlineStr"/>
      <c r="Q56" s="18" t="inlineStr">
        <is>
          <t>Chưa test</t>
        </is>
      </c>
      <c r="R56" s="15" t="inlineStr"/>
    </row>
    <row r="57" ht="30" customHeight="1">
      <c r="A57" s="14" t="inlineStr">
        <is>
          <t>TC-COURSE-056</t>
        </is>
      </c>
      <c r="B57" s="15" t="inlineStr">
        <is>
          <t>Khóa học / Lớp học</t>
        </is>
      </c>
      <c r="C57" s="15" t="inlineStr">
        <is>
          <t>Lớp học - Đánh dấu hoàn thành</t>
        </is>
      </c>
      <c r="D57" s="15" t="inlineStr">
        <is>
          <t>Hoàn thành bài không tồn tại trả 404, không tạo tiến độ</t>
        </is>
      </c>
      <c r="E57" s="15" t="inlineStr">
        <is>
          <t>Chức năng</t>
        </is>
      </c>
      <c r="F57" s="17" t="inlineStr">
        <is>
          <t>Thấp</t>
        </is>
      </c>
      <c r="G57" s="17" t="inlineStr">
        <is>
          <t>Đã hoàn thiện</t>
        </is>
      </c>
      <c r="H57" s="17" t="inlineStr">
        <is>
          <t>Có</t>
        </is>
      </c>
      <c r="I57" s="15" t="inlineStr">
        <is>
          <t>Tiền điều kiện chung: đã `db:seed`, BE :4000, FE :5173; mật khẩu mọi tài khoản seed = Passw0rd!x. Đăng nhập member1.</t>
        </is>
      </c>
      <c r="J57" s="15" t="inlineStr">
        <is>
          <t>1. POST /api/courses/photo/lessons/khong-co/complete</t>
        </is>
      </c>
      <c r="K57" s="15" t="inlineStr">
        <is>
          <t>lessonId=khong-co</t>
        </is>
      </c>
      <c r="L57" s="15" t="inlineStr">
        <is>
          <t>404 NOT_FOUND 'Không tìm thấy bài học'.</t>
        </is>
      </c>
      <c r="M57" s="15" t="inlineStr"/>
      <c r="N57" s="18" t="inlineStr">
        <is>
          <t>Chưa test</t>
        </is>
      </c>
      <c r="O57" s="15" t="inlineStr"/>
      <c r="P57" s="15" t="inlineStr"/>
      <c r="Q57" s="18" t="inlineStr">
        <is>
          <t>Chưa test</t>
        </is>
      </c>
      <c r="R57" s="15" t="inlineStr"/>
    </row>
    <row r="58" ht="30" customHeight="1">
      <c r="A58" s="14" t="inlineStr">
        <is>
          <t>TC-COURSE-057</t>
        </is>
      </c>
      <c r="B58" s="15" t="inlineStr">
        <is>
          <t>Khóa học / Lớp học</t>
        </is>
      </c>
      <c r="C58" s="15" t="inlineStr">
        <is>
          <t>Lớp học - Khóa module &amp; cấp độ</t>
        </is>
      </c>
      <c r="D58" s="15" t="inlineStr">
        <is>
          <t>member3 mở danh sách bài của module 2 đang khóa -&gt; MODULE_LOCKED</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member3 (module 1 chưa xong).</t>
        </is>
      </c>
      <c r="J58" s="15" t="inlineStr">
        <is>
          <t>1. GET /api/courses/photo/modules/mod-photo-2/lessons</t>
        </is>
      </c>
      <c r="K58" s="15" t="inlineStr">
        <is>
          <t>moduleId=mod-photo-2</t>
        </is>
      </c>
      <c r="L58" s="15" t="inlineStr">
        <is>
          <t>403 error.code MODULE_LOCKED, message 'Module này đang bị khóa. Hãy hoàn thành module trước đó hoặc đạt đủ cấp độ yêu cầu'.</t>
        </is>
      </c>
      <c r="M58" s="15" t="inlineStr"/>
      <c r="N58" s="18" t="inlineStr">
        <is>
          <t>Chưa test</t>
        </is>
      </c>
      <c r="O58" s="15" t="inlineStr"/>
      <c r="P58" s="15" t="inlineStr"/>
      <c r="Q58" s="18" t="inlineStr">
        <is>
          <t>Chưa test</t>
        </is>
      </c>
      <c r="R58" s="15" t="inlineStr"/>
    </row>
    <row r="59" ht="30" customHeight="1">
      <c r="A59" s="14" t="inlineStr">
        <is>
          <t>TC-COURSE-058</t>
        </is>
      </c>
      <c r="B59" s="15" t="inlineStr">
        <is>
          <t>Khóa học / Lớp học</t>
        </is>
      </c>
      <c r="C59" s="15" t="inlineStr">
        <is>
          <t>Lớp học - Khóa module &amp; cấp độ</t>
        </is>
      </c>
      <c r="D59" s="15" t="inlineStr">
        <is>
          <t>member2 mở chi tiết bài của module khóa (dán URL) -&gt; MODULE_LOCKED</t>
        </is>
      </c>
      <c r="E59" s="15" t="inlineStr">
        <is>
          <t>Bảo mật</t>
        </is>
      </c>
      <c r="F59" s="16" t="inlineStr">
        <is>
          <t>Cao</t>
        </is>
      </c>
      <c r="G59" s="17" t="inlineStr">
        <is>
          <t>Đã hoàn thiện</t>
        </is>
      </c>
      <c r="H59" s="17" t="inlineStr">
        <is>
          <t>Có</t>
        </is>
      </c>
      <c r="I59" s="15" t="inlineStr">
        <is>
          <t>Tiền điều kiện chung: đã `db:seed`, BE :4000, FE :5173; mật khẩu mọi tài khoản seed = Passw0rd!x. Đăng nhập member2.</t>
        </is>
      </c>
      <c r="J59" s="15" t="inlineStr">
        <is>
          <t>1. GET /api/courses/photo/lessons/les-photo-2-1
2. Mở UI /courses/photo/community/lop-hoc/les-photo-2-1</t>
        </is>
      </c>
      <c r="K59" s="15" t="inlineStr">
        <is>
          <t>lessonId=les-photo-2-1</t>
        </is>
      </c>
      <c r="L59"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59" s="15" t="inlineStr"/>
      <c r="N59" s="18" t="inlineStr">
        <is>
          <t>Chưa test</t>
        </is>
      </c>
      <c r="O59" s="15" t="inlineStr"/>
      <c r="P59" s="15" t="inlineStr"/>
      <c r="Q59" s="18" t="inlineStr">
        <is>
          <t>Chưa test</t>
        </is>
      </c>
      <c r="R59" s="15" t="inlineStr"/>
    </row>
    <row r="60" ht="30" customHeight="1">
      <c r="A60" s="14" t="inlineStr">
        <is>
          <t>TC-COURSE-059</t>
        </is>
      </c>
      <c r="B60" s="15" t="inlineStr">
        <is>
          <t>Khóa học / Lớp học</t>
        </is>
      </c>
      <c r="C60" s="15" t="inlineStr">
        <is>
          <t>Lớp học - Khóa module &amp; cấp độ</t>
        </is>
      </c>
      <c r="D60" s="15" t="inlineStr">
        <is>
          <t>Không đánh dấu hoàn thành được bài của module khóa (không tin FE)</t>
        </is>
      </c>
      <c r="E60" s="15" t="inlineStr">
        <is>
          <t>Bảo mật</t>
        </is>
      </c>
      <c r="F60" s="16" t="inlineStr">
        <is>
          <t>Cao</t>
        </is>
      </c>
      <c r="G60" s="17" t="inlineStr">
        <is>
          <t>Đã hoàn thiện</t>
        </is>
      </c>
      <c r="H60" s="17" t="inlineStr">
        <is>
          <t>Có</t>
        </is>
      </c>
      <c r="I60" s="15" t="inlineStr">
        <is>
          <t>Tiền điều kiện chung: đã `db:seed`, BE :4000, FE :5173; mật khẩu mọi tài khoản seed = Passw0rd!x. Đăng nhập member3.</t>
        </is>
      </c>
      <c r="J60" s="15" t="inlineStr">
        <is>
          <t>1. POST /api/courses/photo/lessons/les-photo-2-1/complete
2. GET /api/courses/photo/progress</t>
        </is>
      </c>
      <c r="K60" s="15" t="inlineStr">
        <is>
          <t>lessonId=les-photo-2-1</t>
        </is>
      </c>
      <c r="L60" s="15" t="inlineStr">
        <is>
          <t>403 MODULE_LOCKED 'Module này đang bị khóa. Hãy hoàn thành module trước đó hoặc đạt đủ cấp độ yêu cầu'; completedLessons/điểm của member3 không đổi.</t>
        </is>
      </c>
      <c r="M60" s="15" t="inlineStr"/>
      <c r="N60" s="18" t="inlineStr">
        <is>
          <t>Chưa test</t>
        </is>
      </c>
      <c r="O60" s="15" t="inlineStr"/>
      <c r="P60" s="15" t="inlineStr"/>
      <c r="Q60" s="18" t="inlineStr">
        <is>
          <t>Chưa test</t>
        </is>
      </c>
      <c r="R60" s="15" t="inlineStr"/>
    </row>
    <row r="61" ht="30" customHeight="1">
      <c r="A61" s="14" t="inlineStr">
        <is>
          <t>TC-COURSE-060</t>
        </is>
      </c>
      <c r="B61" s="15" t="inlineStr">
        <is>
          <t>Khóa học / Lớp học</t>
        </is>
      </c>
      <c r="C61" s="15" t="inlineStr">
        <is>
          <t>Lớp học - Khóa module &amp; cấp độ</t>
        </is>
      </c>
      <c r="D61" s="15" t="inlineStr">
        <is>
          <t>Khóa theo cấp độ ở yt: module 2 requiredLevel=2, lockReason 'level'</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61" s="15" t="inlineStr">
        <is>
          <t>1. GET /api/courses/yt/modules
2. Mở UI /courses/yt/community/lop-hoc</t>
        </is>
      </c>
      <c r="K61" s="15" t="inlineStr">
        <is>
          <t>courseId=yt</t>
        </is>
      </c>
      <c r="L61" s="15" t="inlineStr">
        <is>
          <t>m1: pct 100, locked false. m2 (mod-yt-2): locked true, requiredLevel 2, lockReason 'level' (module trước đã xong nên là khóa cấp độ). m3: locked true, lockReason 'previous_module'. UI thẻ module 2 hiện 'Cần đạt Cấp độ 2'.</t>
        </is>
      </c>
      <c r="M61" s="15" t="inlineStr"/>
      <c r="N61" s="18" t="inlineStr">
        <is>
          <t>Chưa test</t>
        </is>
      </c>
      <c r="O61" s="15" t="inlineStr"/>
      <c r="P61" s="15" t="inlineStr"/>
      <c r="Q61" s="18" t="inlineStr">
        <is>
          <t>Chưa test</t>
        </is>
      </c>
      <c r="R61" s="15" t="inlineStr"/>
    </row>
    <row r="62" ht="45" customHeight="1">
      <c r="A62" s="14" t="inlineStr">
        <is>
          <t>TC-COURSE-061</t>
        </is>
      </c>
      <c r="B62" s="15" t="inlineStr">
        <is>
          <t>Khóa học / Lớp học</t>
        </is>
      </c>
      <c r="C62" s="15" t="inlineStr">
        <is>
          <t>Lớp học - Khóa module &amp; cấp độ</t>
        </is>
      </c>
      <c r="D62" s="15" t="inlineStr">
        <is>
          <t>Mở bài của module khóa theo cấp độ -&gt; MODULE_LOCKED</t>
        </is>
      </c>
      <c r="E62" s="15" t="inlineStr">
        <is>
          <t>Bảo mật</t>
        </is>
      </c>
      <c r="F62" s="16" t="inlineStr">
        <is>
          <t>Cao</t>
        </is>
      </c>
      <c r="G62" s="17" t="inlineStr">
        <is>
          <t>Đã hoàn thiện</t>
        </is>
      </c>
      <c r="H62" s="17" t="inlineStr">
        <is>
          <t>Có</t>
        </is>
      </c>
      <c r="I62" s="15" t="inlineStr">
        <is>
          <t>Tiền điều kiện chung: đã `db:seed`, BE :4000, FE :5173; mật khẩu mọi tài khoản seed = Passw0rd!x. Đăng nhập member1 (yt, 0 điểm).</t>
        </is>
      </c>
      <c r="J62" s="15" t="inlineStr">
        <is>
          <t>1. GET /api/courses/yt/modules/mod-yt-2/lessons
2. GET /api/courses/yt/lessons/les-yt-2-1
3. POST /api/courses/yt/lessons/les-yt-2-1/complete</t>
        </is>
      </c>
      <c r="K62" s="15" t="inlineStr">
        <is>
          <t>mod-yt-2 / les-yt-2-1</t>
        </is>
      </c>
      <c r="L62" s="15" t="inlineStr">
        <is>
          <t>Cả 3 trả 403 MODULE_LOCKED 'Module này đang bị khóa. Hãy hoàn thành module trước đó hoặc đạt đủ cấp độ yêu cầu'. UI dán URL bài trả màn 'Module này đang bị khóa'.</t>
        </is>
      </c>
      <c r="M62" s="15" t="inlineStr"/>
      <c r="N62" s="18" t="inlineStr">
        <is>
          <t>Chưa test</t>
        </is>
      </c>
      <c r="O62" s="15" t="inlineStr"/>
      <c r="P62" s="15" t="inlineStr"/>
      <c r="Q62" s="18" t="inlineStr">
        <is>
          <t>Chưa test</t>
        </is>
      </c>
      <c r="R62" s="15" t="inlineStr"/>
    </row>
    <row r="63" ht="45" customHeight="1">
      <c r="A63" s="14" t="inlineStr">
        <is>
          <t>TC-COURSE-062</t>
        </is>
      </c>
      <c r="B63" s="15" t="inlineStr">
        <is>
          <t>Khóa học / Lớp học</t>
        </is>
      </c>
      <c r="C63" s="15" t="inlineStr">
        <is>
          <t>Lớp học - Khóa module &amp; cấp độ</t>
        </is>
      </c>
      <c r="D63" s="15" t="inlineStr">
        <is>
          <t>Biên cấp độ: 15 điểm (3 bài đăng) vẫn khóa, đủ 20 điểm mở khóa module 2 yt</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member1; điểm yt của member1 = 0 (kiểm tra). Ngưỡng cấp 2 = 20 điểm (giá trị tạm, points.levels), mỗi bài đăng +5.</t>
        </is>
      </c>
      <c r="J63" s="15" t="inlineStr">
        <is>
          <t>1. Đăng 3 bài ở yt (POST /api/courses/yt/posts) -&gt; 15 điểm; GET /api/courses/yt/modules
2. Đăng bài thứ 4 -&gt; 20 điểm; GET lại modules
3. GET /api/courses/yt/modules/mod-yt-2/lessons</t>
        </is>
      </c>
      <c r="K63" s="15" t="inlineStr">
        <is>
          <t>4 bài đăng, mỗi bài +5</t>
        </is>
      </c>
      <c r="L63"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63" s="15" t="inlineStr"/>
      <c r="N63" s="18" t="inlineStr">
        <is>
          <t>Chưa test</t>
        </is>
      </c>
      <c r="O63" s="15" t="inlineStr"/>
      <c r="P63" s="15" t="inlineStr"/>
      <c r="Q63" s="18" t="inlineStr">
        <is>
          <t>Chưa test</t>
        </is>
      </c>
      <c r="R63" s="15" t="inlineStr"/>
    </row>
    <row r="64" ht="45" customHeight="1">
      <c r="A64" s="14" t="inlineStr">
        <is>
          <t>TC-COURSE-063</t>
        </is>
      </c>
      <c r="B64" s="15" t="inlineStr">
        <is>
          <t>Khóa học / Lớp học</t>
        </is>
      </c>
      <c r="C64" s="15" t="inlineStr">
        <is>
          <t>Lớp học - Khóa module &amp; cấp độ</t>
        </is>
      </c>
      <c r="D64" s="15" t="inlineStr">
        <is>
          <t>Thứ tự ưu tiên lockReason khi vừa chưa xong module trước vừa thiếu cấp độ</t>
        </is>
      </c>
      <c r="E64" s="15" t="inlineStr">
        <is>
          <t>Chức năng</t>
        </is>
      </c>
      <c r="F64" s="20" t="inlineStr">
        <is>
          <t>Trung bình</t>
        </is>
      </c>
      <c r="G64" s="17" t="inlineStr">
        <is>
          <t>Đã hoàn thiện</t>
        </is>
      </c>
      <c r="H64" s="17" t="inlineStr">
        <is>
          <t>Có</t>
        </is>
      </c>
      <c r="I64"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64" s="15" t="inlineStr">
        <is>
          <t>1. mod: POST /api/courses/photo/modules {title:'Cấp 4', description:'x', requiredLevel:4}
2. member1: GET /api/courses/photo/modules
3. Xóa module thử</t>
        </is>
      </c>
      <c r="K64" s="15" t="inlineStr">
        <is>
          <t>requiredLevel=4</t>
        </is>
      </c>
      <c r="L64" s="15" t="inlineStr">
        <is>
          <t>Module 3: locked true, requiredLevel 4, lockReason 'previous_module' (ưu tiên khóa thứ tự hơn khóa cấp độ).</t>
        </is>
      </c>
      <c r="M64" s="15" t="inlineStr"/>
      <c r="N64" s="18" t="inlineStr">
        <is>
          <t>Chưa test</t>
        </is>
      </c>
      <c r="O64" s="15" t="inlineStr"/>
      <c r="P64" s="15" t="inlineStr"/>
      <c r="Q64" s="18" t="inlineStr">
        <is>
          <t>Chưa test</t>
        </is>
      </c>
      <c r="R64" s="15" t="inlineStr"/>
    </row>
    <row r="65" ht="45" customHeight="1">
      <c r="A65" s="14" t="inlineStr">
        <is>
          <t>TC-COURSE-064</t>
        </is>
      </c>
      <c r="B65" s="15" t="inlineStr">
        <is>
          <t>Khóa học / Lớp học</t>
        </is>
      </c>
      <c r="C65" s="15" t="inlineStr">
        <is>
          <t>Lớp học - Khóa module &amp; cấp độ</t>
        </is>
      </c>
      <c r="D65" s="15" t="inlineStr">
        <is>
          <t>Mod/admin/owner/platform admin không bao giờ bị khóa module</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lần lượt mod, cadmin, owner (photo). Module 2 photo đang khóa với member3.</t>
        </is>
      </c>
      <c r="J65" s="15" t="inlineStr">
        <is>
          <t>1. Mỗi vai trò gọi GET /api/courses/photo/modules
2. GET /api/courses/photo/modules/mod-photo-2/lessons
3. GET /api/courses/photo/lessons/les-photo-2-1</t>
        </is>
      </c>
      <c r="K65" s="15" t="inlineStr">
        <is>
          <t>mod, cadmin, owner</t>
        </is>
      </c>
      <c r="L65" s="15" t="inlineStr">
        <is>
          <t>Cả 3: module 2 locked false, lockReason null; GET lessons 200 (6 bài); chi tiết bài 200. Chuỗi khóa của member3 không đổi (vẫn locked).</t>
        </is>
      </c>
      <c r="M65" s="15" t="inlineStr"/>
      <c r="N65" s="18" t="inlineStr">
        <is>
          <t>Chưa test</t>
        </is>
      </c>
      <c r="O65" s="15" t="inlineStr"/>
      <c r="P65" s="15" t="inlineStr"/>
      <c r="Q65" s="18" t="inlineStr">
        <is>
          <t>Chưa test</t>
        </is>
      </c>
      <c r="R65" s="15" t="inlineStr"/>
    </row>
    <row r="66" ht="45" customHeight="1">
      <c r="A66" s="14" t="inlineStr">
        <is>
          <t>TC-COURSE-065</t>
        </is>
      </c>
      <c r="B66" s="15" t="inlineStr">
        <is>
          <t>Khóa học / Lớp học</t>
        </is>
      </c>
      <c r="C66" s="15" t="inlineStr">
        <is>
          <t>Lớp học - Khóa module &amp; cấp độ</t>
        </is>
      </c>
      <c r="D66" s="15" t="inlineStr">
        <is>
          <t>Platform admin chưa tham gia photo: đọc và ghi lớp học đều được (requireMembership cho qua)</t>
        </is>
      </c>
      <c r="E66" s="15" t="inlineStr">
        <is>
          <t>Bảo mật</t>
        </is>
      </c>
      <c r="F66" s="20" t="inlineStr">
        <is>
          <t>Trung bình</t>
        </is>
      </c>
      <c r="G66" s="17" t="inlineStr">
        <is>
          <t>Đã hoàn thiện</t>
        </is>
      </c>
      <c r="H66" s="17" t="inlineStr">
        <is>
          <t>Có</t>
        </is>
      </c>
      <c r="I66" s="15" t="inlineStr">
        <is>
          <t>Tiền điều kiện chung: đã `db:seed`, BE :4000, FE :5173; mật khẩu mọi tài khoản seed = Passw0rd!x. Đăng nhập admin@sofinhub.test (Platform Admin, không ghi danh ở photo).</t>
        </is>
      </c>
      <c r="J66" s="15" t="inlineStr">
        <is>
          <t>1. GET /api/courses/photo/modules
2. POST /api/courses/photo/modules {title:'PA', description:'x'}
3. Xóa module vừa tạo nếu thành công</t>
        </is>
      </c>
      <c r="K66" s="15" t="inlineStr">
        <is>
          <t>admin@sofinhub.test</t>
        </is>
      </c>
      <c r="L66"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66" s="15" t="inlineStr"/>
      <c r="N66" s="18" t="inlineStr">
        <is>
          <t>Chưa test</t>
        </is>
      </c>
      <c r="O66" s="15" t="inlineStr"/>
      <c r="P66" s="15" t="inlineStr"/>
      <c r="Q66" s="18" t="inlineStr">
        <is>
          <t>Chưa test</t>
        </is>
      </c>
      <c r="R66" s="15" t="inlineStr"/>
    </row>
    <row r="67" ht="30" customHeight="1">
      <c r="A67" s="14" t="inlineStr">
        <is>
          <t>TC-COURSE-066</t>
        </is>
      </c>
      <c r="B67" s="15" t="inlineStr">
        <is>
          <t>Khóa học / Lớp học</t>
        </is>
      </c>
      <c r="C67" s="15" t="inlineStr">
        <is>
          <t>Lớp học - Khóa module &amp; cấp độ</t>
        </is>
      </c>
      <c r="D67" s="15" t="inlineStr">
        <is>
          <t>Mod hạ requiredLevel về null mở khóa cấp độ ngay lập tức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Owner sửa mod-yt-2; member1 đang bị khóa cấp độ ở yt (0 điểm). Khôi phục requiredLevel=2 sau test.</t>
        </is>
      </c>
      <c r="J67" s="15" t="inlineStr">
        <is>
          <t>1. owner: PATCH /api/courses/yt/modules/mod-yt-2 {requiredLevel:null}
2. member1: GET /api/courses/yt/modules</t>
        </is>
      </c>
      <c r="K67" s="15" t="inlineStr">
        <is>
          <t>requiredLevel=null</t>
        </is>
      </c>
      <c r="L67" s="15" t="inlineStr">
        <is>
          <t>PATCH 200 (module không còn requiredLevel). member1: mod-yt-2 locked false, lockReason null (vì module 1 đã xong), không còn trường requiredLevel.</t>
        </is>
      </c>
      <c r="M67" s="15" t="inlineStr"/>
      <c r="N67" s="18" t="inlineStr">
        <is>
          <t>Chưa test</t>
        </is>
      </c>
      <c r="O67" s="15" t="inlineStr"/>
      <c r="P67" s="15" t="inlineStr"/>
      <c r="Q67" s="18" t="inlineStr">
        <is>
          <t>Chưa test</t>
        </is>
      </c>
      <c r="R67" s="15" t="inlineStr"/>
    </row>
    <row r="68" ht="30" customHeight="1">
      <c r="A68" s="14" t="inlineStr">
        <is>
          <t>TC-COURSE-067</t>
        </is>
      </c>
      <c r="B68" s="15" t="inlineStr">
        <is>
          <t>Khóa học / Lớp học</t>
        </is>
      </c>
      <c r="C68" s="15" t="inlineStr">
        <is>
          <t>Lớp học - Trình soạn (mod+)</t>
        </is>
      </c>
      <c r="D68" s="15" t="inlineStr">
        <is>
          <t>Mod tạo module mới: 201, index tự tăng, description bắt buộc</t>
        </is>
      </c>
      <c r="E68" s="15" t="inlineStr">
        <is>
          <t>Chức năng</t>
        </is>
      </c>
      <c r="F68" s="16" t="inlineStr">
        <is>
          <t>Cao</t>
        </is>
      </c>
      <c r="G68" s="17" t="inlineStr">
        <is>
          <t>Đã hoàn thiện</t>
        </is>
      </c>
      <c r="H68" s="17" t="inlineStr">
        <is>
          <t>Có</t>
        </is>
      </c>
      <c r="I68" s="15" t="inlineStr">
        <is>
          <t>Tiền điều kiện chung: đã `db:seed`, BE :4000, FE :5173; mật khẩu mọi tài khoản seed = Passw0rd!x. Đăng nhập mod@sofinhub.test. Photo có 2 module.</t>
        </is>
      </c>
      <c r="J68" s="15" t="inlineStr">
        <is>
          <t>1. POST /api/courses/photo/modules {title:'  Module thử  ', description:'Mô tả thử'}
2. GET /api/courses/photo/modules</t>
        </is>
      </c>
      <c r="K68" s="15" t="inlineStr">
        <is>
          <t>title có khoảng trắng hai đầu</t>
        </is>
      </c>
      <c r="L68" s="15" t="inlineStr">
        <is>
          <t>201 { data: { id, index: 3, title: 'Module thử' (đã trim), description: 'Mô tả thử' } }. Module mới nằm cuối danh sách, lessonsCount 0.</t>
        </is>
      </c>
      <c r="M68" s="15" t="inlineStr"/>
      <c r="N68" s="18" t="inlineStr">
        <is>
          <t>Chưa test</t>
        </is>
      </c>
      <c r="O68" s="15" t="inlineStr"/>
      <c r="P68" s="15" t="inlineStr"/>
      <c r="Q68" s="18" t="inlineStr">
        <is>
          <t>Chưa test</t>
        </is>
      </c>
      <c r="R68" s="15" t="inlineStr"/>
    </row>
    <row r="69" ht="30" customHeight="1">
      <c r="A69" s="14" t="inlineStr">
        <is>
          <t>TC-COURSE-068</t>
        </is>
      </c>
      <c r="B69" s="15" t="inlineStr">
        <is>
          <t>Khóa học / Lớp học</t>
        </is>
      </c>
      <c r="C69" s="15" t="inlineStr">
        <is>
          <t>Lớp học - Trình soạn (mod+)</t>
        </is>
      </c>
      <c r="D69" s="15" t="inlineStr">
        <is>
          <t>Tạo module với ảnh bìa và cấp độ yêu cầu hợp lệ</t>
        </is>
      </c>
      <c r="E69" s="15" t="inlineStr">
        <is>
          <t>Chức năng</t>
        </is>
      </c>
      <c r="F69" s="20" t="inlineStr">
        <is>
          <t>Trung bình</t>
        </is>
      </c>
      <c r="G69" s="17" t="inlineStr">
        <is>
          <t>Đã hoàn thiện</t>
        </is>
      </c>
      <c r="H69" s="17" t="inlineStr">
        <is>
          <t>Có</t>
        </is>
      </c>
      <c r="I69" s="15" t="inlineStr">
        <is>
          <t>Tiền điều kiện chung: đã `db:seed`, BE :4000, FE :5173; mật khẩu mọi tài khoản seed = Passw0rd!x. Đăng nhập mod.</t>
        </is>
      </c>
      <c r="J69" s="15" t="inlineStr">
        <is>
          <t>1. POST /api/courses/photo/modules {title:'Có bìa', description:'x', thumbnail:'https://example.com/a.jpg', requiredLevel:3}
2. GET modules bằng member1</t>
        </is>
      </c>
      <c r="K69" s="15" t="inlineStr">
        <is>
          <t>thumbnail https, requiredLevel=3</t>
        </is>
      </c>
      <c r="L69" s="15" t="inlineStr">
        <is>
          <t>201; GET trả thumbnail 'https://example.com/a.jpg' và requiredLevel 3 cho module mới.</t>
        </is>
      </c>
      <c r="M69" s="15" t="inlineStr"/>
      <c r="N69" s="18" t="inlineStr">
        <is>
          <t>Chưa test</t>
        </is>
      </c>
      <c r="O69" s="15" t="inlineStr"/>
      <c r="P69" s="15" t="inlineStr"/>
      <c r="Q69" s="18" t="inlineStr">
        <is>
          <t>Chưa test</t>
        </is>
      </c>
      <c r="R69" s="15" t="inlineStr"/>
    </row>
    <row r="70" ht="30" customHeight="1">
      <c r="A70" s="14" t="inlineStr">
        <is>
          <t>TC-COURSE-069</t>
        </is>
      </c>
      <c r="B70" s="15" t="inlineStr">
        <is>
          <t>Khóa học / Lớp học</t>
        </is>
      </c>
      <c r="C70" s="15" t="inlineStr">
        <is>
          <t>Lớp học - Trình soạn (mod+)</t>
        </is>
      </c>
      <c r="D70" s="15" t="inlineStr">
        <is>
          <t>Validate title module: rỗng, chỉ khoảng trắng, 201 ký tự, đúng 200 ký tự</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Đăng nhập mod.</t>
        </is>
      </c>
      <c r="J70" s="15" t="inlineStr">
        <is>
          <t>1. POST modules với 4 giá trị title ở Dữ liệu test (description:'x')</t>
        </is>
      </c>
      <c r="K70" s="15" t="inlineStr">
        <is>
          <t>title='' ; '     ' ; 'a' x 201 ; 'a' x 200</t>
        </is>
      </c>
      <c r="L70" s="15" t="inlineStr">
        <is>
          <t>3 giá trị đầu 400 VALIDATION_ERROR ('Tham số không hợp lệ', details.fieldErrors) (title: 'Vui lòng nhập tiêu đề' cho rỗng/khoảng trắng; 'Tiêu đề tối đa 200 ký tự' cho 201 ký tự); 200 ký tự trả 201.</t>
        </is>
      </c>
      <c r="M70" s="15" t="inlineStr"/>
      <c r="N70" s="18" t="inlineStr">
        <is>
          <t>Chưa test</t>
        </is>
      </c>
      <c r="O70" s="15" t="inlineStr"/>
      <c r="P70" s="15" t="inlineStr"/>
      <c r="Q70" s="18" t="inlineStr">
        <is>
          <t>Chưa test</t>
        </is>
      </c>
      <c r="R70" s="15" t="inlineStr"/>
    </row>
    <row r="71" ht="45" customHeight="1">
      <c r="A71" s="14" t="inlineStr">
        <is>
          <t>TC-COURSE-070</t>
        </is>
      </c>
      <c r="B71" s="15" t="inlineStr">
        <is>
          <t>Khóa học / Lớp học</t>
        </is>
      </c>
      <c r="C71" s="15" t="inlineStr">
        <is>
          <t>Lớp học - Trình soạn (mod+)</t>
        </is>
      </c>
      <c r="D71" s="15" t="inlineStr">
        <is>
          <t>Validate description module: thiếu trường và quá 1000 ký tự</t>
        </is>
      </c>
      <c r="E71" s="15" t="inlineStr">
        <is>
          <t>Chức năng</t>
        </is>
      </c>
      <c r="F71" s="20" t="inlineStr">
        <is>
          <t>Trung bình</t>
        </is>
      </c>
      <c r="G71" s="17" t="inlineStr">
        <is>
          <t>Đã hoàn thiện</t>
        </is>
      </c>
      <c r="H71" s="17" t="inlineStr">
        <is>
          <t>Có</t>
        </is>
      </c>
      <c r="I71" s="15" t="inlineStr">
        <is>
          <t>Tiền điều kiện chung: đã `db:seed`, BE :4000, FE :5173; mật khẩu mọi tài khoản seed = Passw0rd!x. Đăng nhập mod.</t>
        </is>
      </c>
      <c r="J71" s="15" t="inlineStr">
        <is>
          <t>1. POST modules {title:'A'} (thiếu description)
2. POST modules {title:'A', description:'d' x 1001}
3. POST modules {title:'A', description:''}</t>
        </is>
      </c>
      <c r="K71" s="15" t="inlineStr">
        <is>
          <t>3 payload</t>
        </is>
      </c>
      <c r="L71" s="15" t="inlineStr">
        <is>
          <t>Payload 1 và 2: 400 VALIDATION_ERROR ('Tham số không hợp lệ', details.fieldErrors) ('Mô tả tối đa 1000 ký tự' cho 1001 ký tự). Payload 3 (chuỗi rỗng): 201 vì description chỉ cần là chuỗi.</t>
        </is>
      </c>
      <c r="M71" s="15" t="inlineStr"/>
      <c r="N71" s="18" t="inlineStr">
        <is>
          <t>Chưa test</t>
        </is>
      </c>
      <c r="O71" s="15" t="inlineStr"/>
      <c r="P71" s="15" t="inlineStr"/>
      <c r="Q71" s="18" t="inlineStr">
        <is>
          <t>Chưa test</t>
        </is>
      </c>
      <c r="R71" s="15" t="inlineStr"/>
    </row>
    <row r="72" ht="30" customHeight="1">
      <c r="A72" s="14" t="inlineStr">
        <is>
          <t>TC-COURSE-071</t>
        </is>
      </c>
      <c r="B72" s="15" t="inlineStr">
        <is>
          <t>Khóa học / Lớp học</t>
        </is>
      </c>
      <c r="C72" s="15" t="inlineStr">
        <is>
          <t>Lớp học - Trình soạn (mod+)</t>
        </is>
      </c>
      <c r="D72" s="15" t="inlineStr">
        <is>
          <t>Validate requiredLevel: 0, 10, 1.5, '3' không hợp lệ; 1 và 9 hợp lệ</t>
        </is>
      </c>
      <c r="E72" s="15" t="inlineStr">
        <is>
          <t>Chức năng</t>
        </is>
      </c>
      <c r="F72" s="20" t="inlineStr">
        <is>
          <t>Trung bình</t>
        </is>
      </c>
      <c r="G72" s="17" t="inlineStr">
        <is>
          <t>Đã hoàn thiện</t>
        </is>
      </c>
      <c r="H72" s="17" t="inlineStr">
        <is>
          <t>Có</t>
        </is>
      </c>
      <c r="I72" s="15" t="inlineStr">
        <is>
          <t>Tiền điều kiện chung: đã `db:seed`, BE :4000, FE :5173; mật khẩu mọi tài khoản seed = Passw0rd!x. Đăng nhập mod.</t>
        </is>
      </c>
      <c r="J72" s="15" t="inlineStr">
        <is>
          <t>1. POST modules với requiredLevel lần lượt 0, 10, 1.5, '3', 1, 9</t>
        </is>
      </c>
      <c r="K72" s="15" t="inlineStr">
        <is>
          <t>title='L', description='x'</t>
        </is>
      </c>
      <c r="L72" s="15" t="inlineStr">
        <is>
          <t>0/10/'3'/1.5 trả 400 VALIDATION_ERROR ('Tham số không hợp lệ', details.fieldErrors) ('Cấp độ từ 1 đến 9' / 'Cấp độ phải là số nguyên'); 1 và 9 trả 201.</t>
        </is>
      </c>
      <c r="M72" s="15" t="inlineStr"/>
      <c r="N72" s="18" t="inlineStr">
        <is>
          <t>Chưa test</t>
        </is>
      </c>
      <c r="O72" s="15" t="inlineStr"/>
      <c r="P72" s="15" t="inlineStr"/>
      <c r="Q72" s="18" t="inlineStr">
        <is>
          <t>Chưa test</t>
        </is>
      </c>
      <c r="R72" s="15" t="inlineStr"/>
    </row>
    <row r="73" ht="30" customHeight="1">
      <c r="A73" s="14" t="inlineStr">
        <is>
          <t>TC-COURSE-072</t>
        </is>
      </c>
      <c r="B73" s="15" t="inlineStr">
        <is>
          <t>Khóa học / Lớp học</t>
        </is>
      </c>
      <c r="C73" s="15" t="inlineStr">
        <is>
          <t>Lớp học - Trình soạn (mod+)</t>
        </is>
      </c>
      <c r="D73" s="15" t="inlineStr">
        <is>
          <t>Chặn thumbnail javascript:/data:/ftp: (chống XSS)</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mod.</t>
        </is>
      </c>
      <c r="J73" s="15" t="inlineStr">
        <is>
          <t>1. POST modules với thumbnail lần lượt ở Dữ liệu test
2. PATCH module hợp lệ với cùng giá trị</t>
        </is>
      </c>
      <c r="K73" s="15" t="inlineStr">
        <is>
          <t>javascript:alert(1) ; data:text/html,&lt;script&gt;alert(1)&lt;/script&gt; ; ftp://x.com/a.png ; https://x.com/ + 'a' x 1000</t>
        </is>
      </c>
      <c r="L73" s="15" t="inlineStr">
        <is>
          <t>Cả 4: 400 VALIDATION_ERROR ('Tham số không hợp lệ', details.fieldErrors) thông điệp 'Đường dẫn phải bắt đầu bằng http:// hoặc https://' (hoặc 'Đường dẫn quá dài' cho &gt;1000 ký tự); không lưu.</t>
        </is>
      </c>
      <c r="M73" s="15" t="inlineStr"/>
      <c r="N73" s="18" t="inlineStr">
        <is>
          <t>Chưa test</t>
        </is>
      </c>
      <c r="O73" s="15" t="inlineStr"/>
      <c r="P73" s="15" t="inlineStr"/>
      <c r="Q73" s="18" t="inlineStr">
        <is>
          <t>Chưa test</t>
        </is>
      </c>
      <c r="R73" s="15" t="inlineStr"/>
    </row>
    <row r="74" ht="45" customHeight="1">
      <c r="A74" s="14" t="inlineStr">
        <is>
          <t>TC-COURSE-073</t>
        </is>
      </c>
      <c r="B74" s="15" t="inlineStr">
        <is>
          <t>Khóa học / Lớp học</t>
        </is>
      </c>
      <c r="C74" s="15" t="inlineStr">
        <is>
          <t>Lớp học - Trình soạn (mod+)</t>
        </is>
      </c>
      <c r="D74" s="15" t="inlineStr">
        <is>
          <t>Sửa module: đổi tiêu đề, xóa thumbnail và requiredLevel bằng null</t>
        </is>
      </c>
      <c r="E74" s="15" t="inlineStr">
        <is>
          <t>Chức năng</t>
        </is>
      </c>
      <c r="F74" s="16" t="inlineStr">
        <is>
          <t>Cao</t>
        </is>
      </c>
      <c r="G74" s="17" t="inlineStr">
        <is>
          <t>Đã hoàn thiện</t>
        </is>
      </c>
      <c r="H74" s="17" t="inlineStr">
        <is>
          <t>Có</t>
        </is>
      </c>
      <c r="I74" s="15" t="inlineStr">
        <is>
          <t>Tiền điều kiện chung: đã `db:seed`, BE :4000, FE :5173; mật khẩu mọi tài khoản seed = Passw0rd!x. Module thử có thumbnail và requiredLevel 3 (case trước).</t>
        </is>
      </c>
      <c r="J74" s="15" t="inlineStr">
        <is>
          <t>1. PATCH /api/courses/photo/modules/{id} {title:'Đã sửa'}
2. PATCH {thumbnail:null, requiredLevel:null}
3. GET modules</t>
        </is>
      </c>
      <c r="K74" s="15" t="inlineStr">
        <is>
          <t>3 lần patch</t>
        </is>
      </c>
      <c r="L74" s="15" t="inlineStr">
        <is>
          <t>Lần 1: 200 title 'Đã sửa', thumbnail/requiredLevel giữ nguyên. Lần 2: 200, module không còn thumbnail và requiredLevel. Các module khác không đổi.</t>
        </is>
      </c>
      <c r="M74" s="15" t="inlineStr"/>
      <c r="N74" s="18" t="inlineStr">
        <is>
          <t>Chưa test</t>
        </is>
      </c>
      <c r="O74" s="15" t="inlineStr"/>
      <c r="P74" s="15" t="inlineStr"/>
      <c r="Q74" s="18" t="inlineStr">
        <is>
          <t>Chưa test</t>
        </is>
      </c>
      <c r="R74" s="15" t="inlineStr"/>
    </row>
    <row r="75" ht="30" customHeight="1">
      <c r="A75" s="14" t="inlineStr">
        <is>
          <t>TC-COURSE-074</t>
        </is>
      </c>
      <c r="B75" s="15" t="inlineStr">
        <is>
          <t>Khóa học / Lớp học</t>
        </is>
      </c>
      <c r="C75" s="15" t="inlineStr">
        <is>
          <t>Lớp học - Trình soạn (mod+)</t>
        </is>
      </c>
      <c r="D75" s="15" t="inlineStr">
        <is>
          <t>PATCH module với body rỗng {} bị từ chối</t>
        </is>
      </c>
      <c r="E75" s="15" t="inlineStr">
        <is>
          <t>Chức năng</t>
        </is>
      </c>
      <c r="F75" s="17" t="inlineStr">
        <is>
          <t>Thấp</t>
        </is>
      </c>
      <c r="G75" s="17" t="inlineStr">
        <is>
          <t>Đã hoàn thiện</t>
        </is>
      </c>
      <c r="H75" s="17" t="inlineStr">
        <is>
          <t>Có</t>
        </is>
      </c>
      <c r="I75" s="15" t="inlineStr">
        <is>
          <t>Tiền điều kiện chung: đã `db:seed`, BE :4000, FE :5173; mật khẩu mọi tài khoản seed = Passw0rd!x. Đăng nhập mod.</t>
        </is>
      </c>
      <c r="J75" s="15" t="inlineStr">
        <is>
          <t>1. PATCH /api/courses/photo/modules/mod-photo-1 {}</t>
        </is>
      </c>
      <c r="K75" s="15" t="inlineStr">
        <is>
          <t>body {}</t>
        </is>
      </c>
      <c r="L75" s="15" t="inlineStr">
        <is>
          <t>400 VALIDATION_ERROR ('Tham số không hợp lệ', details.fieldErrors) với thông điệp 'Không có trường nào để cập nhật'.</t>
        </is>
      </c>
      <c r="M75" s="15" t="inlineStr"/>
      <c r="N75" s="18" t="inlineStr">
        <is>
          <t>Chưa test</t>
        </is>
      </c>
      <c r="O75" s="15" t="inlineStr"/>
      <c r="P75" s="15" t="inlineStr"/>
      <c r="Q75" s="18" t="inlineStr">
        <is>
          <t>Chưa test</t>
        </is>
      </c>
      <c r="R75" s="15" t="inlineStr"/>
    </row>
    <row r="76" ht="60" customHeight="1">
      <c r="A76" s="14" t="inlineStr">
        <is>
          <t>TC-COURSE-075</t>
        </is>
      </c>
      <c r="B76" s="15" t="inlineStr">
        <is>
          <t>Khóa học / Lớp học</t>
        </is>
      </c>
      <c r="C76" s="15" t="inlineStr">
        <is>
          <t>Lớp học - Trình soạn (mod+)</t>
        </is>
      </c>
      <c r="D76" s="15" t="inlineStr">
        <is>
          <t>Xóa module đã có tiến độ: xóa cả bài học và tiến độ, đánh lại index</t>
        </is>
      </c>
      <c r="E76" s="15" t="inlineStr">
        <is>
          <t>Chức năng</t>
        </is>
      </c>
      <c r="F76" s="16" t="inlineStr">
        <is>
          <t>Cao</t>
        </is>
      </c>
      <c r="G76" s="17" t="inlineStr">
        <is>
          <t>Đã hoàn thiện</t>
        </is>
      </c>
      <c r="H76" s="17" t="inlineStr">
        <is>
          <t>Có</t>
        </is>
      </c>
      <c r="I76" s="15" t="inlineStr">
        <is>
          <t>Tiền điều kiện chung: đã `db:seed`, BE :4000, FE :5173; mật khẩu mọi tài khoản seed = Passw0rd!x. Đăng nhập mod, tạo module thử X (index 3) có 2 bài; member2 hoàn thành 1 bài trong X (+3 điểm).</t>
        </is>
      </c>
      <c r="J76" s="15" t="inlineStr">
        <is>
          <t>1. mod: DELETE /api/courses/photo/modules/{X}
2. member2: GET /api/courses/photo/progress
3. GET lesson đã xóa
4. GET /api/courses/photo/modules</t>
        </is>
      </c>
      <c r="K76" s="15" t="inlineStr">
        <is>
          <t>module X có 2 bài, 1 bài đã hoàn thành</t>
        </is>
      </c>
      <c r="L76"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76" s="15" t="inlineStr"/>
      <c r="N76" s="18" t="inlineStr">
        <is>
          <t>Chưa test</t>
        </is>
      </c>
      <c r="O76" s="15" t="inlineStr"/>
      <c r="P76" s="15" t="inlineStr"/>
      <c r="Q76" s="18" t="inlineStr">
        <is>
          <t>Chưa test</t>
        </is>
      </c>
      <c r="R76" s="15" t="inlineStr"/>
    </row>
    <row r="77" ht="30" customHeight="1">
      <c r="A77" s="14" t="inlineStr">
        <is>
          <t>TC-COURSE-076</t>
        </is>
      </c>
      <c r="B77" s="15" t="inlineStr">
        <is>
          <t>Khóa học / Lớp học</t>
        </is>
      </c>
      <c r="C77" s="15" t="inlineStr">
        <is>
          <t>Lớp học - Trình soạn (mod+)</t>
        </is>
      </c>
      <c r="D77" s="15" t="inlineStr">
        <is>
          <t>Xóa module đầu tiên: index đánh lại, module sau trở thành module đầu và không còn bị khóa</t>
        </is>
      </c>
      <c r="E77" s="15" t="inlineStr">
        <is>
          <t>Chức năng</t>
        </is>
      </c>
      <c r="F77" s="20" t="inlineStr">
        <is>
          <t>Trung bình</t>
        </is>
      </c>
      <c r="G77" s="17" t="inlineStr">
        <is>
          <t>Đã hoàn thiện</t>
        </is>
      </c>
      <c r="H77" s="17" t="inlineStr">
        <is>
          <t>Có</t>
        </is>
      </c>
      <c r="I77"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77" s="15" t="inlineStr">
        <is>
          <t>1. mod: tạo module thử; DELETE module có index thấp nhất của một khóa thử (không dùng photo thật)
2. member: GET modules sau xóa</t>
        </is>
      </c>
      <c r="K77" s="15" t="inlineStr">
        <is>
          <t>khóa thử của owner</t>
        </is>
      </c>
      <c r="L77" s="15" t="inlineStr">
        <is>
          <t>Index được đánh lại liên tục 1..n; module mới đứng đầu không bị khóa 'previous_module'; module ngay sau nó bị khóa nếu module đầu chưa xong.</t>
        </is>
      </c>
      <c r="M77" s="15" t="inlineStr"/>
      <c r="N77" s="18" t="inlineStr">
        <is>
          <t>Chưa test</t>
        </is>
      </c>
      <c r="O77" s="15" t="inlineStr"/>
      <c r="P77" s="15" t="inlineStr"/>
      <c r="Q77" s="18" t="inlineStr">
        <is>
          <t>Chưa test</t>
        </is>
      </c>
      <c r="R77" s="15" t="inlineStr"/>
    </row>
    <row r="78" ht="45" customHeight="1">
      <c r="A78" s="14" t="inlineStr">
        <is>
          <t>TC-COURSE-077</t>
        </is>
      </c>
      <c r="B78" s="15" t="inlineStr">
        <is>
          <t>Khóa học / Lớp học</t>
        </is>
      </c>
      <c r="C78" s="15" t="inlineStr">
        <is>
          <t>Lớp học - Trình soạn (mod+)</t>
        </is>
      </c>
      <c r="D78" s="15" t="inlineStr">
        <is>
          <t>Sắp xếp lại module: hoán vị hợp lệ trả danh sách mới với index đánh lại</t>
        </is>
      </c>
      <c r="E78" s="15" t="inlineStr">
        <is>
          <t>Chức năng</t>
        </is>
      </c>
      <c r="F78" s="16" t="inlineStr">
        <is>
          <t>Cao</t>
        </is>
      </c>
      <c r="G78" s="17" t="inlineStr">
        <is>
          <t>Đã hoàn thiện</t>
        </is>
      </c>
      <c r="H78" s="17" t="inlineStr">
        <is>
          <t>Có</t>
        </is>
      </c>
      <c r="I78" s="15" t="inlineStr">
        <is>
          <t>Tiền điều kiện chung: đã `db:seed`, BE :4000, FE :5173; mật khẩu mọi tài khoản seed = Passw0rd!x. Đăng nhập mod; photo có mod-photo-1, mod-photo-2 và module thử X.</t>
        </is>
      </c>
      <c r="J78" s="15" t="inlineStr">
        <is>
          <t>1. PUT /api/courses/photo/modules/order {ids:[X, mod-photo-1, mod-photo-2]}
2. GET modules bằng member2
3. Trả thứ tự về ban đầu</t>
        </is>
      </c>
      <c r="K78" s="15" t="inlineStr">
        <is>
          <t>ids đủ 3 module</t>
        </is>
      </c>
      <c r="L78" s="15" t="inlineStr">
        <is>
          <t>200 { data: [X(index 1), mod-photo-1(index 2), mod-photo-2(index 3)] }. member2 thấy module X đầu tiên và chuỗi khóa tính lại theo thứ tự mới (mod-photo-1 bị khóa vì X chưa xong).</t>
        </is>
      </c>
      <c r="M78" s="15" t="inlineStr"/>
      <c r="N78" s="18" t="inlineStr">
        <is>
          <t>Chưa test</t>
        </is>
      </c>
      <c r="O78" s="15" t="inlineStr"/>
      <c r="P78" s="15" t="inlineStr"/>
      <c r="Q78" s="18" t="inlineStr">
        <is>
          <t>Chưa test</t>
        </is>
      </c>
      <c r="R78" s="15" t="inlineStr"/>
    </row>
    <row r="79" ht="90" customHeight="1">
      <c r="A79" s="14" t="inlineStr">
        <is>
          <t>TC-COURSE-078</t>
        </is>
      </c>
      <c r="B79" s="15" t="inlineStr">
        <is>
          <t>Khóa học / Lớp học</t>
        </is>
      </c>
      <c r="C79" s="15" t="inlineStr">
        <is>
          <t>Lớp học - Trình soạn (mod+)</t>
        </is>
      </c>
      <c r="D79" s="15" t="inlineStr">
        <is>
          <t>Sắp xếp module không hợp lệ: thiếu, trùng, lạ, rỗng, quá 500 phần tử</t>
        </is>
      </c>
      <c r="E79" s="15" t="inlineStr">
        <is>
          <t>Chức năng</t>
        </is>
      </c>
      <c r="F79" s="16" t="inlineStr">
        <is>
          <t>Cao</t>
        </is>
      </c>
      <c r="G79" s="17" t="inlineStr">
        <is>
          <t>Đã hoàn thiện</t>
        </is>
      </c>
      <c r="H79" s="17" t="inlineStr">
        <is>
          <t>Có</t>
        </is>
      </c>
      <c r="I79" s="15" t="inlineStr">
        <is>
          <t>Tiền điều kiện chung: đã `db:seed`, BE :4000, FE :5173; mật khẩu mọi tài khoản seed = Passw0rd!x. Đăng nhập mod; photo có mod-photo-1, mod-photo-2.</t>
        </is>
      </c>
      <c r="J79" s="15" t="inlineStr">
        <is>
          <t>1. PUT modules/order {ids:['mod-photo-1']}
2. {ids:['mod-photo-1','mod-photo-1']}
3. {ids:['mod-photo-1','mod-photo-2','mod-yt-1']}
4. {ids:[]}
5. {ids: 501 chuỗi}
6. {} (thiếu ids)</t>
        </is>
      </c>
      <c r="K79" s="15" t="inlineStr">
        <is>
          <t>6 payload</t>
        </is>
      </c>
      <c r="L79"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79" s="15" t="inlineStr"/>
      <c r="N79" s="18" t="inlineStr">
        <is>
          <t>Chưa test</t>
        </is>
      </c>
      <c r="O79" s="15" t="inlineStr"/>
      <c r="P79" s="15" t="inlineStr"/>
      <c r="Q79" s="18" t="inlineStr">
        <is>
          <t>Chưa test</t>
        </is>
      </c>
      <c r="R79" s="15" t="inlineStr"/>
    </row>
    <row r="80" ht="45" customHeight="1">
      <c r="A80" s="14" t="inlineStr">
        <is>
          <t>TC-COURSE-079</t>
        </is>
      </c>
      <c r="B80" s="15" t="inlineStr">
        <is>
          <t>Khóa học / Lớp học</t>
        </is>
      </c>
      <c r="C80" s="15" t="inlineStr">
        <is>
          <t>Lớp học - Trình soạn (mod+)</t>
        </is>
      </c>
      <c r="D80" s="15" t="inlineStr">
        <is>
          <t>Mod tạo bài học mới: append cuối module, chọn loại text/file, thời lượng biên</t>
        </is>
      </c>
      <c r="E80" s="15" t="inlineStr">
        <is>
          <t>Chức năng</t>
        </is>
      </c>
      <c r="F80" s="16" t="inlineStr">
        <is>
          <t>Cao</t>
        </is>
      </c>
      <c r="G80" s="17" t="inlineStr">
        <is>
          <t>Đã hoàn thiện</t>
        </is>
      </c>
      <c r="H80" s="17" t="inlineStr">
        <is>
          <t>Có</t>
        </is>
      </c>
      <c r="I80" s="15" t="inlineStr">
        <is>
          <t>Tiền điều kiện chung: đã `db:seed`, BE :4000, FE :5173; mật khẩu mọi tài khoản seed = Passw0rd!x. Đăng nhập mod; module thử X (0 bài).</t>
        </is>
      </c>
      <c r="J80" s="15" t="inlineStr">
        <is>
          <t>1. POST /api/courses/photo/modules/{X}/lessons {title:'Bài A', type:'text', durationMin:0, body:'Nội dung'}
2. POST {title:'Bài B', type:'file', durationMin:1000, body:''}
3. GET .../modules/{X}/lessons</t>
        </is>
      </c>
      <c r="K80" s="15" t="inlineStr">
        <is>
          <t>durationMin 0 và 1000; body '' hợp lệ</t>
        </is>
      </c>
      <c r="L80" s="15" t="inlineStr">
        <is>
          <t>Cả 2 trả 201; index 1 và 2; type 'text' và 'file'; attachments [] mặc định; không có videoUrl/embedUrl.</t>
        </is>
      </c>
      <c r="M80" s="15" t="inlineStr"/>
      <c r="N80" s="18" t="inlineStr">
        <is>
          <t>Chưa test</t>
        </is>
      </c>
      <c r="O80" s="15" t="inlineStr"/>
      <c r="P80" s="15" t="inlineStr"/>
      <c r="Q80" s="18" t="inlineStr">
        <is>
          <t>Chưa test</t>
        </is>
      </c>
      <c r="R80" s="15" t="inlineStr"/>
    </row>
    <row r="81" ht="30" customHeight="1">
      <c r="A81" s="14" t="inlineStr">
        <is>
          <t>TC-COURSE-080</t>
        </is>
      </c>
      <c r="B81" s="15" t="inlineStr">
        <is>
          <t>Khóa học / Lớp học</t>
        </is>
      </c>
      <c r="C81" s="15" t="inlineStr">
        <is>
          <t>Lớp học - Trình soạn (mod+)</t>
        </is>
      </c>
      <c r="D81" s="15" t="inlineStr">
        <is>
          <t>Validate bài học: type sai, durationMin ngoài biên hoặc không nguyên, thiếu body</t>
        </is>
      </c>
      <c r="E81" s="15" t="inlineStr">
        <is>
          <t>Chức năng</t>
        </is>
      </c>
      <c r="F81" s="16" t="inlineStr">
        <is>
          <t>Cao</t>
        </is>
      </c>
      <c r="G81" s="17" t="inlineStr">
        <is>
          <t>Đã hoàn thiện</t>
        </is>
      </c>
      <c r="H81" s="17" t="inlineStr">
        <is>
          <t>Có</t>
        </is>
      </c>
      <c r="I81" s="15" t="inlineStr">
        <is>
          <t>Tiền điều kiện chung: đã `db:seed`, BE :4000, FE :5173; mật khẩu mọi tài khoản seed = Passw0rd!x. Đăng nhập mod; module thử X.</t>
        </is>
      </c>
      <c r="J81" s="15" t="inlineStr">
        <is>
          <t>1. POST lessons với từng payload ở Dữ liệu test</t>
        </is>
      </c>
      <c r="K81" s="15" t="inlineStr">
        <is>
          <t>a) type:'audio' b) durationMin:-1 c) durationMin:1001 d) durationMin:1.5 e) thiếu body f) title:'' g) body 50001 ký tự</t>
        </is>
      </c>
      <c r="L81" s="15" t="inlineStr">
        <is>
          <t>Cả 7 400 VALIDATION_ERROR ('Tham số không hợp lệ', details.fieldErrors) (durationMin: 'Thời lượng phải là số nguyên'; body: 'Nội dung tối đa 50.000 ký tự'; title: 'Vui lòng nhập tiêu đề'). Body đúng 50000 ký tự hợp lệ (201).</t>
        </is>
      </c>
      <c r="M81" s="15" t="inlineStr"/>
      <c r="N81" s="18" t="inlineStr">
        <is>
          <t>Chưa test</t>
        </is>
      </c>
      <c r="O81" s="15" t="inlineStr"/>
      <c r="P81" s="15" t="inlineStr"/>
      <c r="Q81" s="18" t="inlineStr">
        <is>
          <t>Chưa test</t>
        </is>
      </c>
      <c r="R81" s="15" t="inlineStr"/>
    </row>
    <row r="82" ht="75" customHeight="1">
      <c r="A82" s="14" t="inlineStr">
        <is>
          <t>TC-COURSE-081</t>
        </is>
      </c>
      <c r="B82" s="15" t="inlineStr">
        <is>
          <t>Khóa học / Lớp học</t>
        </is>
      </c>
      <c r="C82" s="15" t="inlineStr">
        <is>
          <t>Lớp học - Trình soạn (mod+)</t>
        </is>
      </c>
      <c r="D82" s="15" t="inlineStr">
        <is>
          <t>Tệp đính kèm bài học: tối đa 20, URL http(s), tên bắt buộc</t>
        </is>
      </c>
      <c r="E82" s="15" t="inlineStr">
        <is>
          <t>Chức năng</t>
        </is>
      </c>
      <c r="F82" s="20" t="inlineStr">
        <is>
          <t>Trung bình</t>
        </is>
      </c>
      <c r="G82" s="17" t="inlineStr">
        <is>
          <t>Đã hoàn thiện</t>
        </is>
      </c>
      <c r="H82" s="17" t="inlineStr">
        <is>
          <t>Có</t>
        </is>
      </c>
      <c r="I82" s="15" t="inlineStr">
        <is>
          <t>Tiền điều kiện chung: đã `db:seed`, BE :4000, FE :5173; mật khẩu mọi tài khoản seed = Passw0rd!x. Đăng nhập mod; module thử X.</t>
        </is>
      </c>
      <c r="J82" s="15" t="inlineStr">
        <is>
          <t>1. POST lesson attachments 20 mục hợp lệ
2. POST attachments 21 mục
3. POST attachment {name:'', url:'https://a.com/x'}
4. POST attachment {name:'a', url:'ftp://a.com/x'}
5. POST attachment {name:'a', url:'https://a.com/x', size:-1}</t>
        </is>
      </c>
      <c r="K82" s="15" t="inlineStr">
        <is>
          <t>attachments các cấu hình trên</t>
        </is>
      </c>
      <c r="L82"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82" s="15" t="inlineStr"/>
      <c r="N82" s="18" t="inlineStr">
        <is>
          <t>Chưa test</t>
        </is>
      </c>
      <c r="O82" s="15" t="inlineStr"/>
      <c r="P82" s="15" t="inlineStr"/>
      <c r="Q82" s="18" t="inlineStr">
        <is>
          <t>Chưa test</t>
        </is>
      </c>
      <c r="R82" s="15" t="inlineStr"/>
    </row>
    <row r="83" ht="60" customHeight="1">
      <c r="A83" s="14" t="inlineStr">
        <is>
          <t>TC-COURSE-082</t>
        </is>
      </c>
      <c r="B83" s="15" t="inlineStr">
        <is>
          <t>Khóa học / Lớp học</t>
        </is>
      </c>
      <c r="C83" s="15" t="inlineStr">
        <is>
          <t>Lớp học - Trình soạn (mod+)</t>
        </is>
      </c>
      <c r="D83" s="15" t="inlineStr">
        <is>
          <t>Sửa bài học: đổi loại, xóa videoUrl bằng null, embedUrl bị xóa theo</t>
        </is>
      </c>
      <c r="E83" s="15" t="inlineStr">
        <is>
          <t>Chức năng</t>
        </is>
      </c>
      <c r="F83" s="20" t="inlineStr">
        <is>
          <t>Trung bình</t>
        </is>
      </c>
      <c r="G83" s="17" t="inlineStr">
        <is>
          <t>Đã hoàn thiện</t>
        </is>
      </c>
      <c r="H83" s="17" t="inlineStr">
        <is>
          <t>Có</t>
        </is>
      </c>
      <c r="I83" s="15" t="inlineStr">
        <is>
          <t>Tiền điều kiện chung: đã `db:seed`, BE :4000, FE :5173; mật khẩu mọi tài khoản seed = Passw0rd!x. Bài thử có videoUrl YouTube hợp lệ.</t>
        </is>
      </c>
      <c r="J83" s="15" t="inlineStr">
        <is>
          <t xml:space="preserve">1. PATCH /api/courses/photo/lessons/{id} {videoUrl:null}
2. GET chi tiết bài bằng member
3. PATCH {type:'text', title:'Đổi tên'}
4. PATCH {} </t>
        </is>
      </c>
      <c r="K83" s="15" t="inlineStr">
        <is>
          <t>videoUrl:null</t>
        </is>
      </c>
      <c r="L83" s="15" t="inlineStr">
        <is>
          <t>Lần 1: 200, bài không còn videoUrl/embedUrl. Lần 3: 200 type 'text'. Lần 4: 400 VALIDATION_ERROR ('Tham số không hợp lệ', details.fieldErrors) 'Không có trường nào để cập nhật'.</t>
        </is>
      </c>
      <c r="M83" s="15" t="inlineStr"/>
      <c r="N83" s="18" t="inlineStr">
        <is>
          <t>Chưa test</t>
        </is>
      </c>
      <c r="O83" s="15" t="inlineStr"/>
      <c r="P83" s="15" t="inlineStr"/>
      <c r="Q83" s="18" t="inlineStr">
        <is>
          <t>Chưa test</t>
        </is>
      </c>
      <c r="R83" s="15" t="inlineStr"/>
    </row>
    <row r="84" ht="60" customHeight="1">
      <c r="A84" s="14" t="inlineStr">
        <is>
          <t>TC-COURSE-083</t>
        </is>
      </c>
      <c r="B84" s="15" t="inlineStr">
        <is>
          <t>Khóa học / Lớp học</t>
        </is>
      </c>
      <c r="C84" s="15" t="inlineStr">
        <is>
          <t>Lớp học - Trình soạn (mod+)</t>
        </is>
      </c>
      <c r="D84" s="15" t="inlineStr">
        <is>
          <t>Thêm bài mới vào module đã hoàn thành làm tụt % và khóa lại module sau</t>
        </is>
      </c>
      <c r="E84" s="15" t="inlineStr">
        <is>
          <t>Chức năng</t>
        </is>
      </c>
      <c r="F84" s="16" t="inlineStr">
        <is>
          <t>Cao</t>
        </is>
      </c>
      <c r="G84" s="17" t="inlineStr">
        <is>
          <t>Đã hoàn thiện</t>
        </is>
      </c>
      <c r="H84" s="17" t="inlineStr">
        <is>
          <t>Có</t>
        </is>
      </c>
      <c r="I84" s="15" t="inlineStr">
        <is>
          <t>Tiền điều kiện chung: đã `db:seed`, BE :4000, FE :5173; mật khẩu mọi tài khoản seed = Passw0rd!x. member1 xong module 1 photo (6/6) và module 2 đang mở. Mod thêm 1 bài vào mod-photo-1; dọn bằng DELETE bài đó.</t>
        </is>
      </c>
      <c r="J84" s="15" t="inlineStr">
        <is>
          <t>1. mod: POST /api/courses/photo/modules/mod-photo-1/lessons {title:'Bài bổ sung', type:'text', durationMin:5, body:'x'}
2. member1: GET /api/courses/photo/modules
3. member1: GET /api/courses/photo/progress
4. mod: DELETE bài vừa tạo; member1 kiểm tra lại</t>
        </is>
      </c>
      <c r="K84" s="15" t="inlineStr">
        <is>
          <t>1 bài bổ sung</t>
        </is>
      </c>
      <c r="L84" s="15" t="inlineStr">
        <is>
          <t>Sau khi thêm: m1 completedCount 6, lessonsCount 7, pct 86; m2 locked true 'previous_module'; progress percent 46 (6/13), completedModules 0, nextLesson là bài bổ sung. Sau khi xóa bài: trở lại 100% và module 2 mở lại.</t>
        </is>
      </c>
      <c r="M84" s="15" t="inlineStr"/>
      <c r="N84" s="18" t="inlineStr">
        <is>
          <t>Chưa test</t>
        </is>
      </c>
      <c r="O84" s="15" t="inlineStr"/>
      <c r="P84" s="15" t="inlineStr"/>
      <c r="Q84" s="18" t="inlineStr">
        <is>
          <t>Chưa test</t>
        </is>
      </c>
      <c r="R84" s="15" t="inlineStr"/>
    </row>
    <row r="85" ht="45" customHeight="1">
      <c r="A85" s="14" t="inlineStr">
        <is>
          <t>TC-COURSE-084</t>
        </is>
      </c>
      <c r="B85" s="15" t="inlineStr">
        <is>
          <t>Khóa học / Lớp học</t>
        </is>
      </c>
      <c r="C85" s="15" t="inlineStr">
        <is>
          <t>Lớp học - Trình soạn (mod+)</t>
        </is>
      </c>
      <c r="D85" s="15" t="inlineStr">
        <is>
          <t>Xóa bài học: xóa tiến độ liên quan, đánh lại index, không hoàn điểm</t>
        </is>
      </c>
      <c r="E85" s="15" t="inlineStr">
        <is>
          <t>Chức năng</t>
        </is>
      </c>
      <c r="F85" s="16" t="inlineStr">
        <is>
          <t>Cao</t>
        </is>
      </c>
      <c r="G85" s="17" t="inlineStr">
        <is>
          <t>Đã hoàn thiện</t>
        </is>
      </c>
      <c r="H85" s="17" t="inlineStr">
        <is>
          <t>Có</t>
        </is>
      </c>
      <c r="I85" s="15" t="inlineStr">
        <is>
          <t>Tiền điều kiện chung: đã `db:seed`, BE :4000, FE :5173; mật khẩu mọi tài khoản seed = Passw0rd!x. Module thử X có 3 bài; member2 hoàn thành bài 2 (nhận +3).</t>
        </is>
      </c>
      <c r="J85" s="15" t="inlineStr">
        <is>
          <t>1. mod: DELETE /api/courses/photo/lessons/{bài 2}
2. GET .../modules/{X}/lessons
3. member2: GET progress và điểm</t>
        </is>
      </c>
      <c r="K85" s="15" t="inlineStr">
        <is>
          <t>xóa bài index 2</t>
        </is>
      </c>
      <c r="L85" s="15" t="inlineStr">
        <is>
          <t>DELETE 200 { deleted: true }. Còn 2 bài với index 1, 2 (bài cũ số 3 thành index 2). Tiến độ của member2 không còn tính bài đã xóa; điểm giữ nguyên (không thu hồi).</t>
        </is>
      </c>
      <c r="M85" s="15" t="inlineStr"/>
      <c r="N85" s="18" t="inlineStr">
        <is>
          <t>Chưa test</t>
        </is>
      </c>
      <c r="O85" s="15" t="inlineStr"/>
      <c r="P85" s="15" t="inlineStr"/>
      <c r="Q85" s="18" t="inlineStr">
        <is>
          <t>Chưa test</t>
        </is>
      </c>
      <c r="R85" s="15" t="inlineStr"/>
    </row>
    <row r="86" ht="60" customHeight="1">
      <c r="A86" s="14" t="inlineStr">
        <is>
          <t>TC-COURSE-085</t>
        </is>
      </c>
      <c r="B86" s="15" t="inlineStr">
        <is>
          <t>Khóa học / Lớp học</t>
        </is>
      </c>
      <c r="C86" s="15" t="inlineStr">
        <is>
          <t>Lớp học - Trình soạn (mod+)</t>
        </is>
      </c>
      <c r="D86" s="15" t="inlineStr">
        <is>
          <t>Sắp xếp lại bài học trong module: hợp lệ và không hợp lệ</t>
        </is>
      </c>
      <c r="E86" s="15" t="inlineStr">
        <is>
          <t>Chức năng</t>
        </is>
      </c>
      <c r="F86" s="16" t="inlineStr">
        <is>
          <t>Cao</t>
        </is>
      </c>
      <c r="G86" s="17" t="inlineStr">
        <is>
          <t>Đã hoàn thiện</t>
        </is>
      </c>
      <c r="H86" s="17" t="inlineStr">
        <is>
          <t>Có</t>
        </is>
      </c>
      <c r="I86" s="15" t="inlineStr">
        <is>
          <t>Tiền điều kiện chung: đã `db:seed`, BE :4000, FE :5173; mật khẩu mọi tài khoản seed = Passw0rd!x. Đăng nhập mod; module thử X có 3 bài a, b, c.</t>
        </is>
      </c>
      <c r="J86" s="15" t="inlineStr">
        <is>
          <t>1. PUT /api/courses/photo/modules/{X}/lessons/order {ids:[c,a,b]}
2. PUT {ids:[a,b]}
3. PUT {ids:[a,b,les-photo-1-1]} (bài của module khác)
4. GET danh sách bài</t>
        </is>
      </c>
      <c r="K86" s="15" t="inlineStr">
        <is>
          <t>ids hoán vị</t>
        </is>
      </c>
      <c r="L86" s="15" t="inlineStr">
        <is>
          <t>Lần 1: 200 trả danh sách bài mới thứ tự c,a,b index 1..3. Lần 2 và 3: 400 BAD_REQUEST 'Danh sách sắp xếp phải gồm đủ và đúng các mục hiện có, không trùng lặp'. Prev/next của bài học đổi theo thứ tự mới.</t>
        </is>
      </c>
      <c r="M86" s="15" t="inlineStr"/>
      <c r="N86" s="18" t="inlineStr">
        <is>
          <t>Chưa test</t>
        </is>
      </c>
      <c r="O86" s="15" t="inlineStr"/>
      <c r="P86" s="15" t="inlineStr"/>
      <c r="Q86" s="18" t="inlineStr">
        <is>
          <t>Chưa test</t>
        </is>
      </c>
      <c r="R86" s="15" t="inlineStr"/>
    </row>
    <row r="87" ht="30" customHeight="1">
      <c r="A87" s="14" t="inlineStr">
        <is>
          <t>TC-COURSE-086</t>
        </is>
      </c>
      <c r="B87" s="15" t="inlineStr">
        <is>
          <t>Khóa học / Lớp học</t>
        </is>
      </c>
      <c r="C87" s="15" t="inlineStr">
        <is>
          <t>Lớp học - Trình soạn (mod+)</t>
        </is>
      </c>
      <c r="D87" s="15" t="inlineStr">
        <is>
          <t>Ma trận vai trò x thao tác soạn thảo: tạo module</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Tài khoản: (khách), newbie (chưa ở photo), banned (bị ban photo), member2 (member), mod, cadmin, owner, admin (Platform Admin). Photo.</t>
        </is>
      </c>
      <c r="J87" s="15" t="inlineStr">
        <is>
          <t>1. Mỗi vai trò gửi POST /api/courses/photo/modules {title:'Ma trận', description:'x'}
2. Xóa module tạo được</t>
        </is>
      </c>
      <c r="K87" s="15" t="inlineStr">
        <is>
          <t>8 vai trò</t>
        </is>
      </c>
      <c r="L87" s="15" t="inlineStr">
        <is>
          <t>Khách: 401 'Vui lòng đăng nhập để tiếp tục'. newbie, banned, member2: 403 FORBIDDEN 'Bạn không có quyền thực hiện thao tác này trong cộng đồng'. mod, cadmin, owner, admin: 201.</t>
        </is>
      </c>
      <c r="M87" s="15" t="inlineStr"/>
      <c r="N87" s="18" t="inlineStr">
        <is>
          <t>Chưa test</t>
        </is>
      </c>
      <c r="O87" s="15" t="inlineStr"/>
      <c r="P87" s="15" t="inlineStr"/>
      <c r="Q87" s="18" t="inlineStr">
        <is>
          <t>Chưa test</t>
        </is>
      </c>
      <c r="R87" s="15" t="inlineStr"/>
    </row>
    <row r="88" ht="135" customHeight="1">
      <c r="A88" s="14" t="inlineStr">
        <is>
          <t>TC-COURSE-087</t>
        </is>
      </c>
      <c r="B88" s="15" t="inlineStr">
        <is>
          <t>Khóa học / Lớp học</t>
        </is>
      </c>
      <c r="C88" s="15" t="inlineStr">
        <is>
          <t>Lớp học - Trình soạn (mod+)</t>
        </is>
      </c>
      <c r="D88" s="15" t="inlineStr">
        <is>
          <t>Member thường bị 403 ở cả 8 endpoint soạn thảo, dữ liệu không đổi</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member2. Ghi lại GET modules trước test.</t>
        </is>
      </c>
      <c r="J88"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88" s="15" t="inlineStr">
        <is>
          <t>hợp lệ về mặt body</t>
        </is>
      </c>
      <c r="L88" s="15" t="inlineStr">
        <is>
          <t>Cả 8 trả 403 FORBIDDEN 'Bạn không có quyền thực hiện thao tác này trong cộng đồng' (kiểm tra quyền chạy trước validate/đọc dữ liệu). Nội dung lớp học không thay đổi.</t>
        </is>
      </c>
      <c r="M88" s="15" t="inlineStr"/>
      <c r="N88" s="18" t="inlineStr">
        <is>
          <t>Chưa test</t>
        </is>
      </c>
      <c r="O88" s="15" t="inlineStr"/>
      <c r="P88" s="15" t="inlineStr"/>
      <c r="Q88" s="18" t="inlineStr">
        <is>
          <t>Chưa test</t>
        </is>
      </c>
      <c r="R88" s="15" t="inlineStr"/>
    </row>
    <row r="89" ht="60" customHeight="1">
      <c r="A89" s="14" t="inlineStr">
        <is>
          <t>TC-COURSE-088</t>
        </is>
      </c>
      <c r="B89" s="15" t="inlineStr">
        <is>
          <t>Khóa học / Lớp học</t>
        </is>
      </c>
      <c r="C89" s="15" t="inlineStr">
        <is>
          <t>Lớp học - Trình soạn (mod+)</t>
        </is>
      </c>
      <c r="D89" s="15" t="inlineStr">
        <is>
          <t>Mod của photo không sửa được nội dung lớp học của yt (IDOR giữa cộng đồng)</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mod@sofinhub.test (mod photo, KHÔNG là thành viên yt). Module mod-yt-1, bài les-yt-1-1 thuộc yt.</t>
        </is>
      </c>
      <c r="J89" s="15" t="inlineStr">
        <is>
          <t>1. PATCH /api/courses/yt/modules/mod-yt-1 {title:'Hack'}
2. DELETE /api/courses/yt/lessons/les-yt-1-1
3. POST /api/courses/yt/modules {title:'H', description:'x'}
4. PUT /api/courses/yt/modules/order {ids:[]}</t>
        </is>
      </c>
      <c r="K89" s="15" t="inlineStr">
        <is>
          <t>courseId=yt</t>
        </is>
      </c>
      <c r="L89" s="15" t="inlineStr">
        <is>
          <t>Cả 4: 403 FORBIDDEN 'Bạn không có quyền thực hiện thao tác này trong cộng đồng' (vai trò được tính theo TỪNG cộng đồng). Dữ liệu yt không đổi.</t>
        </is>
      </c>
      <c r="M89" s="15" t="inlineStr"/>
      <c r="N89" s="18" t="inlineStr">
        <is>
          <t>Chưa test</t>
        </is>
      </c>
      <c r="O89" s="15" t="inlineStr"/>
      <c r="P89" s="15" t="inlineStr"/>
      <c r="Q89" s="18" t="inlineStr">
        <is>
          <t>Chưa test</t>
        </is>
      </c>
      <c r="R89" s="15" t="inlineStr"/>
    </row>
    <row r="90" ht="75" customHeight="1">
      <c r="A90" s="14" t="inlineStr">
        <is>
          <t>TC-COURSE-089</t>
        </is>
      </c>
      <c r="B90" s="15" t="inlineStr">
        <is>
          <t>Khóa học / Lớp học</t>
        </is>
      </c>
      <c r="C90" s="15" t="inlineStr">
        <is>
          <t>Lớp học - Trình soạn (mod+)</t>
        </is>
      </c>
      <c r="D90" s="15" t="inlineStr">
        <is>
          <t>Trộn id: mod photo dùng id module/bài của yt qua URL photo trả 404</t>
        </is>
      </c>
      <c r="E90" s="15" t="inlineStr">
        <is>
          <t>Bảo mật</t>
        </is>
      </c>
      <c r="F90" s="16" t="inlineStr">
        <is>
          <t>Cao</t>
        </is>
      </c>
      <c r="G90" s="17" t="inlineStr">
        <is>
          <t>Đã hoàn thiện</t>
        </is>
      </c>
      <c r="H90" s="17" t="inlineStr">
        <is>
          <t>Có</t>
        </is>
      </c>
      <c r="I90" s="15" t="inlineStr">
        <is>
          <t>Tiền điều kiện chung: đã `db:seed`, BE :4000, FE :5173; mật khẩu mọi tài khoản seed = Passw0rd!x. Đăng nhập mod (mod photo, có quyền ở photo).</t>
        </is>
      </c>
      <c r="J90" s="15" t="inlineStr">
        <is>
          <t>1. PATCH /api/courses/photo/modules/mod-yt-1 {title:'H'}
2. DELETE /api/courses/photo/modules/mod-yt-1
3. POST /api/courses/photo/modules/mod-yt-1/lessons {...hợp lệ}
4. PATCH /api/courses/photo/lessons/les-yt-1-1 {title:'H'}
5. PUT /api/courses/photo/modules/mod-yt-1/lessons/order {ids:['les-yt-1-1']}</t>
        </is>
      </c>
      <c r="K90" s="15" t="inlineStr">
        <is>
          <t>id thuộc yt qua courseId=photo</t>
        </is>
      </c>
      <c r="L90" s="15" t="inlineStr">
        <is>
          <t>Cả 5: 404 NOT_FOUND ('Không tìm thấy module' / 'Không tìm thấy bài học'); nội dung yt không đổi.</t>
        </is>
      </c>
      <c r="M90" s="15" t="inlineStr"/>
      <c r="N90" s="18" t="inlineStr">
        <is>
          <t>Chưa test</t>
        </is>
      </c>
      <c r="O90" s="15" t="inlineStr"/>
      <c r="P90" s="15" t="inlineStr"/>
      <c r="Q90" s="18" t="inlineStr">
        <is>
          <t>Chưa test</t>
        </is>
      </c>
      <c r="R90" s="15" t="inlineStr"/>
    </row>
    <row r="91" ht="30" customHeight="1">
      <c r="A91" s="14" t="inlineStr">
        <is>
          <t>TC-COURSE-090</t>
        </is>
      </c>
      <c r="B91" s="15" t="inlineStr">
        <is>
          <t>Khóa học / Lớp học</t>
        </is>
      </c>
      <c r="C91" s="15" t="inlineStr">
        <is>
          <t>Lớp học - Trình soạn (mod+)</t>
        </is>
      </c>
      <c r="D91" s="15" t="inlineStr">
        <is>
          <t>Khóa học không tồn tại khi soạn thảo trả 404</t>
        </is>
      </c>
      <c r="E91" s="15" t="inlineStr">
        <is>
          <t>Chức năng</t>
        </is>
      </c>
      <c r="F91" s="17" t="inlineStr">
        <is>
          <t>Thấp</t>
        </is>
      </c>
      <c r="G91" s="17" t="inlineStr">
        <is>
          <t>Đã hoàn thiện</t>
        </is>
      </c>
      <c r="H91" s="17" t="inlineStr">
        <is>
          <t>Có</t>
        </is>
      </c>
      <c r="I91" s="15" t="inlineStr">
        <is>
          <t>Tiền điều kiện chung: đã `db:seed`, BE :4000, FE :5173; mật khẩu mọi tài khoản seed = Passw0rd!x. Đăng nhập owner.</t>
        </is>
      </c>
      <c r="J91" s="15" t="inlineStr">
        <is>
          <t>1. POST /api/courses/khong-co/modules {title:'A', description:'x'}
2. GET /api/courses/khong-co/modules</t>
        </is>
      </c>
      <c r="K91" s="15" t="inlineStr">
        <is>
          <t>courseId=khong-co</t>
        </is>
      </c>
      <c r="L91" s="15" t="inlineStr">
        <is>
          <t>Cả 2: 404 NOT_FOUND 'Không tìm thấy khóa học'.</t>
        </is>
      </c>
      <c r="M91" s="15" t="inlineStr"/>
      <c r="N91" s="18" t="inlineStr">
        <is>
          <t>Chưa test</t>
        </is>
      </c>
      <c r="O91" s="15" t="inlineStr"/>
      <c r="P91" s="15" t="inlineStr"/>
      <c r="Q91" s="18" t="inlineStr">
        <is>
          <t>Chưa test</t>
        </is>
      </c>
      <c r="R91" s="15" t="inlineStr"/>
    </row>
    <row r="92" ht="60" customHeight="1">
      <c r="A92" s="14" t="inlineStr">
        <is>
          <t>TC-COURSE-091</t>
        </is>
      </c>
      <c r="B92" s="15" t="inlineStr">
        <is>
          <t>Khóa học / Lớp học</t>
        </is>
      </c>
      <c r="C92" s="15" t="inlineStr">
        <is>
          <t>Lớp học - Trình soạn (mod+)</t>
        </is>
      </c>
      <c r="D92" s="15" t="inlineStr">
        <is>
          <t>UI: Member không thấy nút 'Chỉnh sửa lớp học'; mod thấy</t>
        </is>
      </c>
      <c r="E92" s="15" t="inlineStr">
        <is>
          <t>Giao diện</t>
        </is>
      </c>
      <c r="F92" s="16" t="inlineStr">
        <is>
          <t>Cao</t>
        </is>
      </c>
      <c r="G92" s="17" t="inlineStr">
        <is>
          <t>Đã hoàn thiện</t>
        </is>
      </c>
      <c r="H92" s="17" t="inlineStr">
        <is>
          <t>Có</t>
        </is>
      </c>
      <c r="I92" s="15" t="inlineStr">
        <is>
          <t>Tiền điều kiện chung: đã `db:seed`, BE :4000, FE :5173; mật khẩu mọi tài khoản seed = Passw0rd!x. Hai phiên: member2 và mod.</t>
        </is>
      </c>
      <c r="J92" s="15" t="inlineStr">
        <is>
          <t>1. member2 mở /courses/photo/community/lop-hoc - tìm nút 'Chỉnh sửa lớp học'
2. mod mở /courses/photo/community/lop-hoc
3. mod bấm 'Chỉnh sửa lớp học'
4. mod bấm 'Thoát chỉnh sửa'</t>
        </is>
      </c>
      <c r="K92" s="15" t="inlineStr">
        <is>
          <t>member2 và mod</t>
        </is>
      </c>
      <c r="L92"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92" s="15" t="inlineStr"/>
      <c r="N92" s="18" t="inlineStr">
        <is>
          <t>Chưa test</t>
        </is>
      </c>
      <c r="O92" s="15" t="inlineStr"/>
      <c r="P92" s="15" t="inlineStr"/>
      <c r="Q92" s="18" t="inlineStr">
        <is>
          <t>Chưa test</t>
        </is>
      </c>
      <c r="R92" s="15" t="inlineStr"/>
    </row>
    <row r="93" ht="60" customHeight="1">
      <c r="A93" s="14" t="inlineStr">
        <is>
          <t>TC-COURSE-092</t>
        </is>
      </c>
      <c r="B93" s="15" t="inlineStr">
        <is>
          <t>Khóa học / Lớp học</t>
        </is>
      </c>
      <c r="C93" s="15" t="inlineStr">
        <is>
          <t>Lớp học - Trình soạn (mod+)</t>
        </is>
      </c>
      <c r="D93" s="15" t="inlineStr">
        <is>
          <t>UI: thêm module qua hộp thoại 'Thêm module' và lỗi từ API hiển thị</t>
        </is>
      </c>
      <c r="E93" s="15" t="inlineStr">
        <is>
          <t>Giao diện</t>
        </is>
      </c>
      <c r="F93" s="16" t="inlineStr">
        <is>
          <t>Cao</t>
        </is>
      </c>
      <c r="G93" s="17" t="inlineStr">
        <is>
          <t>Đã hoàn thiện</t>
        </is>
      </c>
      <c r="H93" s="17" t="inlineStr">
        <is>
          <t>Có</t>
        </is>
      </c>
      <c r="I93" s="15" t="inlineStr">
        <is>
          <t>Tiền điều kiện chung: đã `db:seed`, BE :4000, FE :5173; mật khẩu mọi tài khoản seed = Passw0rd!x. Đăng nhập mod, đang ở chế độ chỉnh sửa.</t>
        </is>
      </c>
      <c r="J93" s="15" t="inlineStr">
        <is>
          <t>1. Bấm 'Thêm module'
2. Bấm 'Lưu' khi tên rỗng
3. Nhập tên 'UI thử', mô tả 'mô tả', chọn 'Cấp độ tối thiểu để mở khóa' = Cấp độ 2, ảnh bìa 'javascript:alert(1)' -&gt; Lưu
4. Sửa ảnh bìa thành https://example.com/a.jpg -&gt; Lưu</t>
        </is>
      </c>
      <c r="K93" s="15" t="inlineStr">
        <is>
          <t>tên 'UI thử'</t>
        </is>
      </c>
      <c r="L93" s="15" t="inlineStr">
        <is>
          <t>Tên rỗng hoặc ảnh bìa javascript: hiển thị lỗi từ API và không đóng hộp thoại. Lưu thành công: toast 'Đã tạo module', module xuất hiện cuối danh sách với chú thích 'Yêu cầu Cấp độ 2'.</t>
        </is>
      </c>
      <c r="M93" s="15" t="inlineStr"/>
      <c r="N93" s="18" t="inlineStr">
        <is>
          <t>Chưa test</t>
        </is>
      </c>
      <c r="O93" s="15" t="inlineStr"/>
      <c r="P93" s="15" t="inlineStr"/>
      <c r="Q93" s="18" t="inlineStr">
        <is>
          <t>Chưa test</t>
        </is>
      </c>
      <c r="R93" s="15" t="inlineStr"/>
    </row>
    <row r="94" ht="60" customHeight="1">
      <c r="A94" s="14" t="inlineStr">
        <is>
          <t>TC-COURSE-093</t>
        </is>
      </c>
      <c r="B94" s="15" t="inlineStr">
        <is>
          <t>Khóa học / Lớp học</t>
        </is>
      </c>
      <c r="C94" s="15" t="inlineStr">
        <is>
          <t>Lớp học - Trình soạn (mod+)</t>
        </is>
      </c>
      <c r="D94" s="15" t="inlineStr">
        <is>
          <t>UI: thêm bài học có kiểm tra thời lượng phía FE</t>
        </is>
      </c>
      <c r="E94" s="15" t="inlineStr">
        <is>
          <t>Giao diện</t>
        </is>
      </c>
      <c r="F94" s="20" t="inlineStr">
        <is>
          <t>Trung bình</t>
        </is>
      </c>
      <c r="G94" s="17" t="inlineStr">
        <is>
          <t>Đã hoàn thiện</t>
        </is>
      </c>
      <c r="H94" s="17" t="inlineStr">
        <is>
          <t>Có</t>
        </is>
      </c>
      <c r="I94" s="15" t="inlineStr">
        <is>
          <t>Tiền điều kiện chung: đã `db:seed`, BE :4000, FE :5173; mật khẩu mọi tài khoản seed = Passw0rd!x. Đăng nhập mod, chế độ chỉnh sửa, mở module thử bằng mũi tên 'Mở danh sách bài học'.</t>
        </is>
      </c>
      <c r="J94" s="15" t="inlineStr">
        <is>
          <t>1. Bấm 'Thêm bài học'
2. Nhập tiêu đề, thời lượng 1001 -&gt; Lưu
3. Đổi thời lượng 45, loại 'Video', link 'https://evil.com/v' -&gt; Lưu
4. Đổi link 'https://youtu.be/dQw4w9WgXcQ' -&gt; Lưu</t>
        </is>
      </c>
      <c r="K94" s="15" t="inlineStr">
        <is>
          <t>thời lượng 1001 rồi 45</t>
        </is>
      </c>
      <c r="L94"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94" s="15" t="inlineStr"/>
      <c r="N94" s="18" t="inlineStr">
        <is>
          <t>Chưa test</t>
        </is>
      </c>
      <c r="O94" s="15" t="inlineStr"/>
      <c r="P94" s="15" t="inlineStr"/>
      <c r="Q94" s="18" t="inlineStr">
        <is>
          <t>Chưa test</t>
        </is>
      </c>
      <c r="R94" s="15" t="inlineStr"/>
    </row>
    <row r="95" ht="45" customHeight="1">
      <c r="A95" s="14" t="inlineStr">
        <is>
          <t>TC-COURSE-094</t>
        </is>
      </c>
      <c r="B95" s="15" t="inlineStr">
        <is>
          <t>Khóa học / Lớp học</t>
        </is>
      </c>
      <c r="C95" s="15" t="inlineStr">
        <is>
          <t>Lớp học - Trình soạn (mod+)</t>
        </is>
      </c>
      <c r="D95" s="15" t="inlineStr">
        <is>
          <t>UI: xóa module/bài hiện hộp xác nhận nêu rõ hậu quả</t>
        </is>
      </c>
      <c r="E95" s="15" t="inlineStr">
        <is>
          <t>Giao diện</t>
        </is>
      </c>
      <c r="F95" s="20" t="inlineStr">
        <is>
          <t>Trung bình</t>
        </is>
      </c>
      <c r="G95" s="17" t="inlineStr">
        <is>
          <t>Đã hoàn thiện</t>
        </is>
      </c>
      <c r="H95" s="17" t="inlineStr">
        <is>
          <t>Có</t>
        </is>
      </c>
      <c r="I95" s="15" t="inlineStr">
        <is>
          <t>Tiền điều kiện chung: đã `db:seed`, BE :4000, FE :5173; mật khẩu mọi tài khoản seed = Passw0rd!x. Đăng nhập mod, module thử có 2 bài.</t>
        </is>
      </c>
      <c r="J95" s="15" t="inlineStr">
        <is>
          <t>1. Bấm 'Xóa module' -&gt; đọc nội dung hộp thoại -&gt; Hủy
2. Bấm 'Xóa bài học' trên 1 bài -&gt; đọc nội dung
3. Xác nhận 'Xóa bài học', sau đó 'Xóa module'</t>
        </is>
      </c>
      <c r="K95" s="15" t="inlineStr">
        <is>
          <t>module thử có 2 bài</t>
        </is>
      </c>
      <c r="L95"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95" s="15" t="inlineStr"/>
      <c r="N95" s="18" t="inlineStr">
        <is>
          <t>Chưa test</t>
        </is>
      </c>
      <c r="O95" s="15" t="inlineStr"/>
      <c r="P95" s="15" t="inlineStr"/>
      <c r="Q95" s="18" t="inlineStr">
        <is>
          <t>Chưa test</t>
        </is>
      </c>
      <c r="R95" s="15" t="inlineStr"/>
    </row>
    <row r="96" ht="60" customHeight="1">
      <c r="A96" s="14" t="inlineStr">
        <is>
          <t>TC-COURSE-095</t>
        </is>
      </c>
      <c r="B96" s="15" t="inlineStr">
        <is>
          <t>Khóa học / Lớp học</t>
        </is>
      </c>
      <c r="C96" s="15" t="inlineStr">
        <is>
          <t>Lớp học - Trình soạn (mod+)</t>
        </is>
      </c>
      <c r="D96" s="15" t="inlineStr">
        <is>
          <t>UI: nút lên/xuống đổi thứ tự module và bài; nút đầu/cuối bị vô hiệu</t>
        </is>
      </c>
      <c r="E96" s="15" t="inlineStr">
        <is>
          <t>Giao diện</t>
        </is>
      </c>
      <c r="F96" s="20" t="inlineStr">
        <is>
          <t>Trung bình</t>
        </is>
      </c>
      <c r="G96" s="17" t="inlineStr">
        <is>
          <t>Đã hoàn thiện</t>
        </is>
      </c>
      <c r="H96" s="17" t="inlineStr">
        <is>
          <t>Có</t>
        </is>
      </c>
      <c r="I96" s="15" t="inlineStr">
        <is>
          <t>Tiền điều kiện chung: đã `db:seed`, BE :4000, FE :5173; mật khẩu mọi tài khoản seed = Passw0rd!x. Đăng nhập mod, có ít nhất 3 module thử.</t>
        </is>
      </c>
      <c r="J96" s="15" t="inlineStr">
        <is>
          <t>1. Bấm 'Đưa module xuống' ở module đầu
2. Tải lại trang, kiểm tra thứ tự được giữ
3. Kiểm tra 'Đưa module lên' của module đầu và 'Đưa module xuống' của module cuối
4. Lặp lại với 'Đưa bài học lên/xuống'</t>
        </is>
      </c>
      <c r="K96" s="15" t="inlineStr">
        <is>
          <t>3 module thử</t>
        </is>
      </c>
      <c r="L96" s="15" t="inlineStr">
        <is>
          <t>Thứ tự đổi ngay và giữ nguyên sau khi tải lại (đã lưu ở server, PUT order). Nút lên của phần tử đầu và nút xuống của phần tử cuối bị disabled. Không có kéo-thả (giới hạn hiện tại).</t>
        </is>
      </c>
      <c r="M96" s="15" t="inlineStr"/>
      <c r="N96" s="18" t="inlineStr">
        <is>
          <t>Chưa test</t>
        </is>
      </c>
      <c r="O96" s="15" t="inlineStr"/>
      <c r="P96" s="15" t="inlineStr"/>
      <c r="Q96" s="18" t="inlineStr">
        <is>
          <t>Chưa test</t>
        </is>
      </c>
      <c r="R96" s="15" t="inlineStr"/>
    </row>
    <row r="97" ht="90" customHeight="1">
      <c r="A97" s="14" t="inlineStr">
        <is>
          <t>TC-COURSE-096</t>
        </is>
      </c>
      <c r="B97" s="15" t="inlineStr">
        <is>
          <t>Khóa học / Lớp học</t>
        </is>
      </c>
      <c r="C97" s="15" t="inlineStr">
        <is>
          <t>Lớp học - Quyền truy cập</t>
        </is>
      </c>
      <c r="D97" s="15" t="inlineStr">
        <is>
          <t>Khách chưa đăng nhập gọi mọi API học tập -&gt; 401</t>
        </is>
      </c>
      <c r="E97" s="15" t="inlineStr">
        <is>
          <t>Bảo mật</t>
        </is>
      </c>
      <c r="F97" s="16" t="inlineStr">
        <is>
          <t>Cao</t>
        </is>
      </c>
      <c r="G97" s="17" t="inlineStr">
        <is>
          <t>Đã hoàn thiện</t>
        </is>
      </c>
      <c r="H97" s="17" t="inlineStr">
        <is>
          <t>Có</t>
        </is>
      </c>
      <c r="I97" s="15" t="inlineStr">
        <is>
          <t>Tiền điều kiện chung: đã `db:seed`, BE :4000, FE :5173; mật khẩu mọi tài khoản seed = Passw0rd!x. Không gửi token.</t>
        </is>
      </c>
      <c r="J97" s="15" t="inlineStr">
        <is>
          <t>1. GET /api/courses/photo/modules
2. GET .../modules/mod-photo-1/lessons
3. GET .../lessons/les-photo-1-1
4. POST .../lessons/les-photo-1-1/complete
5. GET .../progress
6. GET .../classroom-settings</t>
        </is>
      </c>
      <c r="K97" s="15" t="inlineStr">
        <is>
          <t>không có Authorization</t>
        </is>
      </c>
      <c r="L97" s="15" t="inlineStr">
        <is>
          <t>Cả 6: 401 UNAUTHORIZED 'Vui lòng đăng nhập để tiếp tục'.</t>
        </is>
      </c>
      <c r="M97" s="15" t="inlineStr"/>
      <c r="N97" s="18" t="inlineStr">
        <is>
          <t>Chưa test</t>
        </is>
      </c>
      <c r="O97" s="15" t="inlineStr"/>
      <c r="P97" s="15" t="inlineStr"/>
      <c r="Q97" s="18" t="inlineStr">
        <is>
          <t>Chưa test</t>
        </is>
      </c>
      <c r="R97" s="15" t="inlineStr"/>
    </row>
    <row r="98" ht="30" customHeight="1">
      <c r="A98" s="14" t="inlineStr">
        <is>
          <t>TC-COURSE-097</t>
        </is>
      </c>
      <c r="B98" s="15" t="inlineStr">
        <is>
          <t>Khóa học / Lớp học</t>
        </is>
      </c>
      <c r="C98" s="15" t="inlineStr">
        <is>
          <t>Lớp học - Quyền truy cập</t>
        </is>
      </c>
      <c r="D98" s="15" t="inlineStr">
        <is>
          <t>newbie (chưa tham gia photo) bị 403 ở mọi API đọc/học</t>
        </is>
      </c>
      <c r="E98" s="15" t="inlineStr">
        <is>
          <t>Bảo mật</t>
        </is>
      </c>
      <c r="F98" s="16" t="inlineStr">
        <is>
          <t>Cao</t>
        </is>
      </c>
      <c r="G98" s="17" t="inlineStr">
        <is>
          <t>Đã hoàn thiện</t>
        </is>
      </c>
      <c r="H98" s="17" t="inlineStr">
        <is>
          <t>Có</t>
        </is>
      </c>
      <c r="I98" s="15" t="inlineStr">
        <is>
          <t>Tiền điều kiện chung: đã `db:seed`, BE :4000, FE :5173; mật khẩu mọi tài khoản seed = Passw0rd!x. Đăng nhập newbie@sofinhub.test (chưa ở cộng đồng nào).</t>
        </is>
      </c>
      <c r="J98" s="15" t="inlineStr">
        <is>
          <t>1. Gọi 6 API đọc/học như case khách (modules, lessons, lesson, complete, progress, classroom-settings) với photo</t>
        </is>
      </c>
      <c r="K98" s="15" t="inlineStr">
        <is>
          <t>newbie</t>
        </is>
      </c>
      <c r="L98" s="15" t="inlineStr">
        <is>
          <t>Cả 6: 403 FORBIDDEN 'Bạn cần tham gia cộng đồng này trước'; không tạo LessonProgress.</t>
        </is>
      </c>
      <c r="M98" s="15" t="inlineStr"/>
      <c r="N98" s="18" t="inlineStr">
        <is>
          <t>Chưa test</t>
        </is>
      </c>
      <c r="O98" s="15" t="inlineStr"/>
      <c r="P98" s="15" t="inlineStr"/>
      <c r="Q98" s="18" t="inlineStr">
        <is>
          <t>Chưa test</t>
        </is>
      </c>
      <c r="R98" s="15" t="inlineStr"/>
    </row>
    <row r="99" ht="45" customHeight="1">
      <c r="A99" s="14" t="inlineStr">
        <is>
          <t>TC-COURSE-098</t>
        </is>
      </c>
      <c r="B99" s="15" t="inlineStr">
        <is>
          <t>Khóa học / Lớp học</t>
        </is>
      </c>
      <c r="C99" s="15" t="inlineStr">
        <is>
          <t>Lớp học - Quyền truy cập</t>
        </is>
      </c>
      <c r="D99" s="15" t="inlineStr">
        <is>
          <t>banned bị 403 ở lớp học photo</t>
        </is>
      </c>
      <c r="E99" s="15" t="inlineStr">
        <is>
          <t>Bảo mật</t>
        </is>
      </c>
      <c r="F99" s="16" t="inlineStr">
        <is>
          <t>Cao</t>
        </is>
      </c>
      <c r="G99" s="17" t="inlineStr">
        <is>
          <t>Đã hoàn thiện</t>
        </is>
      </c>
      <c r="H99" s="17" t="inlineStr">
        <is>
          <t>Có</t>
        </is>
      </c>
      <c r="I99" s="15" t="inlineStr">
        <is>
          <t>Tiền điều kiện chung: đã `db:seed`, BE :4000, FE :5173; mật khẩu mọi tài khoản seed = Passw0rd!x. Đăng nhập banned@sofinhub.test (bị ban khỏi photo).</t>
        </is>
      </c>
      <c r="J99" s="15" t="inlineStr">
        <is>
          <t>1. GET /api/courses/photo/modules
2. POST /api/courses/photo/lessons/les-photo-1-1/complete
3. Mở UI /courses/photo/community/lop-hoc</t>
        </is>
      </c>
      <c r="K99" s="15" t="inlineStr">
        <is>
          <t>banned</t>
        </is>
      </c>
      <c r="L99" s="15" t="inlineStr">
        <is>
          <t>API: 403 FORBIDDEN 'Bạn cần tham gia cộng đồng này trước'. UI: không vào được lớp học (bị chặn/chuyển hướng như cộng đồng cấm).</t>
        </is>
      </c>
      <c r="M99" s="15" t="inlineStr"/>
      <c r="N99" s="18" t="inlineStr">
        <is>
          <t>Chưa test</t>
        </is>
      </c>
      <c r="O99" s="15" t="inlineStr"/>
      <c r="P99" s="15" t="inlineStr"/>
      <c r="Q99" s="18" t="inlineStr">
        <is>
          <t>Chưa test</t>
        </is>
      </c>
      <c r="R99" s="15" t="inlineStr"/>
    </row>
    <row r="100" ht="45" customHeight="1">
      <c r="A100" s="14" t="inlineStr">
        <is>
          <t>TC-COURSE-099</t>
        </is>
      </c>
      <c r="B100" s="15" t="inlineStr">
        <is>
          <t>Khóa học / Lớp học</t>
        </is>
      </c>
      <c r="C100" s="15" t="inlineStr">
        <is>
          <t>Lớp học - Quyền truy cập</t>
        </is>
      </c>
      <c r="D100" s="15" t="inlineStr">
        <is>
          <t>member2 không xem được lớp học yt (chỉ thuộc photo)</t>
        </is>
      </c>
      <c r="E100" s="15" t="inlineStr">
        <is>
          <t>Bảo mật</t>
        </is>
      </c>
      <c r="F100" s="20" t="inlineStr">
        <is>
          <t>Trung bình</t>
        </is>
      </c>
      <c r="G100" s="17" t="inlineStr">
        <is>
          <t>Đã hoàn thiện</t>
        </is>
      </c>
      <c r="H100" s="17" t="inlineStr">
        <is>
          <t>Có</t>
        </is>
      </c>
      <c r="I100" s="15" t="inlineStr">
        <is>
          <t>Tiền điều kiện chung: đã `db:seed`, BE :4000, FE :5173; mật khẩu mọi tài khoản seed = Passw0rd!x. Đăng nhập member2 (chỉ thuộc photo).</t>
        </is>
      </c>
      <c r="J100" s="15" t="inlineStr">
        <is>
          <t>1. GET /api/courses/yt/modules
2. GET /api/courses/yt/lessons/les-yt-1-1
3. GET /api/courses/yt/progress</t>
        </is>
      </c>
      <c r="K100" s="15" t="inlineStr">
        <is>
          <t>courseId=yt</t>
        </is>
      </c>
      <c r="L100" s="15" t="inlineStr">
        <is>
          <t>Cả 3: 403 FORBIDDEN 'Bạn cần tham gia cộng đồng này trước'.</t>
        </is>
      </c>
      <c r="M100" s="15" t="inlineStr"/>
      <c r="N100" s="18" t="inlineStr">
        <is>
          <t>Chưa test</t>
        </is>
      </c>
      <c r="O100" s="15" t="inlineStr"/>
      <c r="P100" s="15" t="inlineStr"/>
      <c r="Q100" s="18" t="inlineStr">
        <is>
          <t>Chưa test</t>
        </is>
      </c>
      <c r="R100" s="15" t="inlineStr"/>
    </row>
    <row r="101" ht="60" customHeight="1">
      <c r="A101" s="14" t="inlineStr">
        <is>
          <t>TC-COURSE-100</t>
        </is>
      </c>
      <c r="B101" s="15" t="inlineStr">
        <is>
          <t>Khóa học / Lớp học</t>
        </is>
      </c>
      <c r="C101" s="15" t="inlineStr">
        <is>
          <t>Lớp học - Quyền truy cập</t>
        </is>
      </c>
      <c r="D101" s="15" t="inlineStr">
        <is>
          <t>Cộng đồng bị khóa: học viên bị COMMUNITY_LOCKED, Platform Admin vẫn qua</t>
        </is>
      </c>
      <c r="E101" s="15" t="inlineStr">
        <is>
          <t>Bảo mật</t>
        </is>
      </c>
      <c r="F101" s="20" t="inlineStr">
        <is>
          <t>Trung bình</t>
        </is>
      </c>
      <c r="G101" s="17" t="inlineStr">
        <is>
          <t>Đã hoàn thiện</t>
        </is>
      </c>
      <c r="H101" s="17" t="inlineStr">
        <is>
          <t>Có</t>
        </is>
      </c>
      <c r="I101" s="15" t="inlineStr">
        <is>
          <t>Tiền điều kiện chung: đã `db:seed`, BE :4000, FE :5173; mật khẩu mọi tài khoản seed = Passw0rd!x. Platform Admin khóa cộng đồng photo qua chức năng khóa của Admin (xem ADMIN); member2 là thành viên photo. Mở khóa sau test.</t>
        </is>
      </c>
      <c r="J101" s="15" t="inlineStr">
        <is>
          <t>1. admin khóa photo
2. member2: GET /api/courses/photo/modules
3. admin (chưa ghi danh): GET /api/courses/photo/modules
4. admin mở khóa lại</t>
        </is>
      </c>
      <c r="K101" s="15" t="inlineStr">
        <is>
          <t>photo bị khóa</t>
        </is>
      </c>
      <c r="L101" s="15" t="inlineStr">
        <is>
          <t>member2: 403 COMMUNITY_LOCKED 'Cộng đồng này đang bị khóa'. admin: 200 (Platform Admin qua cả kiểm khóa lẫn kiểm ghi danh). Sau khi mở khóa: 200 lại bình thường.</t>
        </is>
      </c>
      <c r="M101" s="15" t="inlineStr"/>
      <c r="N101" s="18" t="inlineStr">
        <is>
          <t>Chưa test</t>
        </is>
      </c>
      <c r="O101" s="15" t="inlineStr"/>
      <c r="P101" s="15" t="inlineStr"/>
      <c r="Q101" s="18" t="inlineStr">
        <is>
          <t>Chưa test</t>
        </is>
      </c>
      <c r="R101" s="15" t="inlineStr"/>
    </row>
    <row r="102" ht="45" customHeight="1">
      <c r="A102" s="14" t="inlineStr">
        <is>
          <t>TC-COURSE-101</t>
        </is>
      </c>
      <c r="B102" s="15" t="inlineStr">
        <is>
          <t>Khóa học / Lớp học</t>
        </is>
      </c>
      <c r="C102" s="15" t="inlineStr">
        <is>
          <t>Lớp học - Bảo mật nội dung</t>
        </is>
      </c>
      <c r="D102" s="15" t="inlineStr">
        <is>
          <t>XSS trong body bài học được hiển thị dạng văn bản thuần</t>
        </is>
      </c>
      <c r="E102" s="15" t="inlineStr">
        <is>
          <t>Bảo mật</t>
        </is>
      </c>
      <c r="F102" s="16" t="inlineStr">
        <is>
          <t>Cao</t>
        </is>
      </c>
      <c r="G102" s="17" t="inlineStr">
        <is>
          <t>Đã hoàn thiện</t>
        </is>
      </c>
      <c r="H102" s="17" t="inlineStr">
        <is>
          <t>Có</t>
        </is>
      </c>
      <c r="I102" s="15" t="inlineStr">
        <is>
          <t>Tiền điều kiện chung: đã `db:seed`, BE :4000, FE :5173; mật khẩu mọi tài khoản seed = Passw0rd!x. Đăng nhập mod, tạo bài text với body chứa mã độc; mở bằng member1 (bắt sự kiện dialog/console bằng Playwright).</t>
        </is>
      </c>
      <c r="J102" s="15" t="inlineStr">
        <is>
          <t>1. POST lesson {title:'XSS', type:'text', durationMin:1, body:'&lt;script&gt;window.__x=1&lt;/script&gt;&lt;img src=x onerror="window.__x=2"&gt;&lt;b&gt;đậm&lt;/b&gt;'}
2. member1 mở /courses/photo/community/lop-hoc/{lessonId}
3. Kiểm tra window.__x và DOM</t>
        </is>
      </c>
      <c r="K102" s="15" t="inlineStr">
        <is>
          <t>body chứa &lt;script&gt;, &lt;img onerror&gt;, &lt;b&gt;</t>
        </is>
      </c>
      <c r="L102" s="15" t="inlineStr">
        <is>
          <t>API lưu nguyên chuỗi. UI hiển thị các thẻ dưới dạng văn bản (thấy chữ '&lt;script&gt;...'), KHÔNG chạy script, window.__x undefined, không có thẻ &lt;img&gt;/&lt;b&gt; thật trong vùng nội dung, không có hộp thoại.</t>
        </is>
      </c>
      <c r="M102" s="15" t="inlineStr"/>
      <c r="N102" s="18" t="inlineStr">
        <is>
          <t>Chưa test</t>
        </is>
      </c>
      <c r="O102" s="15" t="inlineStr"/>
      <c r="P102" s="15" t="inlineStr"/>
      <c r="Q102" s="18" t="inlineStr">
        <is>
          <t>Chưa test</t>
        </is>
      </c>
      <c r="R102" s="15" t="inlineStr"/>
    </row>
    <row r="103" ht="45" customHeight="1">
      <c r="A103" s="14" t="inlineStr">
        <is>
          <t>TC-COURSE-102</t>
        </is>
      </c>
      <c r="B103" s="15" t="inlineStr">
        <is>
          <t>Khóa học / Lớp học</t>
        </is>
      </c>
      <c r="C103" s="15" t="inlineStr">
        <is>
          <t>Lớp học - Bảo mật nội dung</t>
        </is>
      </c>
      <c r="D103" s="15" t="inlineStr">
        <is>
          <t>XSS trong tiêu đề module/bài học và tên tệp đính kèm</t>
        </is>
      </c>
      <c r="E103" s="15" t="inlineStr">
        <is>
          <t>Bảo mật</t>
        </is>
      </c>
      <c r="F103" s="16" t="inlineStr">
        <is>
          <t>Cao</t>
        </is>
      </c>
      <c r="G103" s="17" t="inlineStr">
        <is>
          <t>Đã hoàn thiện</t>
        </is>
      </c>
      <c r="H103" s="17" t="inlineStr">
        <is>
          <t>Có</t>
        </is>
      </c>
      <c r="I103" s="15" t="inlineStr">
        <is>
          <t>Tiền điều kiện chung: đã `db:seed`, BE :4000, FE :5173; mật khẩu mọi tài khoản seed = Passw0rd!x. Đăng nhập mod tạo module title '&lt;img src=x onerror=alert(1)&gt;' và bài có title '"&gt;&lt;svg onload=alert(1)&gt;', attachment name '&lt;b&gt;x&lt;/b&gt;'.</t>
        </is>
      </c>
      <c r="J103" s="15" t="inlineStr">
        <is>
          <t>1. Tạo module/bài/tệp với các chuỗi trên
2. member1 mở /courses/photo/community/lop-hoc, mở module, mở bài
3. Mod mở chế độ chỉnh sửa</t>
        </is>
      </c>
      <c r="K103" s="15" t="inlineStr">
        <is>
          <t>3 chuỗi độc hại</t>
        </is>
      </c>
      <c r="L103" s="15" t="inlineStr">
        <is>
          <t>Ở danh sách, trang học, sidebar và trình soạn: hiển thị đúng dạng chữ, không thực thi, không bung hộp thoại alert; breadcrumb/aria-label không bị phá vỡ.</t>
        </is>
      </c>
      <c r="M103" s="15" t="inlineStr"/>
      <c r="N103" s="18" t="inlineStr">
        <is>
          <t>Chưa test</t>
        </is>
      </c>
      <c r="O103" s="15" t="inlineStr"/>
      <c r="P103" s="15" t="inlineStr"/>
      <c r="Q103" s="18" t="inlineStr">
        <is>
          <t>Chưa test</t>
        </is>
      </c>
      <c r="R103" s="15" t="inlineStr"/>
    </row>
    <row r="104" ht="45" customHeight="1">
      <c r="A104" s="14" t="inlineStr">
        <is>
          <t>TC-COURSE-103</t>
        </is>
      </c>
      <c r="B104" s="15" t="inlineStr">
        <is>
          <t>Khóa học / Lớp học</t>
        </is>
      </c>
      <c r="C104" s="15" t="inlineStr">
        <is>
          <t>Lớp học - Bảo mật nội dung</t>
        </is>
      </c>
      <c r="D104" s="15" t="inlineStr">
        <is>
          <t>Link tải đính kèm javascript:/data: bị API chặn ngay từ đầu</t>
        </is>
      </c>
      <c r="E104" s="15" t="inlineStr">
        <is>
          <t>Bảo mật</t>
        </is>
      </c>
      <c r="F104" s="16" t="inlineStr">
        <is>
          <t>Cao</t>
        </is>
      </c>
      <c r="G104" s="17" t="inlineStr">
        <is>
          <t>Đã hoàn thiện</t>
        </is>
      </c>
      <c r="H104" s="17" t="inlineStr">
        <is>
          <t>Có</t>
        </is>
      </c>
      <c r="I104" s="15" t="inlineStr">
        <is>
          <t>Tiền điều kiện chung: đã `db:seed`, BE :4000, FE :5173; mật khẩu mọi tài khoản seed = Passw0rd!x. Đăng nhập mod.</t>
        </is>
      </c>
      <c r="J104" s="15" t="inlineStr">
        <is>
          <t>1. POST lesson attachments:[{name:'x', url:'javascript:alert(1)'}]
2. POST attachments:[{name:'x', url:'data:text/html;base64,PHNjcmlwdD4='}]
3. PATCH lesson với url tương tự</t>
        </is>
      </c>
      <c r="K104" s="15" t="inlineStr">
        <is>
          <t>2 URL độc hại</t>
        </is>
      </c>
      <c r="L104" s="15" t="inlineStr">
        <is>
          <t>Cả 3: 400 VALIDATION_ERROR ('Tham số không hợp lệ', details.fieldErrors) ('Đường dẫn phải bắt đầu bằng http:// hoặc https://'); bài không được lưu/cập nhật.</t>
        </is>
      </c>
      <c r="M104" s="15" t="inlineStr"/>
      <c r="N104" s="18" t="inlineStr">
        <is>
          <t>Chưa test</t>
        </is>
      </c>
      <c r="O104" s="15" t="inlineStr"/>
      <c r="P104" s="15" t="inlineStr"/>
      <c r="Q104" s="18" t="inlineStr">
        <is>
          <t>Chưa test</t>
        </is>
      </c>
      <c r="R104" s="15" t="inlineStr"/>
    </row>
    <row r="105" ht="45" customHeight="1">
      <c r="A105" s="14" t="inlineStr">
        <is>
          <t>TC-COURSE-104</t>
        </is>
      </c>
      <c r="B105" s="15" t="inlineStr">
        <is>
          <t>Khóa học / Lớp học</t>
        </is>
      </c>
      <c r="C105" s="15" t="inlineStr">
        <is>
          <t>Lớp học - Bảo mật nội dung</t>
        </is>
      </c>
      <c r="D105" s="15" t="inlineStr">
        <is>
          <t>Body bài học đúng 50000 ký tự hiển thị được, không vỡ layout</t>
        </is>
      </c>
      <c r="E105" s="15" t="inlineStr">
        <is>
          <t>Hiệu năng</t>
        </is>
      </c>
      <c r="F105" s="17" t="inlineStr">
        <is>
          <t>Thấp</t>
        </is>
      </c>
      <c r="G105" s="17" t="inlineStr">
        <is>
          <t>Đã hoàn thiện</t>
        </is>
      </c>
      <c r="H105" s="20" t="inlineStr">
        <is>
          <t>Một phần</t>
        </is>
      </c>
      <c r="I105" s="15" t="inlineStr">
        <is>
          <t>Tiền điều kiện chung: đã `db:seed`, BE :4000, FE :5173; mật khẩu mọi tài khoản seed = Passw0rd!x. Đăng nhập mod tạo bài với body 'A ' lặp đến đúng 50000 ký tự; mở bằng member1.</t>
        </is>
      </c>
      <c r="J105" s="15" t="inlineStr">
        <is>
          <t>1. POST lesson body 50000 ký tự
2. member1 mở trang bài học
3. Kéo cuộn và bấm 'Bài sau'</t>
        </is>
      </c>
      <c r="K105" s="15" t="inlineStr">
        <is>
          <t>body 50000 ký tự</t>
        </is>
      </c>
      <c r="L105" s="15" t="inlineStr">
        <is>
          <t>201; trang tải trong thời gian hợp lý, không tràn ngang, các nút Hoàn thành/Bài trước/Bài sau vẫn dùng được.</t>
        </is>
      </c>
      <c r="M105" s="15" t="inlineStr"/>
      <c r="N105" s="18" t="inlineStr">
        <is>
          <t>Chưa test</t>
        </is>
      </c>
      <c r="O105" s="15" t="inlineStr"/>
      <c r="P105" s="15" t="inlineStr"/>
      <c r="Q105" s="18" t="inlineStr">
        <is>
          <t>Chưa test</t>
        </is>
      </c>
      <c r="R105" s="15" t="inlineStr"/>
    </row>
    <row r="106" ht="45" customHeight="1">
      <c r="A106" s="14" t="inlineStr">
        <is>
          <t>TC-COURSE-105</t>
        </is>
      </c>
      <c r="B106" s="15" t="inlineStr">
        <is>
          <t>Khóa học / Lớp học</t>
        </is>
      </c>
      <c r="C106" s="15" t="inlineStr">
        <is>
          <t>Lớp học - Giao diện chung</t>
        </is>
      </c>
      <c r="D106" s="15" t="inlineStr">
        <is>
          <t>Trang học hiển thị đúng ở màn hình điện thoại (375px)</t>
        </is>
      </c>
      <c r="E106" s="15" t="inlineStr">
        <is>
          <t>Giao diện</t>
        </is>
      </c>
      <c r="F106" s="17" t="inlineStr">
        <is>
          <t>Thấp</t>
        </is>
      </c>
      <c r="G106" s="17" t="inlineStr">
        <is>
          <t>Đã hoàn thiện</t>
        </is>
      </c>
      <c r="H106" s="20" t="inlineStr">
        <is>
          <t>Một phần</t>
        </is>
      </c>
      <c r="I106" s="15" t="inlineStr">
        <is>
          <t>Tiền điều kiện chung: đã `db:seed`, BE :4000, FE :5173; mật khẩu mọi tài khoản seed = Passw0rd!x. Đăng nhập member1; viewport 375x812.</t>
        </is>
      </c>
      <c r="J106" s="15" t="inlineStr">
        <is>
          <t>1. Mở /courses/photo/community/lop-hoc/les-photo-2-1
2. Kiểm tra không có cuộn ngang, khung video giữ tỉ lệ 16:9, nút Hoàn thành/Bài trước/Bài sau bấm được
3. Mở /courses/photo/community/lop-hoc kiểm tra thẻ module</t>
        </is>
      </c>
      <c r="K106" s="15" t="inlineStr">
        <is>
          <t>viewport 375x812</t>
        </is>
      </c>
      <c r="L106" s="15" t="inlineStr">
        <is>
          <t>Không tràn ngang; khung video co theo chiều rộng; danh sách bài chuyển xuống dưới nội dung; thẻ module xếp 1 cột.</t>
        </is>
      </c>
      <c r="M106" s="15" t="inlineStr"/>
      <c r="N106" s="18" t="inlineStr">
        <is>
          <t>Chưa test</t>
        </is>
      </c>
      <c r="O106" s="15" t="inlineStr"/>
      <c r="P106" s="15" t="inlineStr"/>
      <c r="Q106" s="18" t="inlineStr">
        <is>
          <t>Chưa test</t>
        </is>
      </c>
      <c r="R106" s="15" t="inlineStr"/>
    </row>
    <row r="107" ht="45" customHeight="1">
      <c r="A107" s="14" t="inlineStr">
        <is>
          <t>TC-COURSE-106</t>
        </is>
      </c>
      <c r="B107" s="15" t="inlineStr">
        <is>
          <t>Khóa học / Lớp học</t>
        </is>
      </c>
      <c r="C107" s="15" t="inlineStr">
        <is>
          <t>Lớp học - Giao diện chung</t>
        </is>
      </c>
      <c r="D107" s="15" t="inlineStr">
        <is>
          <t>Hết hạn token giữa chừng khi hoàn thành bài: chuyển về đăng nhập</t>
        </is>
      </c>
      <c r="E107" s="15" t="inlineStr">
        <is>
          <t>Chức năng</t>
        </is>
      </c>
      <c r="F107" s="17" t="inlineStr">
        <is>
          <t>Thấp</t>
        </is>
      </c>
      <c r="G107" s="17" t="inlineStr">
        <is>
          <t>Đã hoàn thiện</t>
        </is>
      </c>
      <c r="H107" s="20" t="inlineStr">
        <is>
          <t>Một phần</t>
        </is>
      </c>
      <c r="I107" s="15" t="inlineStr">
        <is>
          <t>Tiền điều kiện chung: đã `db:seed`, BE :4000, FE :5173; mật khẩu mọi tài khoản seed = Passw0rd!x. Đăng nhập member2, đang ở trang bài học; xóa/hủy hiệu lực token (đăng xuất ở tab khác).</t>
        </is>
      </c>
      <c r="J107" s="15" t="inlineStr">
        <is>
          <t>1. Ở tab 1 mở /courses/photo/community/lop-hoc/les-photo-1-3
2. Ở tab 2 đăng xuất mọi thiết bị
3. Tab 1 bấm 'Hoàn thành'</t>
        </is>
      </c>
      <c r="K107" s="15" t="inlineStr">
        <is>
          <t>token bị thu hồi</t>
        </is>
      </c>
      <c r="L107" s="15" t="inlineStr">
        <is>
          <t>API 401 UNAUTHORIZED; UI không báo hoàn thành giả, chuyển về trang đăng nhập hoặc báo phiên hết hạn; không có LessonProgress mới.</t>
        </is>
      </c>
      <c r="M107" s="15" t="inlineStr"/>
      <c r="N107" s="18" t="inlineStr">
        <is>
          <t>Chưa test</t>
        </is>
      </c>
      <c r="O107" s="15" t="inlineStr"/>
      <c r="P107" s="15" t="inlineStr"/>
      <c r="Q107" s="18" t="inlineStr">
        <is>
          <t>Chưa test</t>
        </is>
      </c>
      <c r="R107" s="15" t="inlineStr"/>
    </row>
    <row r="108" ht="45" customHeight="1">
      <c r="A108" s="14" t="inlineStr">
        <is>
          <t>TC-COURSE-107</t>
        </is>
      </c>
      <c r="B108" s="15" t="inlineStr">
        <is>
          <t>Khóa học / Lớp học</t>
        </is>
      </c>
      <c r="C108" s="15" t="inlineStr">
        <is>
          <t>Lớp học - Giao diện chung</t>
        </is>
      </c>
      <c r="D108" s="15" t="inlineStr">
        <is>
          <t>Ghi chú: dữ liệu lớp học nằm trong DB (tài liệu classroom.md còn ghi 'trong bộ nhớ')</t>
        </is>
      </c>
      <c r="E108" s="15" t="inlineStr">
        <is>
          <t>Tích hợp</t>
        </is>
      </c>
      <c r="F108" s="17" t="inlineStr">
        <is>
          <t>Thấp</t>
        </is>
      </c>
      <c r="G108" s="17" t="inlineStr">
        <is>
          <t>Đã hoàn thiện</t>
        </is>
      </c>
      <c r="H108" s="16" t="inlineStr">
        <is>
          <t>Không</t>
        </is>
      </c>
      <c r="I108" s="15" t="inlineStr">
        <is>
          <t>Tiền điều kiện chung: đã `db:seed`, BE :4000, FE :5173; mật khẩu mọi tài khoản seed = Passw0rd!x. Có quyền chạy lại server (Test 2 - thủ công).</t>
        </is>
      </c>
      <c r="J108" s="15" t="inlineStr">
        <is>
          <t>1. member2 hoàn thành 1 bài; mod tạo module thử
2. Khởi động lại BE (npm run dev)
3. Kiểm tra tiến độ và module còn nguyên</t>
        </is>
      </c>
      <c r="K108" s="15" t="inlineStr">
        <is>
          <t>restart BE</t>
        </is>
      </c>
      <c r="L108" s="15" t="inlineStr">
        <is>
          <t>Tiến độ, module, cài đặt chứng nhận và chứng nhận còn nguyên sau restart vì repository là Prisma/Postgres (tài liệu backend/docs/api/classroom.md mục 'Giới hạn hiện tại' đã lỗi thời).</t>
        </is>
      </c>
      <c r="M108" s="15" t="inlineStr"/>
      <c r="N108" s="18" t="inlineStr">
        <is>
          <t>Chưa test</t>
        </is>
      </c>
      <c r="O108" s="15" t="inlineStr"/>
      <c r="P108" s="15" t="inlineStr"/>
      <c r="Q108" s="18" t="inlineStr">
        <is>
          <t>Chưa test</t>
        </is>
      </c>
      <c r="R108" s="15" t="inlineStr"/>
    </row>
  </sheetData>
  <autoFilter ref="A1:R108"/>
  <conditionalFormatting sqref="N2:N10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8" showDropDown="0" showInputMessage="0" showErrorMessage="0" allowBlank="1" type="list">
      <formula1>"Chưa test,Pass,Fail,Blocked,N/A"</formula1>
    </dataValidation>
    <dataValidation sqref="Q2:Q108" showDropDown="0" showInputMessage="0" showErrorMessage="0" allowBlank="1" type="list">
      <formula1>"Chưa test,Pass,Fail,Blocked,N/A"</formula1>
    </dataValidation>
    <dataValidation sqref="F2:F108" showDropDown="0" showInputMessage="0" showErrorMessage="0" allowBlank="1" type="list">
      <formula1>"Cao,Trung bình,Thấp"</formula1>
    </dataValidation>
    <dataValidation sqref="G2:G108" showDropDown="0" showInputMessage="0" showErrorMessage="0" allowBlank="1" type="list">
      <formula1>"Đã hoàn thiện,Kế hoạch"</formula1>
    </dataValidation>
    <dataValidation sqref="H2:H10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17" r:id="rId6"/>
    <hyperlink xmlns:r="http://schemas.openxmlformats.org/officeDocument/2006/relationships" ref="O18" r:id="rId7"/>
    <hyperlink xmlns:r="http://schemas.openxmlformats.org/officeDocument/2006/relationships" ref="O19" r:id="rId8"/>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45" customHeight="1">
      <c r="A8" s="14" t="inlineStr">
        <is>
          <t>TC-CERT-007</t>
        </is>
      </c>
      <c r="B8" s="15" t="inlineStr">
        <is>
          <t>Chứng nhận</t>
        </is>
      </c>
      <c r="C8" s="15" t="inlineStr">
        <is>
          <t>Chứng nhận - Bật/tắt (admin+)</t>
        </is>
      </c>
      <c r="D8" s="15" t="inlineStr">
        <is>
          <t>UI: ô 'Cấp chứng nhận khi hoàn thành 100%' chỉ admin trở lên nhìn thấy</t>
        </is>
      </c>
      <c r="E8" s="15" t="inlineStr">
        <is>
          <t>Giao diện</t>
        </is>
      </c>
      <c r="F8" s="16" t="inlineStr">
        <is>
          <t>Cao</t>
        </is>
      </c>
      <c r="G8" s="17" t="inlineStr">
        <is>
          <t>Đã hoàn thiện</t>
        </is>
      </c>
      <c r="H8" s="17" t="inlineStr">
        <is>
          <t>Có</t>
        </is>
      </c>
      <c r="I8" s="15" t="inlineStr">
        <is>
          <t>Tiền điều kiện chung: đã `db:seed`, BE :4000, FE :5173; mật khẩu mọi tài khoản seed = Passw0rd!x. Hai phiên: mod (không thấy) và cadmin (thấy); trong chế độ 'Chỉnh sửa lớp học' của photo.</t>
        </is>
      </c>
      <c r="J8" s="15" t="inlineStr">
        <is>
          <t>1. mod: mở /courses/photo/community/lop-hoc -&gt; 'Chỉnh sửa lớp học' -&gt; tìm hộp tích
2. cadmin: cùng thao tác -&gt; bỏ tích
3. cadmin: tích lại</t>
        </is>
      </c>
      <c r="K8" s="15" t="inlineStr">
        <is>
          <t>photo, mod vs cadmin</t>
        </is>
      </c>
      <c r="L8" s="15" t="inlineStr">
        <is>
          <t>mod: không có hộp tích. cadmin: có hộp tích; bỏ tích hiển thị toast 'Đã tắt chứng nhận hoàn thành', tích lại 'Đã bật chứng nhận hoàn thành'.</t>
        </is>
      </c>
      <c r="M8" s="15" t="inlineStr"/>
      <c r="N8" s="18" t="inlineStr">
        <is>
          <t>Chưa test</t>
        </is>
      </c>
      <c r="O8" s="15" t="inlineStr"/>
      <c r="P8" s="15" t="inlineStr"/>
      <c r="Q8" s="18" t="inlineStr">
        <is>
          <t>Chưa test</t>
        </is>
      </c>
      <c r="R8" s="15" t="inlineStr"/>
    </row>
    <row r="9" ht="30" customHeight="1">
      <c r="A9" s="14" t="inlineStr">
        <is>
          <t>TC-CERT-008</t>
        </is>
      </c>
      <c r="B9" s="15" t="inlineStr">
        <is>
          <t>Chứng nhận</t>
        </is>
      </c>
      <c r="C9" s="15" t="inlineStr">
        <is>
          <t>Chứng nhận - Điều kiện cấp &amp; nhận</t>
        </is>
      </c>
      <c r="D9" s="15" t="inlineStr">
        <is>
          <t>Chưa đủ 100% -&gt; không nhận được chứng nhận (403)</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member1: photo mới 50% (6/12), cộng đồng đã bật chứng nhận.</t>
        </is>
      </c>
      <c r="J9" s="15" t="inlineStr">
        <is>
          <t>1. GET /api/courses/photo/certificate</t>
        </is>
      </c>
      <c r="K9" s="15" t="inlineStr">
        <is>
          <t>photo</t>
        </is>
      </c>
      <c r="L9" s="15" t="inlineStr">
        <is>
          <t>403 FORBIDDEN 'Bạn cần hoàn thành 100% bài học để nhận chứng nhận'. Không tạo bản ghi chứng nhận.</t>
        </is>
      </c>
      <c r="M9" s="15" t="inlineStr"/>
      <c r="N9" s="18" t="inlineStr">
        <is>
          <t>Chưa test</t>
        </is>
      </c>
      <c r="O9" s="15" t="inlineStr"/>
      <c r="P9" s="15" t="inlineStr"/>
      <c r="Q9" s="18" t="inlineStr">
        <is>
          <t>Chưa test</t>
        </is>
      </c>
      <c r="R9" s="15" t="inlineStr"/>
    </row>
    <row r="10" ht="30" customHeight="1">
      <c r="A10" s="14" t="inlineStr">
        <is>
          <t>TC-CERT-009</t>
        </is>
      </c>
      <c r="B10" s="15" t="inlineStr">
        <is>
          <t>Chứng nhận</t>
        </is>
      </c>
      <c r="C10" s="15" t="inlineStr">
        <is>
          <t>Chứng nhận - Điều kiện cấp &amp; nhận</t>
        </is>
      </c>
      <c r="D10" s="15" t="inlineStr">
        <is>
          <t>Cộng đồng chưa bật chứng nhận: 403 dù đã học đủ</t>
        </is>
      </c>
      <c r="E10" s="15" t="inlineStr">
        <is>
          <t>Chức năng</t>
        </is>
      </c>
      <c r="F10" s="16" t="inlineStr">
        <is>
          <t>Cao</t>
        </is>
      </c>
      <c r="G10" s="17" t="inlineStr">
        <is>
          <t>Đã hoàn thiện</t>
        </is>
      </c>
      <c r="H10" s="17" t="inlineStr">
        <is>
          <t>Có</t>
        </is>
      </c>
      <c r="I10" s="15" t="inlineStr">
        <is>
          <t>Tiền điều kiện chung: đã `db:seed`, BE :4000, FE :5173; mật khẩu mọi tài khoản seed = Passw0rd!x. Owner tắt chứng nhận ở fin; member1 đã xong 100% fin. Bật lại sau test.</t>
        </is>
      </c>
      <c r="J10" s="15" t="inlineStr">
        <is>
          <t>1. owner: PATCH /api/courses/fin/classroom-settings {certificatesEnabled:false}
2. member1: GET /api/courses/fin/certificate</t>
        </is>
      </c>
      <c r="K10" s="15" t="inlineStr">
        <is>
          <t>fin</t>
        </is>
      </c>
      <c r="L10" s="15" t="inlineStr">
        <is>
          <t>403 FORBIDDEN 'Cộng đồng này chưa bật chứng nhận hoàn thành khóa học' (kiểm tra bật/tắt chạy trước kiểm tra tiến độ).</t>
        </is>
      </c>
      <c r="M10" s="15" t="inlineStr"/>
      <c r="N10" s="18" t="inlineStr">
        <is>
          <t>Chưa test</t>
        </is>
      </c>
      <c r="O10" s="15" t="inlineStr"/>
      <c r="P10" s="15" t="inlineStr"/>
      <c r="Q10" s="18" t="inlineStr">
        <is>
          <t>Chưa test</t>
        </is>
      </c>
      <c r="R10" s="15" t="inlineStr"/>
    </row>
    <row r="11" ht="30" customHeight="1">
      <c r="A11" s="14" t="inlineStr">
        <is>
          <t>TC-CERT-010</t>
        </is>
      </c>
      <c r="B11" s="15" t="inlineStr">
        <is>
          <t>Chứng nhận</t>
        </is>
      </c>
      <c r="C11" s="15" t="inlineStr">
        <is>
          <t>Chứng nhận - Điều kiện cấp &amp; nhận</t>
        </is>
      </c>
      <c r="D11" s="15" t="inlineStr">
        <is>
          <t>yt (mặc định tắt): GET certificate trả 403 thông điệp chưa bật</t>
        </is>
      </c>
      <c r="E11" s="15" t="inlineStr">
        <is>
          <t>Chức năng</t>
        </is>
      </c>
      <c r="F11" s="20" t="inlineStr">
        <is>
          <t>Trung bình</t>
        </is>
      </c>
      <c r="G11" s="17" t="inlineStr">
        <is>
          <t>Đã hoàn thiện</t>
        </is>
      </c>
      <c r="H11" s="17" t="inlineStr">
        <is>
          <t>Có</t>
        </is>
      </c>
      <c r="I11" s="15" t="inlineStr">
        <is>
          <t>Tiền điều kiện chung: đã `db:seed`, BE :4000, FE :5173; mật khẩu mọi tài khoản seed = Passw0rd!x. Đăng nhập member1 (thành viên yt; chưa xong 100%).</t>
        </is>
      </c>
      <c r="J11" s="15" t="inlineStr">
        <is>
          <t>1. GET /api/courses/yt/certificate</t>
        </is>
      </c>
      <c r="K11" s="15" t="inlineStr">
        <is>
          <t>yt</t>
        </is>
      </c>
      <c r="L11" s="15" t="inlineStr">
        <is>
          <t>403 'Cộng đồng này chưa bật chứng nhận hoàn thành khóa học' (không phải thông điệp 100%).</t>
        </is>
      </c>
      <c r="M11" s="15" t="inlineStr"/>
      <c r="N11" s="18" t="inlineStr">
        <is>
          <t>Chưa test</t>
        </is>
      </c>
      <c r="O11" s="15" t="inlineStr"/>
      <c r="P11" s="15" t="inlineStr"/>
      <c r="Q11" s="18" t="inlineStr">
        <is>
          <t>Chưa test</t>
        </is>
      </c>
      <c r="R11" s="15" t="inlineStr"/>
    </row>
    <row r="12" ht="30" customHeight="1">
      <c r="A12" s="14" t="inlineStr">
        <is>
          <t>TC-CERT-011</t>
        </is>
      </c>
      <c r="B12" s="15" t="inlineStr">
        <is>
          <t>Chứng nhận</t>
        </is>
      </c>
      <c r="C12" s="15" t="inlineStr">
        <is>
          <t>Chứng nhận - Điều kiện cấp &amp; nhận</t>
        </is>
      </c>
      <c r="D12" s="15" t="inlineStr">
        <is>
          <t>UI: không hiện nút 'Nhận chứng nhận' khi chưa đủ 100% hoặc chưa bật</t>
        </is>
      </c>
      <c r="E12" s="15" t="inlineStr">
        <is>
          <t>Giao diện</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photo (50%, bật), yt (chưa bật).</t>
        </is>
      </c>
      <c r="J12" s="15" t="inlineStr">
        <is>
          <t>1. Mở /courses/photo/community/lop-hoc của photo và tìm 'Nhận chứng nhận'
2. Mở /courses/yt/community/lop-hoc và tìm nút + ghi chú</t>
        </is>
      </c>
      <c r="K12" s="15" t="inlineStr">
        <is>
          <t>photo 50%, yt tắt</t>
        </is>
      </c>
      <c r="L12" s="15" t="inlineStr">
        <is>
          <t>photo: không có nút 'Nhận chứng nhận'. yt: không có nút; hiển thị 'Cộng đồng chưa bật chứng nhận hoàn thành.' khi tiến độ đạt 100% (nếu chưa 100% chỉ ẩn nút).</t>
        </is>
      </c>
      <c r="M12" s="15" t="inlineStr"/>
      <c r="N12" s="18" t="inlineStr">
        <is>
          <t>Chưa test</t>
        </is>
      </c>
      <c r="O12" s="15" t="inlineStr"/>
      <c r="P12" s="15" t="inlineStr"/>
      <c r="Q12" s="18" t="inlineStr">
        <is>
          <t>Chưa test</t>
        </is>
      </c>
      <c r="R12" s="15" t="inlineStr"/>
    </row>
    <row r="13" ht="45" customHeight="1">
      <c r="A13" s="14" t="inlineStr">
        <is>
          <t>TC-CERT-012</t>
        </is>
      </c>
      <c r="B13" s="15" t="inlineStr">
        <is>
          <t>Chứng nhận</t>
        </is>
      </c>
      <c r="C13" s="15" t="inlineStr">
        <is>
          <t>Chứng nhận - Điều kiện cấp &amp; nhận</t>
        </is>
      </c>
      <c r="D13" s="15" t="inlineStr">
        <is>
          <t>Cấp chứng nhận cố định của member1 ở fin: mã FIN-DEMO-CERT-001</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member1 (Minh Member1). fin: 16 bài, member1 xong 100% và đã có chứng nhận seed.</t>
        </is>
      </c>
      <c r="J13" s="15" t="inlineStr">
        <is>
          <t>1. GET /api/courses/fin/certificate
2. Gọi lại lần 2
3. GET /api/courses/fin/progress</t>
        </is>
      </c>
      <c r="K13" s="15" t="inlineStr">
        <is>
          <t>courseId=fin</t>
        </is>
      </c>
      <c r="L13" s="15" t="inlineStr">
        <is>
          <t>Cả 2 lần 200 { code: 'FIN-DEMO-CERT-001', holderName: 'Minh Member1', courseTitle: 'Đầu tư cho người mới', completedAt (thời điểm bài cuối), issuedAt } giống hệt nhau (cấp 1 lần). progress: percent 100, completedLessons 16, completedModules 3, nextLesson null.</t>
        </is>
      </c>
      <c r="M13" s="15" t="inlineStr"/>
      <c r="N13" s="18" t="inlineStr">
        <is>
          <t>Chưa test</t>
        </is>
      </c>
      <c r="O13" s="15" t="inlineStr"/>
      <c r="P13" s="15" t="inlineStr"/>
      <c r="Q13" s="18" t="inlineStr">
        <is>
          <t>Chưa test</t>
        </is>
      </c>
      <c r="R13" s="15" t="inlineStr"/>
    </row>
    <row r="14" ht="60" customHeight="1">
      <c r="A14" s="14" t="inlineStr">
        <is>
          <t>TC-CERT-013</t>
        </is>
      </c>
      <c r="B14" s="15" t="inlineStr">
        <is>
          <t>Chứng nhận</t>
        </is>
      </c>
      <c r="C14" s="15" t="inlineStr">
        <is>
          <t>Chứng nhận - Điều kiện cấp &amp; nhận</t>
        </is>
      </c>
      <c r="D14" s="15" t="inlineStr">
        <is>
          <t>Cấp mới lần đầu: sinh mã ngẫu nhiên 16 ký tự, lưu và gửi thông báo hệ thống</t>
        </is>
      </c>
      <c r="E14" s="15" t="inlineStr">
        <is>
          <t>Chức năng</t>
        </is>
      </c>
      <c r="F14" s="16" t="inlineStr">
        <is>
          <t>Cao</t>
        </is>
      </c>
      <c r="G14" s="17" t="inlineStr">
        <is>
          <t>Đã hoàn thiện</t>
        </is>
      </c>
      <c r="H14" s="17" t="inlineStr">
        <is>
          <t>Có</t>
        </is>
      </c>
      <c r="I14"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4" s="15" t="inlineStr">
        <is>
          <t>1. Lần lượt POST complete 12 bài
2. GET /api/courses/photo/certificate
3. GET /api/notifications
4. Mở chuông thông báo trên UI</t>
        </is>
      </c>
      <c r="K14" s="15" t="inlineStr">
        <is>
          <t>member3, 12 bài photo</t>
        </is>
      </c>
      <c r="L14" s="15" t="inlineStr">
        <is>
          <t>200 { code khớp /^[A-Za-z0-9_-]{16}$/ (12 byte base64url), holderName tên hiển thị của member3, courseTitle tiêu đề khóa photo,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4" s="15" t="inlineStr"/>
      <c r="N14" s="18" t="inlineStr">
        <is>
          <t>Chưa test</t>
        </is>
      </c>
      <c r="O14" s="15" t="inlineStr"/>
      <c r="P14" s="15" t="inlineStr"/>
      <c r="Q14" s="18" t="inlineStr">
        <is>
          <t>Chưa test</t>
        </is>
      </c>
      <c r="R14" s="15" t="inlineStr"/>
    </row>
    <row r="15" ht="30" customHeight="1">
      <c r="A15" s="14" t="inlineStr">
        <is>
          <t>TC-CERT-014</t>
        </is>
      </c>
      <c r="B15" s="15" t="inlineStr">
        <is>
          <t>Chứng nhận</t>
        </is>
      </c>
      <c r="C15" s="15" t="inlineStr">
        <is>
          <t>Chứng nhận - Điều kiện cấp &amp; nhận</t>
        </is>
      </c>
      <c r="D15" s="15" t="inlineStr">
        <is>
          <t>Thông báo cấp chứng nhận có link đúng tới lớp học (đã sửa lệch đường dẫn)</t>
        </is>
      </c>
      <c r="E15" s="15" t="inlineStr">
        <is>
          <t>Tích hợp</t>
        </is>
      </c>
      <c r="F15" s="20" t="inlineStr">
        <is>
          <t>Trung bình</t>
        </is>
      </c>
      <c r="G15" s="17" t="inlineStr">
        <is>
          <t>Đã hoàn thiện</t>
        </is>
      </c>
      <c r="H15" s="20" t="inlineStr">
        <is>
          <t>Một phần</t>
        </is>
      </c>
      <c r="I15" s="15" t="inlineStr">
        <is>
          <t>Tiền điều kiện chung: đã `db:seed`, BE :4000, FE :5173; mật khẩu mọi tài khoản seed = Passw0rd!x. Sau case cấp mới: member3 mở thông báo chứng nhận.</t>
        </is>
      </c>
      <c r="J15" s="15" t="inlineStr">
        <is>
          <t>1. Đọc trường link của thông báo (GET /api/notifications)
2. Bấm thông báo trên chuông</t>
        </is>
      </c>
      <c r="K15" s="15" t="inlineStr">
        <is>
          <t>thông báo system chứng nhận</t>
        </is>
      </c>
      <c r="L15" s="15" t="inlineStr">
        <is>
          <t>link = '/courses/photo/community/lop-hoc' (đã sửa; trước đây '/courses/photo/classroom' không có route FE nên ra 404), khớp route FE. Bấm thông báo mở được trang lớp học; nếu ra 404 thì ghi lỗi hồi quy.</t>
        </is>
      </c>
      <c r="M15" s="15" t="inlineStr"/>
      <c r="N15" s="18" t="inlineStr">
        <is>
          <t>Chưa test</t>
        </is>
      </c>
      <c r="O15" s="15" t="inlineStr"/>
      <c r="P15" s="15" t="inlineStr"/>
      <c r="Q15" s="18" t="inlineStr">
        <is>
          <t>Chưa test</t>
        </is>
      </c>
      <c r="R15" s="15" t="inlineStr"/>
    </row>
    <row r="16" ht="30" customHeight="1">
      <c r="A16" s="14" t="inlineStr">
        <is>
          <t>TC-CERT-015</t>
        </is>
      </c>
      <c r="B16" s="15" t="inlineStr">
        <is>
          <t>Chứng nhận</t>
        </is>
      </c>
      <c r="C16" s="15" t="inlineStr">
        <is>
          <t>Chứng nhận - Điều kiện cấp &amp; nhận</t>
        </is>
      </c>
      <c r="D16" s="15" t="inlineStr">
        <is>
          <t>Gọi GET certificate đồng thời 6 lần chỉ cấp 1 bản</t>
        </is>
      </c>
      <c r="E16" s="15" t="inlineStr">
        <is>
          <t>Bảo mật</t>
        </is>
      </c>
      <c r="F16" s="16" t="inlineStr">
        <is>
          <t>Cao</t>
        </is>
      </c>
      <c r="G16" s="17" t="inlineStr">
        <is>
          <t>Đã hoàn thiện</t>
        </is>
      </c>
      <c r="H16" s="17" t="inlineStr">
        <is>
          <t>Có</t>
        </is>
      </c>
      <c r="I16"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6" s="15" t="inlineStr">
        <is>
          <t>1. Promise.all 6 x GET /api/courses/photo/certificate
2. Đếm bản ghi chứng nhận của user</t>
        </is>
      </c>
      <c r="K16" s="15" t="inlineStr">
        <is>
          <t>6 request đồng thời</t>
        </is>
      </c>
      <c r="L16" s="15" t="inlineStr">
        <is>
          <t>Tất cả 200 và cùng một code; chỉ 1 bản ghi (unique user+course); chỉ 1 thông báo hệ thống được tạo.</t>
        </is>
      </c>
      <c r="M16" s="15" t="inlineStr"/>
      <c r="N16" s="18" t="inlineStr">
        <is>
          <t>Chưa test</t>
        </is>
      </c>
      <c r="O16" s="15" t="inlineStr"/>
      <c r="P16" s="15" t="inlineStr"/>
      <c r="Q16" s="18" t="inlineStr">
        <is>
          <t>Chưa test</t>
        </is>
      </c>
      <c r="R16" s="15" t="inlineStr"/>
    </row>
    <row r="17" ht="30" customHeight="1">
      <c r="A17" s="14" t="inlineStr">
        <is>
          <t>TC-CERT-016</t>
        </is>
      </c>
      <c r="B17" s="15" t="inlineStr">
        <is>
          <t>Chứng nhận</t>
        </is>
      </c>
      <c r="C17" s="15" t="inlineStr">
        <is>
          <t>Chứng nhận - Điều kiện cấp &amp; nhận</t>
        </is>
      </c>
      <c r="D17" s="15" t="inlineStr">
        <is>
          <t>Owner/mod không được miễn điều kiện 100% để nhận chứng nhận</t>
        </is>
      </c>
      <c r="E17" s="15" t="inlineStr">
        <is>
          <t>Chức năng</t>
        </is>
      </c>
      <c r="F17" s="20" t="inlineStr">
        <is>
          <t>Trung bình</t>
        </is>
      </c>
      <c r="G17" s="17" t="inlineStr">
        <is>
          <t>Đã hoàn thiện</t>
        </is>
      </c>
      <c r="H17" s="17" t="inlineStr">
        <is>
          <t>Có</t>
        </is>
      </c>
      <c r="I17" s="15" t="inlineStr">
        <is>
          <t>Tiền điều kiện chung: đã `db:seed`, BE :4000, FE :5173; mật khẩu mọi tài khoản seed = Passw0rd!x. Đăng nhập owner (fin) rồi mod (photo); họ chưa hoàn thành mọi bài.</t>
        </is>
      </c>
      <c r="J17" s="15" t="inlineStr">
        <is>
          <t>1. owner: GET /api/courses/fin/certificate
2. mod: GET /api/courses/photo/certificate</t>
        </is>
      </c>
      <c r="K17" s="15" t="inlineStr">
        <is>
          <t>owner, mod</t>
        </is>
      </c>
      <c r="L17" s="15" t="inlineStr">
        <is>
          <t>Cả 2: 403 'Bạn cần hoàn thành 100% bài học để nhận chứng nhận' (staff không bị khóa module nhưng vẫn phải đánh dấu đủ bài).</t>
        </is>
      </c>
      <c r="M17" s="15" t="inlineStr"/>
      <c r="N17" s="18" t="inlineStr">
        <is>
          <t>Chưa test</t>
        </is>
      </c>
      <c r="O17" s="15" t="inlineStr"/>
      <c r="P17" s="15" t="inlineStr"/>
      <c r="Q17" s="18" t="inlineStr">
        <is>
          <t>Chưa test</t>
        </is>
      </c>
      <c r="R17" s="15" t="inlineStr"/>
    </row>
    <row r="18" ht="30" customHeight="1">
      <c r="A18" s="14" t="inlineStr">
        <is>
          <t>TC-CERT-017</t>
        </is>
      </c>
      <c r="B18" s="15" t="inlineStr">
        <is>
          <t>Chứng nhận</t>
        </is>
      </c>
      <c r="C18" s="15" t="inlineStr">
        <is>
          <t>Chứng nhận - Điều kiện cấp &amp; nhận</t>
        </is>
      </c>
      <c r="D18" s="15" t="inlineStr">
        <is>
          <t>Khóa học không có bài nào (0 bài) không cấp chứng nhận</t>
        </is>
      </c>
      <c r="E18" s="15" t="inlineStr">
        <is>
          <t>Chức năng</t>
        </is>
      </c>
      <c r="F18" s="17" t="inlineStr">
        <is>
          <t>Thấp</t>
        </is>
      </c>
      <c r="G18" s="17" t="inlineStr">
        <is>
          <t>Đã hoàn thiện</t>
        </is>
      </c>
      <c r="H18" s="17" t="inlineStr">
        <is>
          <t>Có</t>
        </is>
      </c>
      <c r="I18" s="15" t="inlineStr">
        <is>
          <t>Tiền điều kiện chung: đã `db:seed`, BE :4000, FE :5173; mật khẩu mọi tài khoản seed = Passw0rd!x. Khóa thử của owner đã bật chứng nhận và xóa hết module/bài.</t>
        </is>
      </c>
      <c r="J18" s="15" t="inlineStr">
        <is>
          <t>1. member: GET /api/courses/{id}/certificate</t>
        </is>
      </c>
      <c r="K18" s="15" t="inlineStr">
        <is>
          <t>0 bài</t>
        </is>
      </c>
      <c r="L18" s="15" t="inlineStr">
        <is>
          <t>403 'Bạn cần hoàn thành 100% bài học để nhận chứng nhận' (không cấp vì tổng bài = 0, tránh 0/0 = 100%).</t>
        </is>
      </c>
      <c r="M18" s="15" t="inlineStr"/>
      <c r="N18" s="18" t="inlineStr">
        <is>
          <t>Chưa test</t>
        </is>
      </c>
      <c r="O18" s="15" t="inlineStr"/>
      <c r="P18" s="15" t="inlineStr"/>
      <c r="Q18" s="18" t="inlineStr">
        <is>
          <t>Chưa test</t>
        </is>
      </c>
      <c r="R18" s="15" t="inlineStr"/>
    </row>
    <row r="19" ht="75" customHeight="1">
      <c r="A19" s="14" t="inlineStr">
        <is>
          <t>TC-CERT-018</t>
        </is>
      </c>
      <c r="B19" s="15" t="inlineStr">
        <is>
          <t>Chứng nhận</t>
        </is>
      </c>
      <c r="C19" s="15" t="inlineStr">
        <is>
          <t>Chứng nhận - Điều kiện cấp &amp; nhận</t>
        </is>
      </c>
      <c r="D19" s="15" t="inlineStr">
        <is>
          <t>UI: nhận chứng nhận, xem thẻ, sao chép link xác minh</t>
        </is>
      </c>
      <c r="E19" s="15" t="inlineStr">
        <is>
          <t>Giao diện</t>
        </is>
      </c>
      <c r="F19" s="16" t="inlineStr">
        <is>
          <t>Cao</t>
        </is>
      </c>
      <c r="G19" s="17" t="inlineStr">
        <is>
          <t>Đã hoàn thiện</t>
        </is>
      </c>
      <c r="H19" s="17" t="inlineStr">
        <is>
          <t>Có</t>
        </is>
      </c>
      <c r="I19" s="15" t="inlineStr">
        <is>
          <t>Tiền điều kiện chung: đã `db:seed`, BE :4000, FE :5173; mật khẩu mọi tài khoản seed = Passw0rd!x. Đăng nhập member1; mở lớp học fin: /courses/fin/community/lop-hoc.</t>
        </is>
      </c>
      <c r="J19" s="15" t="inlineStr">
        <is>
          <t>1. Kiểm tra thanh tiến độ 100%
2. Bấm 'Nhận chứng nhận'
3. Đọc thẻ trong hộp thoại 'Chứng nhận của bạn'
4. Bấm 'Sao chép link xác minh'
5. Đọc đường dẫn hiển thị cuối hộp thoại</t>
        </is>
      </c>
      <c r="K19" s="15" t="inlineStr">
        <is>
          <t>member1, fin</t>
        </is>
      </c>
      <c r="L19" s="15" t="inlineStr">
        <is>
          <t>Thẻ 'Chứng nhận hoàn thành' hiển thị 'Chứng nhận rằng', tên 'Minh Member1', 'đã hoàn thành 100% khóa học', 'Đầu tư cho người mới', 'Cấp ngày &lt;ngày&gt;', 'Mã: FIN-DEMO-CERT-001'. Toast 'Đã sao chép đường dẫn xác minh'. Có câu 'Ai cũng có thể xác minh chứng nhận này (không cần đăng nhập) tại:' kèm URL /certificates/FIN-DEMO-CERT-001.</t>
        </is>
      </c>
      <c r="M19" s="15" t="inlineStr"/>
      <c r="N19" s="18" t="inlineStr">
        <is>
          <t>Chưa test</t>
        </is>
      </c>
      <c r="O19" s="15" t="inlineStr"/>
      <c r="P19" s="15" t="inlineStr"/>
      <c r="Q19" s="18" t="inlineStr">
        <is>
          <t>Chưa test</t>
        </is>
      </c>
      <c r="R19" s="15" t="inlineStr"/>
    </row>
    <row r="20" ht="30" customHeight="1">
      <c r="A20" s="14" t="inlineStr">
        <is>
          <t>TC-CERT-019</t>
        </is>
      </c>
      <c r="B20" s="15" t="inlineStr">
        <is>
          <t>Chứng nhận</t>
        </is>
      </c>
      <c r="C20" s="15" t="inlineStr">
        <is>
          <t>Chứng nhận - Điều kiện cấp &amp; nhận</t>
        </is>
      </c>
      <c r="D20" s="15" t="inlineStr">
        <is>
          <t>Nút 'In' gọi chức năng in của trình duyệt</t>
        </is>
      </c>
      <c r="E20" s="15" t="inlineStr">
        <is>
          <t>Giao diện</t>
        </is>
      </c>
      <c r="F20" s="17" t="inlineStr">
        <is>
          <t>Thấp</t>
        </is>
      </c>
      <c r="G20" s="17" t="inlineStr">
        <is>
          <t>Đã hoàn thiện</t>
        </is>
      </c>
      <c r="H20" s="20" t="inlineStr">
        <is>
          <t>Một phần</t>
        </is>
      </c>
      <c r="I20" s="15" t="inlineStr">
        <is>
          <t>Tiền điều kiện chung: đã `db:seed`, BE :4000, FE :5173; mật khẩu mọi tài khoản seed = Passw0rd!x. Đã mở thẻ chứng nhận như case trước.</t>
        </is>
      </c>
      <c r="J20" s="15" t="inlineStr">
        <is>
          <t>1. Bấm nút 'In' trong hộp thoại chứng nhận
2. Xem trước bản in</t>
        </is>
      </c>
      <c r="K20" s="15" t="inlineStr">
        <is>
          <t>window.print()</t>
        </is>
      </c>
      <c r="L20" s="15" t="inlineStr">
        <is>
          <t>Mở hộp thoại in của trình duyệt; bản in hiển thị thẻ chứng nhận đọc được. Đây không phải PDF do server sinh.</t>
        </is>
      </c>
      <c r="M20" s="15" t="inlineStr"/>
      <c r="N20" s="18" t="inlineStr">
        <is>
          <t>Chưa test</t>
        </is>
      </c>
      <c r="O20" s="15" t="inlineStr"/>
      <c r="P20" s="15" t="inlineStr"/>
      <c r="Q20" s="18" t="inlineStr">
        <is>
          <t>Chưa test</t>
        </is>
      </c>
      <c r="R20" s="15" t="inlineStr"/>
    </row>
    <row r="21" ht="30" customHeight="1">
      <c r="A21" s="14" t="inlineStr">
        <is>
          <t>TC-CERT-020</t>
        </is>
      </c>
      <c r="B21" s="15" t="inlineStr">
        <is>
          <t>Chứng nhận</t>
        </is>
      </c>
      <c r="C21" s="15" t="inlineStr">
        <is>
          <t>Chứng nhận - Xác minh công khai</t>
        </is>
      </c>
      <c r="D21" s="15" t="inlineStr">
        <is>
          <t>Xác minh mã FIN-DEMO-CERT-001 không cần đăng nhập</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Không gửi token (request context mới).</t>
        </is>
      </c>
      <c r="J21" s="15" t="inlineStr">
        <is>
          <t>1. GET /api/certificates/FIN-DEMO-CERT-001</t>
        </is>
      </c>
      <c r="K21" s="15" t="inlineStr">
        <is>
          <t>code=FIN-DEMO-CERT-001</t>
        </is>
      </c>
      <c r="L21" s="15" t="inlineStr">
        <is>
          <t>200 { data: { valid: true, holderName: 'Minh Member1', courseTitle: 'Đầu tư cho người mới', issuedAt: &lt;ISO&gt; } } — đúng 4 trường.</t>
        </is>
      </c>
      <c r="M21" s="15" t="inlineStr"/>
      <c r="N21" s="18" t="inlineStr">
        <is>
          <t>Chưa test</t>
        </is>
      </c>
      <c r="O21" s="15" t="inlineStr"/>
      <c r="P21" s="15" t="inlineStr"/>
      <c r="Q21" s="18" t="inlineStr">
        <is>
          <t>Chưa test</t>
        </is>
      </c>
      <c r="R21" s="15" t="inlineStr"/>
    </row>
    <row r="22" ht="30" customHeight="1">
      <c r="A22" s="14" t="inlineStr">
        <is>
          <t>TC-CERT-021</t>
        </is>
      </c>
      <c r="B22" s="15" t="inlineStr">
        <is>
          <t>Chứng nhận</t>
        </is>
      </c>
      <c r="C22" s="15" t="inlineStr">
        <is>
          <t>Chứng nhận - Xác minh công khai</t>
        </is>
      </c>
      <c r="D22" s="15" t="inlineStr">
        <is>
          <t>Dữ liệu công khai không lộ email, userId, courseId</t>
        </is>
      </c>
      <c r="E22" s="15" t="inlineStr">
        <is>
          <t>Bảo mật</t>
        </is>
      </c>
      <c r="F22" s="16" t="inlineStr">
        <is>
          <t>Cao</t>
        </is>
      </c>
      <c r="G22" s="17" t="inlineStr">
        <is>
          <t>Đã hoàn thiện</t>
        </is>
      </c>
      <c r="H22" s="17" t="inlineStr">
        <is>
          <t>Có</t>
        </is>
      </c>
      <c r="I22" s="15" t="inlineStr">
        <is>
          <t>Tiền điều kiện chung: đã `db:seed`, BE :4000, FE :5173; mật khẩu mọi tài khoản seed = Passw0rd!x. Không đăng nhập.</t>
        </is>
      </c>
      <c r="J22" s="15" t="inlineStr">
        <is>
          <t>1. GET /api/certificates/FIN-DEMO-CERT-001
2. Tìm trong body chuỗi 'member1@sofinhub.test', '@', 'userId', 'courseId', 'completedAt', 'code'</t>
        </is>
      </c>
      <c r="K22" s="15" t="inlineStr">
        <is>
          <t>response thô</t>
        </is>
      </c>
      <c r="L22" s="15" t="inlineStr">
        <is>
          <t>Body chỉ có valid, holderName, courseTitle, issuedAt; không chứa email, userId, courseId, completedAt hay mã nội bộ.</t>
        </is>
      </c>
      <c r="M22" s="15" t="inlineStr"/>
      <c r="N22" s="18" t="inlineStr">
        <is>
          <t>Chưa test</t>
        </is>
      </c>
      <c r="O22" s="15" t="inlineStr"/>
      <c r="P22" s="15" t="inlineStr"/>
      <c r="Q22" s="18" t="inlineStr">
        <is>
          <t>Chưa test</t>
        </is>
      </c>
      <c r="R22" s="15" t="inlineStr"/>
    </row>
    <row r="23" ht="30" customHeight="1">
      <c r="A23" s="14" t="inlineStr">
        <is>
          <t>TC-CERT-022</t>
        </is>
      </c>
      <c r="B23" s="15" t="inlineStr">
        <is>
          <t>Chứng nhận</t>
        </is>
      </c>
      <c r="C23" s="15" t="inlineStr">
        <is>
          <t>Chứng nhận - Xác minh công khai</t>
        </is>
      </c>
      <c r="D23" s="15" t="inlineStr">
        <is>
          <t>Token sai/hết hạn vẫn xác minh được (route công khai không requireAuth)</t>
        </is>
      </c>
      <c r="E23" s="15" t="inlineStr">
        <is>
          <t>Bảo mật</t>
        </is>
      </c>
      <c r="F23" s="17" t="inlineStr">
        <is>
          <t>Thấp</t>
        </is>
      </c>
      <c r="G23" s="17" t="inlineStr">
        <is>
          <t>Đã hoàn thiện</t>
        </is>
      </c>
      <c r="H23" s="17" t="inlineStr">
        <is>
          <t>Có</t>
        </is>
      </c>
      <c r="I23" s="15" t="inlineStr">
        <is>
          <t>Tiền điều kiện chung: đã `db:seed`, BE :4000, FE :5173; mật khẩu mọi tài khoản seed = Passw0rd!x. Không cần phiên hợp lệ.</t>
        </is>
      </c>
      <c r="J23" s="15" t="inlineStr">
        <is>
          <t>1. GET /api/certificates/FIN-DEMO-CERT-001 với Authorization: Bearer abc.def.ghi</t>
        </is>
      </c>
      <c r="K23" s="15" t="inlineStr">
        <is>
          <t>token rác</t>
        </is>
      </c>
      <c r="L23" s="15" t="inlineStr">
        <is>
          <t>200 như khi không có token (không trả 401).</t>
        </is>
      </c>
      <c r="M23" s="15" t="inlineStr"/>
      <c r="N23" s="18" t="inlineStr">
        <is>
          <t>Chưa test</t>
        </is>
      </c>
      <c r="O23" s="15" t="inlineStr"/>
      <c r="P23" s="15" t="inlineStr"/>
      <c r="Q23" s="18" t="inlineStr">
        <is>
          <t>Chưa test</t>
        </is>
      </c>
      <c r="R23" s="15" t="inlineStr"/>
    </row>
    <row r="24" ht="30" customHeight="1">
      <c r="A24" s="14" t="inlineStr">
        <is>
          <t>TC-CERT-023</t>
        </is>
      </c>
      <c r="B24" s="15" t="inlineStr">
        <is>
          <t>Chứng nhận</t>
        </is>
      </c>
      <c r="C24" s="15" t="inlineStr">
        <is>
          <t>Chứng nhận - Xác minh công khai</t>
        </is>
      </c>
      <c r="D24" s="15" t="inlineStr">
        <is>
          <t>Mã không tồn tại trả 404</t>
        </is>
      </c>
      <c r="E24" s="15" t="inlineStr">
        <is>
          <t>Chức năng</t>
        </is>
      </c>
      <c r="F24" s="16" t="inlineStr">
        <is>
          <t>Cao</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/api/certificates/FIN-DEMO-CERT-999
2. GET /api/certificates/khong-ton-tai</t>
        </is>
      </c>
      <c r="K24" s="15" t="inlineStr">
        <is>
          <t>2 mã sai</t>
        </is>
      </c>
      <c r="L24" s="15" t="inlineStr">
        <is>
          <t>404 NOT_FOUND 'Không tìm thấy chứng nhận với mã này'.</t>
        </is>
      </c>
      <c r="M24" s="15" t="inlineStr"/>
      <c r="N24" s="18" t="inlineStr">
        <is>
          <t>Chưa test</t>
        </is>
      </c>
      <c r="O24" s="15" t="inlineStr"/>
      <c r="P24" s="15" t="inlineStr"/>
      <c r="Q24" s="18" t="inlineStr">
        <is>
          <t>Chưa test</t>
        </is>
      </c>
      <c r="R24" s="15" t="inlineStr"/>
    </row>
    <row r="25" ht="30" customHeight="1">
      <c r="A25" s="14" t="inlineStr">
        <is>
          <t>TC-CERT-024</t>
        </is>
      </c>
      <c r="B25" s="15" t="inlineStr">
        <is>
          <t>Chứng nhận</t>
        </is>
      </c>
      <c r="C25" s="15" t="inlineStr">
        <is>
          <t>Chứng nhận - Xác minh công khai</t>
        </is>
      </c>
      <c r="D25" s="15" t="inlineStr">
        <is>
          <t>Mã viết thường fin-demo-cert-001: tra cứu phân biệt hoa/thường -&gt; 404</t>
        </is>
      </c>
      <c r="E25" s="15" t="inlineStr">
        <is>
          <t>Chức năng</t>
        </is>
      </c>
      <c r="F25" s="20" t="inlineStr">
        <is>
          <t>Trung bình</t>
        </is>
      </c>
      <c r="G25" s="17" t="inlineStr">
        <is>
          <t>Đã hoàn thiện</t>
        </is>
      </c>
      <c r="H25" s="17" t="inlineStr">
        <is>
          <t>Có</t>
        </is>
      </c>
      <c r="I25" s="15" t="inlineStr">
        <is>
          <t>Tiền điều kiện chung: đã `db:seed`, BE :4000, FE :5173; mật khẩu mọi tài khoản seed = Passw0rd!x. Không đăng nhập.</t>
        </is>
      </c>
      <c r="J25" s="15" t="inlineStr">
        <is>
          <t>1. GET /api/certificates/fin-demo-cert-001
2. GET /api/certificates/Fin-Demo-Cert-001</t>
        </is>
      </c>
      <c r="K25" s="15" t="inlineStr">
        <is>
          <t>biến thể hoa/thường</t>
        </is>
      </c>
      <c r="L25" s="15" t="inlineStr">
        <is>
          <t>404 'Không tìm thấy chứng nhận với mã này' (code lookup khớp chính xác). (giá trị tạm / chưa chốt: nếu sản phẩm muốn cho phép nhập không phân biệt hoa/thường thì cần đổi; hiện là hành vi thực tế.)</t>
        </is>
      </c>
      <c r="M25" s="15" t="inlineStr"/>
      <c r="N25" s="18" t="inlineStr">
        <is>
          <t>Chưa test</t>
        </is>
      </c>
      <c r="O25" s="15" t="inlineStr"/>
      <c r="P25" s="15" t="inlineStr"/>
      <c r="Q25" s="18" t="inlineStr">
        <is>
          <t>Chưa test</t>
        </is>
      </c>
      <c r="R25" s="15" t="inlineStr"/>
    </row>
    <row r="26" ht="30" customHeight="1">
      <c r="A26" s="14" t="inlineStr">
        <is>
          <t>TC-CERT-025</t>
        </is>
      </c>
      <c r="B26" s="15" t="inlineStr">
        <is>
          <t>Chứng nhận</t>
        </is>
      </c>
      <c r="C26" s="15" t="inlineStr">
        <is>
          <t>Chứng nhận - Xác minh công khai</t>
        </is>
      </c>
      <c r="D26" s="15" t="inlineStr">
        <is>
          <t>Mã chứa ký tự lạ/khoảng trắng/tấn công đều trả 404, không 500</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Không đăng nhập (dùng request context để mã hóa URL đúng).</t>
        </is>
      </c>
      <c r="J26" s="15" t="inlineStr">
        <is>
          <t>1. GET /api/certificates/ + từng giá trị ở Dữ liệu test (đã encode)</t>
        </is>
      </c>
      <c r="K26" s="15" t="inlineStr">
        <is>
          <t>'FIN-DEMO-CERT-001 ' (dấu cách cuối); '%20'; "' OR '1'='1"; '../../etc/passwd'; '&lt;script&gt;alert(1)&lt;/script&gt;'; '%00'; 'FIN%2FDEMO'; ký tự Unicode 'ＦＩＮ-DEMO-CERT-001'</t>
        </is>
      </c>
      <c r="L26" s="15" t="inlineStr">
        <is>
          <t>Tất cả trả 404 NOT_FOUND (hoặc 400 nếu tầng framework từ chối chuỗi lỗi mã hóa), KHÔNG 500, không lộ stack/SQL trong body.</t>
        </is>
      </c>
      <c r="M26" s="15" t="inlineStr"/>
      <c r="N26" s="18" t="inlineStr">
        <is>
          <t>Chưa test</t>
        </is>
      </c>
      <c r="O26" s="15" t="inlineStr"/>
      <c r="P26" s="15" t="inlineStr"/>
      <c r="Q26" s="18" t="inlineStr">
        <is>
          <t>Chưa test</t>
        </is>
      </c>
      <c r="R26" s="15" t="inlineStr"/>
    </row>
    <row r="27" ht="30" customHeight="1">
      <c r="A27" s="14" t="inlineStr">
        <is>
          <t>TC-CERT-026</t>
        </is>
      </c>
      <c r="B27" s="15" t="inlineStr">
        <is>
          <t>Chứng nhận</t>
        </is>
      </c>
      <c r="C27" s="15" t="inlineStr">
        <is>
          <t>Chứng nhận - Xác minh công khai</t>
        </is>
      </c>
      <c r="D27" s="15" t="inlineStr">
        <is>
          <t>Mã quá dài (5000 ký tự) không làm sập server</t>
        </is>
      </c>
      <c r="E27" s="15" t="inlineStr">
        <is>
          <t>Bảo mật</t>
        </is>
      </c>
      <c r="F27" s="20" t="inlineStr">
        <is>
          <t>Trung bình</t>
        </is>
      </c>
      <c r="G27" s="17" t="inlineStr">
        <is>
          <t>Đã hoàn thiện</t>
        </is>
      </c>
      <c r="H27" s="17" t="inlineStr">
        <is>
          <t>Có</t>
        </is>
      </c>
      <c r="I27" s="15" t="inlineStr">
        <is>
          <t>Tiền điều kiện chung: đã `db:seed`, BE :4000, FE :5173; mật khẩu mọi tài khoản seed = Passw0rd!x. Không đăng nhập.</t>
        </is>
      </c>
      <c r="J27" s="15" t="inlineStr">
        <is>
          <t>1. GET /api/certificates/ + 'A' x 5000
2. Sau đó GET mã hợp lệ để chắc server còn hoạt động</t>
        </is>
      </c>
      <c r="K27" s="15" t="inlineStr">
        <is>
          <t>chuỗi 5000 ký tự</t>
        </is>
      </c>
      <c r="L27" s="15" t="inlineStr">
        <is>
          <t>404 (hoặc 414/400 nếu có giới hạn URL), không 500; request hợp lệ sau đó vẫn 200.</t>
        </is>
      </c>
      <c r="M27" s="15" t="inlineStr"/>
      <c r="N27" s="18" t="inlineStr">
        <is>
          <t>Chưa test</t>
        </is>
      </c>
      <c r="O27" s="15" t="inlineStr"/>
      <c r="P27" s="15" t="inlineStr"/>
      <c r="Q27" s="18" t="inlineStr">
        <is>
          <t>Chưa test</t>
        </is>
      </c>
      <c r="R27" s="15" t="inlineStr"/>
    </row>
    <row r="28" ht="30" customHeight="1">
      <c r="A28" s="14" t="inlineStr">
        <is>
          <t>TC-CERT-027</t>
        </is>
      </c>
      <c r="B28" s="15" t="inlineStr">
        <is>
          <t>Chứng nhận</t>
        </is>
      </c>
      <c r="C28" s="15" t="inlineStr">
        <is>
          <t>Chứng nhận - Xác minh công khai</t>
        </is>
      </c>
      <c r="D28" s="15" t="inlineStr">
        <is>
          <t>Dò mã hàng loạt: 60 request mã sai liên tiếp</t>
        </is>
      </c>
      <c r="E28" s="15" t="inlineStr">
        <is>
          <t>Bảo mật</t>
        </is>
      </c>
      <c r="F28" s="20" t="inlineStr">
        <is>
          <t>Trung bình</t>
        </is>
      </c>
      <c r="G28" s="17" t="inlineStr">
        <is>
          <t>Đã hoàn thiện</t>
        </is>
      </c>
      <c r="H28" s="20" t="inlineStr">
        <is>
          <t>Một phần</t>
        </is>
      </c>
      <c r="I28" s="15" t="inlineStr">
        <is>
          <t>Tiền điều kiện chung: đã `db:seed`, BE :4000, FE :5173; mật khẩu mọi tài khoản seed = Passw0rd!x. Không đăng nhập; đo bằng script.</t>
        </is>
      </c>
      <c r="J28" s="15" t="inlineStr">
        <is>
          <t>1. Gửi 60 GET /api/certificates/&lt;mã ngẫu nhiên 16 ký tự&gt; trong 10 giây
2. Đếm mã trạng thái</t>
        </is>
      </c>
      <c r="K28" s="15" t="inlineStr">
        <is>
          <t>60 request</t>
        </is>
      </c>
      <c r="L28"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8" s="15" t="inlineStr"/>
      <c r="N28" s="18" t="inlineStr">
        <is>
          <t>Chưa test</t>
        </is>
      </c>
      <c r="O28" s="15" t="inlineStr"/>
      <c r="P28" s="15" t="inlineStr"/>
      <c r="Q28" s="18" t="inlineStr">
        <is>
          <t>Chưa test</t>
        </is>
      </c>
      <c r="R28" s="15" t="inlineStr"/>
    </row>
    <row r="29" ht="45" customHeight="1">
      <c r="A29" s="14" t="inlineStr">
        <is>
          <t>TC-CERT-028</t>
        </is>
      </c>
      <c r="B29" s="15" t="inlineStr">
        <is>
          <t>Chứng nhận</t>
        </is>
      </c>
      <c r="C29" s="15" t="inlineStr">
        <is>
          <t>Chứng nhận - Xác minh công khai</t>
        </is>
      </c>
      <c r="D29" s="15" t="inlineStr">
        <is>
          <t>UI /certificates/FIN-DEMO-CERT-001 mở trong cửa sổ ẩn danh</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Phiên trình duyệt mới, chưa đăng nhập.</t>
        </is>
      </c>
      <c r="J29" s="15" t="inlineStr">
        <is>
          <t>1. Mở /certificates/FIN-DEMO-CERT-001
2. Đọc tiêu đề và thẻ
3. Bấm 'Về trang chủ SofinHub'</t>
        </is>
      </c>
      <c r="K29" s="15" t="inlineStr">
        <is>
          <t>URL công khai</t>
        </is>
      </c>
      <c r="L29" s="15" t="inlineStr">
        <is>
          <t>Tiêu đề 'Xác minh chứng nhận', huy hiệu 'Chứng nhận hợp lệ', thẻ có 'Minh Member1' và 'Đầu tư cho người mới'. Nút 'Về trang chủ SofinHub' về trang chủ. Không bị chuyển hướng sang đăng nhập.</t>
        </is>
      </c>
      <c r="M29" s="15" t="inlineStr"/>
      <c r="N29" s="18" t="inlineStr">
        <is>
          <t>Chưa test</t>
        </is>
      </c>
      <c r="O29" s="15" t="inlineStr"/>
      <c r="P29" s="15" t="inlineStr"/>
      <c r="Q29" s="18" t="inlineStr">
        <is>
          <t>Chưa test</t>
        </is>
      </c>
      <c r="R29" s="15" t="inlineStr"/>
    </row>
    <row r="30" ht="30" customHeight="1">
      <c r="A30" s="14" t="inlineStr">
        <is>
          <t>TC-CERT-029</t>
        </is>
      </c>
      <c r="B30" s="15" t="inlineStr">
        <is>
          <t>Chứng nhận</t>
        </is>
      </c>
      <c r="C30" s="15" t="inlineStr">
        <is>
          <t>Chứng nhận - Xác minh công khai</t>
        </is>
      </c>
      <c r="D30" s="15" t="inlineStr">
        <is>
          <t>UI mã sai: 'Không tìm thấy chứng nhận', mã được escape</t>
        </is>
      </c>
      <c r="E30" s="15" t="inlineStr">
        <is>
          <t>Giao diện</t>
        </is>
      </c>
      <c r="F30" s="16" t="inlineStr">
        <is>
          <t>Cao</t>
        </is>
      </c>
      <c r="G30" s="17" t="inlineStr">
        <is>
          <t>Đã hoàn thiện</t>
        </is>
      </c>
      <c r="H30" s="17" t="inlineStr">
        <is>
          <t>Có</t>
        </is>
      </c>
      <c r="I30" s="15" t="inlineStr">
        <is>
          <t>Tiền điều kiện chung: đã `db:seed`, BE :4000, FE :5173; mật khẩu mọi tài khoản seed = Passw0rd!x. Không đăng nhập.</t>
        </is>
      </c>
      <c r="J30" s="15" t="inlineStr">
        <is>
          <t>1. Mở /certificates/SAI-MA-123
2. Mở /certificates/%3Cimg%20src%3Dx%20onerror%3Dalert(1)%3E</t>
        </is>
      </c>
      <c r="K30" s="15" t="inlineStr">
        <is>
          <t>2 URL</t>
        </is>
      </c>
      <c r="L30" s="15" t="inlineStr">
        <is>
          <t>Cả 2: tiêu đề 'Không tìm thấy chứng nhận', nội dung 'Mã "&lt;mã&gt;" không tồn tại hoặc không hợp lệ. Hãy kiểm tra lại đường dẫn.'; mã độc hiển thị nguyên dạng chữ, không chạy onerror/alert.</t>
        </is>
      </c>
      <c r="M30" s="15" t="inlineStr"/>
      <c r="N30" s="18" t="inlineStr">
        <is>
          <t>Chưa test</t>
        </is>
      </c>
      <c r="O30" s="15" t="inlineStr"/>
      <c r="P30" s="15" t="inlineStr"/>
      <c r="Q30" s="18" t="inlineStr">
        <is>
          <t>Chưa test</t>
        </is>
      </c>
      <c r="R30" s="15" t="inlineStr"/>
    </row>
    <row r="31" ht="30" customHeight="1">
      <c r="A31" s="14" t="inlineStr">
        <is>
          <t>TC-CERT-030</t>
        </is>
      </c>
      <c r="B31" s="15" t="inlineStr">
        <is>
          <t>Chứng nhận</t>
        </is>
      </c>
      <c r="C31" s="15" t="inlineStr">
        <is>
          <t>Chứng nhận - Xác minh công khai</t>
        </is>
      </c>
      <c r="D31" s="15" t="inlineStr">
        <is>
          <t>UI xác minh: trạng thái 'Đang xác minh…' và lỗi máy chủ</t>
        </is>
      </c>
      <c r="E31" s="15" t="inlineStr">
        <is>
          <t>Giao diện</t>
        </is>
      </c>
      <c r="F31" s="17" t="inlineStr">
        <is>
          <t>Thấp</t>
        </is>
      </c>
      <c r="G31" s="17" t="inlineStr">
        <is>
          <t>Đã hoàn thiện</t>
        </is>
      </c>
      <c r="H31" s="17" t="inlineStr">
        <is>
          <t>Có</t>
        </is>
      </c>
      <c r="I31" s="15" t="inlineStr">
        <is>
          <t>Tiền điều kiện chung: đã `db:seed`, BE :4000, FE :5173; mật khẩu mọi tài khoản seed = Passw0rd!x. Playwright chặn route: trì hoãn 2 giây rồi trả 500 cho GET /api/certificates/*.</t>
        </is>
      </c>
      <c r="J31" s="15" t="inlineStr">
        <is>
          <t>1. Mở /certificates/FIN-DEMO-CERT-001
2. Chụp màn hình lúc chờ và lúc lỗi</t>
        </is>
      </c>
      <c r="K31" s="15" t="inlineStr">
        <is>
          <t>route delay + 500</t>
        </is>
      </c>
      <c r="L31" s="15" t="inlineStr">
        <is>
          <t>Lúc chờ hiển thị 'Đang xác minh…'. Khi 500: tiêu đề 'Không xác minh được' cùng thông điệp lỗi (khác với trường hợp 404); không hiển thị 'Chứng nhận hợp lệ'.</t>
        </is>
      </c>
      <c r="M31" s="15" t="inlineStr"/>
      <c r="N31" s="18" t="inlineStr">
        <is>
          <t>Chưa test</t>
        </is>
      </c>
      <c r="O31" s="15" t="inlineStr"/>
      <c r="P31" s="15" t="inlineStr"/>
      <c r="Q31" s="18" t="inlineStr">
        <is>
          <t>Chưa test</t>
        </is>
      </c>
      <c r="R31" s="15" t="inlineStr"/>
    </row>
    <row r="32" ht="45" customHeight="1">
      <c r="A32" s="14" t="inlineStr">
        <is>
          <t>TC-CERT-031</t>
        </is>
      </c>
      <c r="B32" s="15" t="inlineStr">
        <is>
          <t>Chứng nhận</t>
        </is>
      </c>
      <c r="C32" s="15" t="inlineStr">
        <is>
          <t>Chứng nhận - Vòng đời &amp; phân quyền</t>
        </is>
      </c>
      <c r="D32" s="15" t="inlineStr">
        <is>
          <t>IDOR: member không lấy được chứng nhận của người khác bằng tham số</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member2 (photo, 17%). Chứng nhận FIN-DEMO-CERT-001 thuộc member1 ở fin (member2 không ở fin).</t>
        </is>
      </c>
      <c r="J32" s="15" t="inlineStr">
        <is>
          <t>1. GET /api/courses/fin/certificate
2. GET /api/courses/photo/certificate?userId=&lt;id của member1&gt;
3. GET /api/courses/photo/certificate/FIN-DEMO-CERT-001 (đường dẫn tự chế)</t>
        </is>
      </c>
      <c r="K32" s="15" t="inlineStr">
        <is>
          <t>member2</t>
        </is>
      </c>
      <c r="L32"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2" s="15" t="inlineStr"/>
      <c r="N32" s="18" t="inlineStr">
        <is>
          <t>Chưa test</t>
        </is>
      </c>
      <c r="O32" s="15" t="inlineStr"/>
      <c r="P32" s="15" t="inlineStr"/>
      <c r="Q32" s="18" t="inlineStr">
        <is>
          <t>Chưa test</t>
        </is>
      </c>
      <c r="R32" s="15" t="inlineStr"/>
    </row>
    <row r="33" ht="60" customHeight="1">
      <c r="A33" s="14" t="inlineStr">
        <is>
          <t>TC-CERT-032</t>
        </is>
      </c>
      <c r="B33" s="15" t="inlineStr">
        <is>
          <t>Chứng nhận</t>
        </is>
      </c>
      <c r="C33" s="15" t="inlineStr">
        <is>
          <t>Chứng nhận - Vòng đời &amp; phân quyền</t>
        </is>
      </c>
      <c r="D33" s="15" t="inlineStr">
        <is>
          <t>Mod thêm bài mới sau khi đã cấp: cấp cũ vẫn xác minh được, nhận lại bị 403 (chưa chốt)</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3" s="15" t="inlineStr">
        <is>
          <t>1. owner: POST /api/courses/fin/modules/mod-fin-3/lessons {title:'Bài mới', type:'text', durationMin:5, body:'x'}
2. member1: GET /api/courses/fin/certificate
3. công khai: GET /api/certificates/FIN-DEMO-CERT-001
4. owner: DELETE bài vừa thêm; member1: GET certificate lại</t>
        </is>
      </c>
      <c r="K33" s="15" t="inlineStr">
        <is>
          <t>thêm 1 bài vào fin</t>
        </is>
      </c>
      <c r="L33"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3" s="15" t="inlineStr"/>
      <c r="N33" s="18" t="inlineStr">
        <is>
          <t>Chưa test</t>
        </is>
      </c>
      <c r="O33" s="15" t="inlineStr"/>
      <c r="P33" s="15" t="inlineStr"/>
      <c r="Q33" s="18" t="inlineStr">
        <is>
          <t>Chưa test</t>
        </is>
      </c>
      <c r="R33" s="15" t="inlineStr"/>
    </row>
    <row r="34" ht="30" customHeight="1">
      <c r="A34" s="14" t="inlineStr">
        <is>
          <t>TC-CERT-033</t>
        </is>
      </c>
      <c r="B34" s="15" t="inlineStr">
        <is>
          <t>Chứng nhận</t>
        </is>
      </c>
      <c r="C34" s="15" t="inlineStr">
        <is>
          <t>Chứng nhận - Vòng đời &amp; phân quyền</t>
        </is>
      </c>
      <c r="D34" s="15" t="inlineStr">
        <is>
          <t>UI: sau khi mod thêm bài mới, nút 'Nhận chứng nhận' biến mất và toast lỗi khi gọi</t>
        </is>
      </c>
      <c r="E34" s="15" t="inlineStr">
        <is>
          <t>Giao diện</t>
        </is>
      </c>
      <c r="F34" s="20" t="inlineStr">
        <is>
          <t>Trung bình</t>
        </is>
      </c>
      <c r="G34" s="17" t="inlineStr">
        <is>
          <t>Đã hoàn thiện</t>
        </is>
      </c>
      <c r="H34" s="17" t="inlineStr">
        <is>
          <t>Có</t>
        </is>
      </c>
      <c r="I34" s="15" t="inlineStr">
        <is>
          <t>Tiền điều kiện chung: đã `db:seed`, BE :4000, FE :5173; mật khẩu mọi tài khoản seed = Passw0rd!x. Tiếp nối case trên; member1 đang mở lớp học fin.</t>
        </is>
      </c>
      <c r="J34" s="15" t="inlineStr">
        <is>
          <t>1. Tải lại /courses/fin/community/lop-hoc sau khi có bài mới
2. Kiểm tra thanh tiến độ và nút 'Nhận chứng nhận'</t>
        </is>
      </c>
      <c r="K34" s="15" t="inlineStr">
        <is>
          <t>fin 16/17 bài</t>
        </is>
      </c>
      <c r="L34" s="15" t="inlineStr">
        <is>
          <t>Tiến độ 94% (16/17), không có nút 'Nhận chứng nhận'; có nút 'Tiếp tục học' tới bài mới. Nếu gọi thẳng API: toast lỗi 'Bạn cần hoàn thành 100% bài học để nhận chứng nhận' (chưa chốt).</t>
        </is>
      </c>
      <c r="M34" s="15" t="inlineStr"/>
      <c r="N34" s="18" t="inlineStr">
        <is>
          <t>Chưa test</t>
        </is>
      </c>
      <c r="O34" s="15" t="inlineStr"/>
      <c r="P34" s="15" t="inlineStr"/>
      <c r="Q34" s="18" t="inlineStr">
        <is>
          <t>Chưa test</t>
        </is>
      </c>
      <c r="R34" s="15" t="inlineStr"/>
    </row>
    <row r="35" ht="45" customHeight="1">
      <c r="A35" s="14" t="inlineStr">
        <is>
          <t>TC-CERT-034</t>
        </is>
      </c>
      <c r="B35" s="15" t="inlineStr">
        <is>
          <t>Chứng nhận</t>
        </is>
      </c>
      <c r="C35" s="15" t="inlineStr">
        <is>
          <t>Chứng nhận - Vòng đời &amp; phân quyền</t>
        </is>
      </c>
      <c r="D35" s="15" t="inlineStr">
        <is>
          <t>Xóa bài chưa học khiến các bài còn lại đều xong -&gt; đủ điều kiện nhận (điều kiện biên)</t>
        </is>
      </c>
      <c r="E35" s="15" t="inlineStr">
        <is>
          <t>Chức năng</t>
        </is>
      </c>
      <c r="F35" s="20" t="inlineStr">
        <is>
          <t>Trung bình</t>
        </is>
      </c>
      <c r="G35" s="17" t="inlineStr">
        <is>
          <t>Đã hoàn thiện</t>
        </is>
      </c>
      <c r="H35" s="17" t="inlineStr">
        <is>
          <t>Có</t>
        </is>
      </c>
      <c r="I35" s="15" t="inlineStr">
        <is>
          <t>Tiền điều kiện chung: đã `db:seed`, BE :4000, FE :5173; mật khẩu mọi tài khoản seed = Passw0rd!x. Học viên thử H hoàn thành 15/16 bài fin và chưa từng gọi certificate; owner xóa bài H chưa làm.</t>
        </is>
      </c>
      <c r="J35" s="15" t="inlineStr">
        <is>
          <t>1. H: GET /api/courses/fin/certificate -&gt; 403
2. owner: DELETE bài H chưa học
3. H: GET certificate lại</t>
        </is>
      </c>
      <c r="K35" s="15" t="inlineStr">
        <is>
          <t>15/16 -&gt; 15/15</t>
        </is>
      </c>
      <c r="L35" s="15" t="inlineStr">
        <is>
          <t>Trước khi xóa: 403 '100%'. Sau khi xóa: 200 cấp chứng nhận (tổng bài giảm, mọi bài còn lại đều xong). Ghi nhận là hành vi hiện tại, cần chốt xem có cho phép hay không (chưa chốt).</t>
        </is>
      </c>
      <c r="M35" s="15" t="inlineStr"/>
      <c r="N35" s="18" t="inlineStr">
        <is>
          <t>Chưa test</t>
        </is>
      </c>
      <c r="O35" s="15" t="inlineStr"/>
      <c r="P35" s="15" t="inlineStr"/>
      <c r="Q35" s="18" t="inlineStr">
        <is>
          <t>Chưa test</t>
        </is>
      </c>
      <c r="R35" s="15" t="inlineStr"/>
    </row>
    <row r="36" ht="60" customHeight="1">
      <c r="A36" s="14" t="inlineStr">
        <is>
          <t>TC-CERT-035</t>
        </is>
      </c>
      <c r="B36" s="15" t="inlineStr">
        <is>
          <t>Chứng nhận</t>
        </is>
      </c>
      <c r="C36" s="15" t="inlineStr">
        <is>
          <t>Chứng nhận - Vòng đời &amp; phân quyền</t>
        </is>
      </c>
      <c r="D36" s="15" t="inlineStr">
        <is>
          <t>Tắt chứng nhận sau khi đã cấp: xác minh công khai vẫn hợp lệ, nhận lại bị chặn</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member1 có FIN-DEMO-CERT-001. Owner tắt chứng nhận ở fin, bật lại ở cuối.</t>
        </is>
      </c>
      <c r="J36" s="15" t="inlineStr">
        <is>
          <t>1. owner: PATCH /api/courses/fin/classroom-settings {certificatesEnabled:false}
2. member1: GET /api/courses/fin/certificate
3. công khai: GET /api/certificates/FIN-DEMO-CERT-001
4. owner: bật lại; member1 GET certificate</t>
        </is>
      </c>
      <c r="K36" s="15" t="inlineStr">
        <is>
          <t>tắt rồi bật</t>
        </is>
      </c>
      <c r="L36"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6" s="15" t="inlineStr"/>
      <c r="N36" s="18" t="inlineStr">
        <is>
          <t>Chưa test</t>
        </is>
      </c>
      <c r="O36" s="15" t="inlineStr"/>
      <c r="P36" s="15" t="inlineStr"/>
      <c r="Q36" s="18" t="inlineStr">
        <is>
          <t>Chưa test</t>
        </is>
      </c>
      <c r="R36" s="15" t="inlineStr"/>
    </row>
    <row r="37" ht="30" customHeight="1">
      <c r="A37" s="14" t="inlineStr">
        <is>
          <t>TC-CERT-036</t>
        </is>
      </c>
      <c r="B37" s="15" t="inlineStr">
        <is>
          <t>Chứng nhận</t>
        </is>
      </c>
      <c r="C37" s="15" t="inlineStr">
        <is>
          <t>Chứng nhận - Vòng đời &amp; phân quyền</t>
        </is>
      </c>
      <c r="D37" s="15" t="inlineStr">
        <is>
          <t>Tên người nhận và tên khóa được lưu tại thời điểm cấp (snapshot)</t>
        </is>
      </c>
      <c r="E37" s="15" t="inlineStr">
        <is>
          <t>Chức năng</t>
        </is>
      </c>
      <c r="F37" s="20" t="inlineStr">
        <is>
          <t>Trung bình</t>
        </is>
      </c>
      <c r="G37" s="17" t="inlineStr">
        <is>
          <t>Đã hoàn thiện</t>
        </is>
      </c>
      <c r="H37" s="17" t="inlineStr">
        <is>
          <t>Có</t>
        </is>
      </c>
      <c r="I37"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7" s="15" t="inlineStr">
        <is>
          <t>1. GET /api/certificates/&lt;code&gt;
2. GET /api/courses/photo/certificate</t>
        </is>
      </c>
      <c r="K37" s="15" t="inlineStr">
        <is>
          <t>đổi tên hồ sơ và tên khóa</t>
        </is>
      </c>
      <c r="L37" s="15" t="inlineStr">
        <is>
          <t>Cả 2 vẫn trả tên người nhận và tên khóa cũ đã lưu lúc cấp (không tự đổi theo hồ sơ), mã và issuedAt không đổi.</t>
        </is>
      </c>
      <c r="M37" s="15" t="inlineStr"/>
      <c r="N37" s="18" t="inlineStr">
        <is>
          <t>Chưa test</t>
        </is>
      </c>
      <c r="O37" s="15" t="inlineStr"/>
      <c r="P37" s="15" t="inlineStr"/>
      <c r="Q37" s="18" t="inlineStr">
        <is>
          <t>Chưa test</t>
        </is>
      </c>
      <c r="R37" s="15" t="inlineStr"/>
    </row>
    <row r="38" ht="30" customHeight="1">
      <c r="A38" s="14" t="inlineStr">
        <is>
          <t>TC-CERT-037</t>
        </is>
      </c>
      <c r="B38" s="15" t="inlineStr">
        <is>
          <t>Chứng nhận</t>
        </is>
      </c>
      <c r="C38" s="15" t="inlineStr">
        <is>
          <t>Chứng nhận - Vòng đời &amp; phân quyền</t>
        </is>
      </c>
      <c r="D38" s="15" t="inlineStr">
        <is>
          <t>Xóa module/bài không xóa chứng nhận đã cấp</t>
        </is>
      </c>
      <c r="E38" s="15" t="inlineStr">
        <is>
          <t>Chức năng</t>
        </is>
      </c>
      <c r="F38" s="17" t="inlineStr">
        <is>
          <t>Thấp</t>
        </is>
      </c>
      <c r="G38" s="17" t="inlineStr">
        <is>
          <t>Đã hoàn thiện</t>
        </is>
      </c>
      <c r="H38" s="17" t="inlineStr">
        <is>
          <t>Có</t>
        </is>
      </c>
      <c r="I38" s="15" t="inlineStr">
        <is>
          <t>Tiền điều kiện chung: đã `db:seed`, BE :4000, FE :5173; mật khẩu mọi tài khoản seed = Passw0rd!x. Học viên thử đã có chứng nhận photo; mod xóa một bài của photo (dùng bài thử).</t>
        </is>
      </c>
      <c r="J38" s="15" t="inlineStr">
        <is>
          <t>1. mod: DELETE bài
2. GET /api/certificates/&lt;code&gt;</t>
        </is>
      </c>
      <c r="K38" s="15" t="inlineStr">
        <is>
          <t>xóa bài sau khi cấp</t>
        </is>
      </c>
      <c r="L38" s="15" t="inlineStr">
        <is>
          <t>Xác minh công khai vẫn 200 valid:true với dữ liệu cũ (chứng nhận độc lập với nội dung lớp học).</t>
        </is>
      </c>
      <c r="M38" s="15" t="inlineStr"/>
      <c r="N38" s="18" t="inlineStr">
        <is>
          <t>Chưa test</t>
        </is>
      </c>
      <c r="O38" s="15" t="inlineStr"/>
      <c r="P38" s="15" t="inlineStr"/>
      <c r="Q38" s="18" t="inlineStr">
        <is>
          <t>Chưa test</t>
        </is>
      </c>
      <c r="R38" s="15" t="inlineStr"/>
    </row>
    <row r="39" ht="45" customHeight="1">
      <c r="A39" s="14" t="inlineStr">
        <is>
          <t>TC-CERT-038</t>
        </is>
      </c>
      <c r="B39" s="15" t="inlineStr">
        <is>
          <t>Chứng nhận</t>
        </is>
      </c>
      <c r="C39" s="15" t="inlineStr">
        <is>
          <t>Chứng nhận - Vòng đời &amp; phân quyền</t>
        </is>
      </c>
      <c r="D39" s="15" t="inlineStr">
        <is>
          <t>Khách và người chưa tham gia không gọi được API nhận chứng nhận</t>
        </is>
      </c>
      <c r="E39" s="15" t="inlineStr">
        <is>
          <t>Bảo mật</t>
        </is>
      </c>
      <c r="F39" s="20" t="inlineStr">
        <is>
          <t>Trung bình</t>
        </is>
      </c>
      <c r="G39" s="17" t="inlineStr">
        <is>
          <t>Đã hoàn thiện</t>
        </is>
      </c>
      <c r="H39" s="17" t="inlineStr">
        <is>
          <t>Có</t>
        </is>
      </c>
      <c r="I39" s="15" t="inlineStr">
        <is>
          <t>Tiền điều kiện chung: đã `db:seed`, BE :4000, FE :5173; mật khẩu mọi tài khoản seed = Passw0rd!x. Khách và newbie.</t>
        </is>
      </c>
      <c r="J39" s="15" t="inlineStr">
        <is>
          <t>1. khách: GET /api/courses/fin/certificate
2. newbie: GET /api/courses/fin/certificate
3. khách mở /courses/fin/community/lop-hoc</t>
        </is>
      </c>
      <c r="K39" s="15" t="inlineStr">
        <is>
          <t>khách, newbie</t>
        </is>
      </c>
      <c r="L39" s="15" t="inlineStr">
        <is>
          <t>API: khách 401; newbie 403 'Bạn cần tham gia cộng đồng này trước'. UI: khách bị chuyển tới đăng nhập, không thấy nút chứng nhận.</t>
        </is>
      </c>
      <c r="M39" s="15" t="inlineStr"/>
      <c r="N39" s="18" t="inlineStr">
        <is>
          <t>Chưa test</t>
        </is>
      </c>
      <c r="O39" s="15" t="inlineStr"/>
      <c r="P39" s="15" t="inlineStr"/>
      <c r="Q39" s="18" t="inlineStr">
        <is>
          <t>Chưa test</t>
        </is>
      </c>
      <c r="R39" s="15" t="inlineStr"/>
    </row>
    <row r="40" ht="45" customHeight="1">
      <c r="A40" s="14" t="inlineStr">
        <is>
          <t>TC-CERT-039</t>
        </is>
      </c>
      <c r="B40" s="15" t="inlineStr">
        <is>
          <t>Chứng nhận</t>
        </is>
      </c>
      <c r="C40" s="15" t="inlineStr">
        <is>
          <t>Chứng nhận - Chưa làm (PLAN)</t>
        </is>
      </c>
      <c r="D40" s="15" t="inlineStr">
        <is>
          <t>Xuất chứng nhận dạng PDF/ảnh từ máy chủ</t>
        </is>
      </c>
      <c r="E40" s="15" t="inlineStr">
        <is>
          <t>Chức năng</t>
        </is>
      </c>
      <c r="F40" s="20" t="inlineStr">
        <is>
          <t>Trung bình</t>
        </is>
      </c>
      <c r="G40" s="20" t="inlineStr">
        <is>
          <t>Kế hoạch</t>
        </is>
      </c>
      <c r="H40" s="16" t="inlineStr">
        <is>
          <t>Không</t>
        </is>
      </c>
      <c r="I40"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40" s="15" t="inlineStr">
        <is>
          <t>1. Ở hộp thoại chứng nhận bấm 'Tải PDF' (dự kiến)
2. Mở tệp PDF tải về
3. Xác minh mã trong PDF khớp trang /certificates/:code</t>
        </is>
      </c>
      <c r="K40" s="15" t="inlineStr">
        <is>
          <t>member1, fin, FIN-DEMO-CERT-001</t>
        </is>
      </c>
      <c r="L40" s="15" t="inlineStr">
        <is>
          <t>Dự kiến: tải PDF khổ A4 có tên, khóa học, ngày cấp, mã và mã QR trỏ tới /certificates/:code; tên tệp gợi ý 'chung-nhan-&lt;mã&gt;.pdf'.</t>
        </is>
      </c>
      <c r="M40" s="15" t="inlineStr"/>
      <c r="N40" s="18" t="inlineStr">
        <is>
          <t>Chưa test</t>
        </is>
      </c>
      <c r="O40" s="15" t="inlineStr"/>
      <c r="P40" s="15" t="inlineStr"/>
      <c r="Q40" s="18" t="inlineStr">
        <is>
          <t>Chưa test</t>
        </is>
      </c>
      <c r="R40" s="15" t="inlineStr"/>
    </row>
    <row r="41" ht="45" customHeight="1">
      <c r="A41" s="14" t="inlineStr">
        <is>
          <t>TC-CERT-040</t>
        </is>
      </c>
      <c r="B41" s="15" t="inlineStr">
        <is>
          <t>Chứng nhận</t>
        </is>
      </c>
      <c r="C41" s="15" t="inlineStr">
        <is>
          <t>Chứng nhận - Chưa làm (PLAN)</t>
        </is>
      </c>
      <c r="D41" s="15" t="inlineStr">
        <is>
          <t>Danh sách 'Chứng nhận của tôi' qua nhiều cộng đồng</t>
        </is>
      </c>
      <c r="E41" s="15" t="inlineStr">
        <is>
          <t>Chức năng</t>
        </is>
      </c>
      <c r="F41" s="17" t="inlineStr">
        <is>
          <t>Thấp</t>
        </is>
      </c>
      <c r="G41" s="20" t="inlineStr">
        <is>
          <t>Kế hoạch</t>
        </is>
      </c>
      <c r="H41" s="16" t="inlineStr">
        <is>
          <t>Không</t>
        </is>
      </c>
      <c r="I41" s="15" t="inlineStr">
        <is>
          <t xml:space="preserve">Chưa làm: chưa có endpoint liệt kê chứng nhận của tôi xuyên cộng đồng (classroom.md, 'Chưa làm'). Tiền điều kiện chung: đã `db:seed`, BE :4000, FE :5173; mật khẩu mọi tài khoản seed = Passw0rd!x. </t>
        </is>
      </c>
      <c r="J41" s="15" t="inlineStr">
        <is>
          <t>1. Đăng nhập member1 (dự kiến có chứng nhận fin)
2. Mở trang Hồ sơ &gt; Chứng nhận (dự kiến)
3. Bấm vào từng chứng nhận</t>
        </is>
      </c>
      <c r="K41" s="15" t="inlineStr">
        <is>
          <t>member1</t>
        </is>
      </c>
      <c r="L41" s="15" t="inlineStr">
        <is>
          <t>Dự kiến: liệt kê mọi chứng nhận đã cấp (mã, khóa, ngày cấp) cho riêng người dùng; không lộ chứng nhận của người khác.</t>
        </is>
      </c>
      <c r="M41" s="15" t="inlineStr"/>
      <c r="N41" s="18" t="inlineStr">
        <is>
          <t>Chưa test</t>
        </is>
      </c>
      <c r="O41" s="15" t="inlineStr"/>
      <c r="P41" s="15" t="inlineStr"/>
      <c r="Q41" s="18" t="inlineStr">
        <is>
          <t>Chưa test</t>
        </is>
      </c>
      <c r="R41" s="15" t="inlineStr"/>
    </row>
    <row r="42" ht="45" customHeight="1">
      <c r="A42" s="14" t="inlineStr">
        <is>
          <t>TC-CERT-041</t>
        </is>
      </c>
      <c r="B42" s="15" t="inlineStr">
        <is>
          <t>Chứng nhận</t>
        </is>
      </c>
      <c r="C42" s="15" t="inlineStr">
        <is>
          <t>Chứng nhận - Chưa làm (PLAN)</t>
        </is>
      </c>
      <c r="D42" s="15" t="inlineStr">
        <is>
          <t>Thu hồi chứng nhận (quản trị) và trạng thái 'valid:false'</t>
        </is>
      </c>
      <c r="E42" s="15" t="inlineStr">
        <is>
          <t>Chức năng</t>
        </is>
      </c>
      <c r="F42" s="17" t="inlineStr">
        <is>
          <t>Thấp</t>
        </is>
      </c>
      <c r="G42" s="20" t="inlineStr">
        <is>
          <t>Kế hoạch</t>
        </is>
      </c>
      <c r="H42" s="16" t="inlineStr">
        <is>
          <t>Không</t>
        </is>
      </c>
      <c r="I42" s="15" t="inlineStr">
        <is>
          <t xml:space="preserve">Chưa làm / chưa chốt: chưa có cơ chế thu hồi; xác minh công khai hiện chỉ trả valid:true hoặc 404. Tiền điều kiện chung: đã `db:seed`, BE :4000, FE :5173; mật khẩu mọi tài khoản seed = Passw0rd!x. </t>
        </is>
      </c>
      <c r="J42" s="15" t="inlineStr">
        <is>
          <t>1. Owner mở quản lý chứng nhận (dự kiến)
2. Thu hồi chứng nhận FIN-DEMO-CERT-001
3. Xác minh công khai lại</t>
        </is>
      </c>
      <c r="K42" s="15" t="inlineStr">
        <is>
          <t>FIN-DEMO-CERT-001</t>
        </is>
      </c>
      <c r="L42" s="15" t="inlineStr">
        <is>
          <t>Dự kiến: trang xác minh báo chứng nhận đã bị thu hồi (ví dụ valid:false + lý do) thay vì 'hợp lệ'; cần chốt chính sách thu hồi khi mod thêm bài mới.</t>
        </is>
      </c>
      <c r="M42" s="15" t="inlineStr"/>
      <c r="N42" s="18" t="inlineStr">
        <is>
          <t>Chưa test</t>
        </is>
      </c>
      <c r="O42" s="15" t="inlineStr"/>
      <c r="P42" s="15" t="inlineStr"/>
      <c r="Q42" s="18" t="inlineStr">
        <is>
          <t>Chưa test</t>
        </is>
      </c>
      <c r="R42" s="15" t="inlineStr"/>
    </row>
  </sheetData>
  <autoFilter ref="A1:R42"/>
  <conditionalFormatting sqref="N2:N4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2" showDropDown="0" showInputMessage="0" showErrorMessage="0" allowBlank="1" type="list">
      <formula1>"Chưa test,Pass,Fail,Blocked,N/A"</formula1>
    </dataValidation>
    <dataValidation sqref="Q2:Q42" showDropDown="0" showInputMessage="0" showErrorMessage="0" allowBlank="1" type="list">
      <formula1>"Chưa test,Pass,Fail,Blocked,N/A"</formula1>
    </dataValidation>
    <dataValidation sqref="F2:F42" showDropDown="0" showInputMessage="0" showErrorMessage="0" allowBlank="1" type="list">
      <formula1>"Cao,Trung bình,Thấp"</formula1>
    </dataValidation>
    <dataValidation sqref="G2:G42" showDropDown="0" showInputMessage="0" showErrorMessage="0" allowBlank="1" type="list">
      <formula1>"Đã hoàn thiện,Kế hoạch"</formula1>
    </dataValidation>
    <dataValidation sqref="H2:H42"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TC-FEED-001</t>
        </is>
      </c>
      <c r="B2" s="15" t="inlineStr">
        <is>
          <t>Bảng tin &amp; Tương tác cộng đồng</t>
        </is>
      </c>
      <c r="C2" s="15" t="inlineStr">
        <is>
          <t>Đăng bài</t>
        </is>
      </c>
      <c r="D2" s="15" t="inlineStr">
        <is>
          <t>Đăng bài viết dạng văn bản</t>
        </is>
      </c>
      <c r="E2" s="15" t="inlineStr">
        <is>
          <t>Chức năng</t>
        </is>
      </c>
      <c r="F2" s="16" t="inlineStr">
        <is>
          <t>Cao</t>
        </is>
      </c>
      <c r="G2" s="17" t="inlineStr">
        <is>
          <t>Đã hoàn thiện</t>
        </is>
      </c>
      <c r="H2" s="17" t="inlineStr">
        <is>
          <t>Có</t>
        </is>
      </c>
      <c r="I2" s="15" t="inlineStr">
        <is>
          <t>Là thành viên của cộng đồng</t>
        </is>
      </c>
      <c r="J2" s="15" t="inlineStr">
        <is>
          <t>1. Vào Bảng tin cộng đồng
2. Bấm 'Tạo bài viết'
3. Nhập nội dung văn bản
4. Đăng</t>
        </is>
      </c>
      <c r="K2" s="15" t="inlineStr">
        <is>
          <t>-</t>
        </is>
      </c>
      <c r="L2" s="15" t="inlineStr">
        <is>
          <t>Bài viết xuất hiện ngay trên bảng tin với đúng nội dung, tác giả, thời gian</t>
        </is>
      </c>
      <c r="M2" s="15" t="inlineStr"/>
      <c r="N2" s="18" t="inlineStr">
        <is>
          <t>Chưa test</t>
        </is>
      </c>
      <c r="O2" s="15" t="inlineStr"/>
      <c r="P2" s="15" t="inlineStr"/>
      <c r="Q2" s="18" t="inlineStr">
        <is>
          <t>Chưa test</t>
        </is>
      </c>
      <c r="R2" s="15" t="inlineStr"/>
    </row>
    <row r="3" ht="45" customHeight="1">
      <c r="A3" s="14" t="inlineStr">
        <is>
          <t>TC-FEED-002</t>
        </is>
      </c>
      <c r="B3" s="15" t="inlineStr">
        <is>
          <t>Bảng tin &amp; Tương tác cộng đồng</t>
        </is>
      </c>
      <c r="C3" s="15" t="inlineStr">
        <is>
          <t>Đăng bài</t>
        </is>
      </c>
      <c r="D3" s="15" t="inlineStr">
        <is>
          <t>Đăng bài viết kèm ảnh</t>
        </is>
      </c>
      <c r="E3" s="15" t="inlineStr">
        <is>
          <t>Chức năng</t>
        </is>
      </c>
      <c r="F3" s="20" t="inlineStr">
        <is>
          <t>Trung bình</t>
        </is>
      </c>
      <c r="G3" s="17" t="inlineStr">
        <is>
          <t>Đã hoàn thiện</t>
        </is>
      </c>
      <c r="H3" s="17" t="inlineStr">
        <is>
          <t>Có</t>
        </is>
      </c>
      <c r="I3" s="15" t="inlineStr">
        <is>
          <t>Là thành viên của cộng đồng</t>
        </is>
      </c>
      <c r="J3" s="15" t="inlineStr">
        <is>
          <t>1. Tạo bài viết mới
2. Đính kèm 1 hoặc nhiều ảnh
3. Đăng</t>
        </is>
      </c>
      <c r="K3" s="15" t="inlineStr">
        <is>
          <t>Ảnh JPG/PNG hợp lệ</t>
        </is>
      </c>
      <c r="L3" s="15" t="inlineStr">
        <is>
          <t>Bài viết hiển thị kèm ảnh đúng, ảnh load được, không vỡ layout</t>
        </is>
      </c>
      <c r="M3" s="15" t="inlineStr"/>
      <c r="N3" s="18" t="inlineStr">
        <is>
          <t>Chưa test</t>
        </is>
      </c>
      <c r="O3" s="15" t="inlineStr"/>
      <c r="P3" s="15" t="inlineStr"/>
      <c r="Q3" s="18" t="inlineStr">
        <is>
          <t>Chưa test</t>
        </is>
      </c>
      <c r="R3" s="15" t="inlineStr"/>
    </row>
    <row r="4" ht="45" customHeight="1">
      <c r="A4" s="14" t="inlineStr">
        <is>
          <t>TC-FEED-003</t>
        </is>
      </c>
      <c r="B4" s="15" t="inlineStr">
        <is>
          <t>Bảng tin &amp; Tương tác cộng đồng</t>
        </is>
      </c>
      <c r="C4" s="15" t="inlineStr">
        <is>
          <t>Đăng bài</t>
        </is>
      </c>
      <c r="D4" s="15" t="inlineStr">
        <is>
          <t>Đăng bài viết kèm video</t>
        </is>
      </c>
      <c r="E4" s="15" t="inlineStr">
        <is>
          <t>Chức năng</t>
        </is>
      </c>
      <c r="F4" s="20" t="inlineStr">
        <is>
          <t>Trung bình</t>
        </is>
      </c>
      <c r="G4" s="20" t="inlineStr">
        <is>
          <t>Kế hoạch</t>
        </is>
      </c>
      <c r="H4" s="17" t="inlineStr">
        <is>
          <t>Có</t>
        </is>
      </c>
      <c r="I4" s="15" t="inlineStr">
        <is>
          <t>Là thành viên của cộng đồng</t>
        </is>
      </c>
      <c r="J4" s="15" t="inlineStr">
        <is>
          <t>1. Tạo bài viết mới
2. Đính kèm video
3. Đăng</t>
        </is>
      </c>
      <c r="K4" s="15" t="inlineStr">
        <is>
          <t>Video hợp lệ</t>
        </is>
      </c>
      <c r="L4" s="15" t="inlineStr">
        <is>
          <t>Bài viết hiển thị kèm video, phát được trực tiếp trên bảng tin</t>
        </is>
      </c>
      <c r="M4" s="15" t="inlineStr"/>
      <c r="N4" s="18" t="inlineStr">
        <is>
          <t>Chưa test</t>
        </is>
      </c>
      <c r="O4" s="15" t="inlineStr"/>
      <c r="P4" s="15" t="inlineStr"/>
      <c r="Q4" s="18" t="inlineStr">
        <is>
          <t>Chưa test</t>
        </is>
      </c>
      <c r="R4" s="15" t="inlineStr"/>
    </row>
    <row r="5" ht="45" customHeight="1">
      <c r="A5" s="14" t="inlineStr">
        <is>
          <t>TC-FEED-004</t>
        </is>
      </c>
      <c r="B5" s="15" t="inlineStr">
        <is>
          <t>Bảng tin &amp; Tương tác cộng đồng</t>
        </is>
      </c>
      <c r="C5" s="15" t="inlineStr">
        <is>
          <t>Đăng bài</t>
        </is>
      </c>
      <c r="D5" s="15" t="inlineStr">
        <is>
          <t>Gắn danh mục cho bài viết</t>
        </is>
      </c>
      <c r="E5" s="15" t="inlineStr">
        <is>
          <t>Chức năng</t>
        </is>
      </c>
      <c r="F5" s="17" t="inlineStr">
        <is>
          <t>Thấp</t>
        </is>
      </c>
      <c r="G5" s="17" t="inlineStr">
        <is>
          <t>Đã hoàn thiện</t>
        </is>
      </c>
      <c r="H5" s="17" t="inlineStr">
        <is>
          <t>Có</t>
        </is>
      </c>
      <c r="I5" s="15" t="inlineStr">
        <is>
          <t>Là thành viên của cộng đồng</t>
        </is>
      </c>
      <c r="J5" s="15" t="inlineStr">
        <is>
          <t>1. Tạo bài viết mới
2. Chọn danh mục bài viết
3. Đăng</t>
        </is>
      </c>
      <c r="K5" s="15" t="inlineStr">
        <is>
          <t>-</t>
        </is>
      </c>
      <c r="L5" s="15" t="inlineStr">
        <is>
          <t>Bài viết được gắn đúng danh mục, lọc bảng tin theo danh mục hoạt động đúng</t>
        </is>
      </c>
      <c r="M5" s="15" t="inlineStr"/>
      <c r="N5" s="18" t="inlineStr">
        <is>
          <t>Chưa test</t>
        </is>
      </c>
      <c r="O5" s="15" t="inlineStr"/>
      <c r="P5" s="15" t="inlineStr"/>
      <c r="Q5" s="18" t="inlineStr">
        <is>
          <t>Chưa test</t>
        </is>
      </c>
      <c r="R5" s="15" t="inlineStr"/>
    </row>
    <row r="6" ht="45" customHeight="1">
      <c r="A6" s="14" t="inlineStr">
        <is>
          <t>TC-FEED-005</t>
        </is>
      </c>
      <c r="B6" s="15" t="inlineStr">
        <is>
          <t>Bảng tin &amp; Tương tác cộng đồng</t>
        </is>
      </c>
      <c r="C6" s="15" t="inlineStr">
        <is>
          <t>Bình luận</t>
        </is>
      </c>
      <c r="D6" s="15" t="inlineStr">
        <is>
          <t>Bình luận vào một bài viết</t>
        </is>
      </c>
      <c r="E6" s="15" t="inlineStr">
        <is>
          <t>Chức năng</t>
        </is>
      </c>
      <c r="F6" s="16" t="inlineStr">
        <is>
          <t>Cao</t>
        </is>
      </c>
      <c r="G6" s="17" t="inlineStr">
        <is>
          <t>Đã hoàn thiện</t>
        </is>
      </c>
      <c r="H6" s="17" t="inlineStr">
        <is>
          <t>Có</t>
        </is>
      </c>
      <c r="I6" s="15" t="inlineStr">
        <is>
          <t>Có bài viết trên bảng tin</t>
        </is>
      </c>
      <c r="J6" s="15" t="inlineStr">
        <is>
          <t>1. Mở 1 bài viết
2. Nhập nội dung bình luận
3. Gửi</t>
        </is>
      </c>
      <c r="K6" s="15" t="inlineStr">
        <is>
          <t>-</t>
        </is>
      </c>
      <c r="L6" s="15" t="inlineStr">
        <is>
          <t>Bình luận xuất hiện ngay dưới bài viết với đúng nội dung, tác giả, thời gian</t>
        </is>
      </c>
      <c r="M6" s="15" t="inlineStr"/>
      <c r="N6" s="18" t="inlineStr">
        <is>
          <t>Chưa test</t>
        </is>
      </c>
      <c r="O6" s="15" t="inlineStr"/>
      <c r="P6" s="15" t="inlineStr"/>
      <c r="Q6" s="18" t="inlineStr">
        <is>
          <t>Chưa test</t>
        </is>
      </c>
      <c r="R6" s="15" t="inlineStr"/>
    </row>
    <row r="7" ht="60" customHeight="1">
      <c r="A7" s="14" t="inlineStr">
        <is>
          <t>TC-FEED-006</t>
        </is>
      </c>
      <c r="B7" s="15" t="inlineStr">
        <is>
          <t>Bảng tin &amp; Tương tác cộng đồng</t>
        </is>
      </c>
      <c r="C7" s="15" t="inlineStr">
        <is>
          <t>Bình luận</t>
        </is>
      </c>
      <c r="D7" s="15" t="inlineStr">
        <is>
          <t>Trả lời (reply) một bình luận — lồng 1 cấp</t>
        </is>
      </c>
      <c r="E7" s="15" t="inlineStr">
        <is>
          <t>Chức năng</t>
        </is>
      </c>
      <c r="F7" s="20" t="inlineStr">
        <is>
          <t>Trung bình</t>
        </is>
      </c>
      <c r="G7" s="17" t="inlineStr">
        <is>
          <t>Đã hoàn thiện</t>
        </is>
      </c>
      <c r="H7" s="17" t="inlineStr">
        <is>
          <t>Có</t>
        </is>
      </c>
      <c r="I7" s="15" t="inlineStr">
        <is>
          <t>Bài viết đã có ít nhất 1 bình luận</t>
        </is>
      </c>
      <c r="J7" s="15" t="inlineStr">
        <is>
          <t>1. Mở bài viết có bình luận
2. Bấm 'Trả lời' trên 1 bình luận
3. Nhập nội dung
4. Gửi</t>
        </is>
      </c>
      <c r="K7" s="15" t="inlineStr">
        <is>
          <t>-</t>
        </is>
      </c>
      <c r="L7" s="15" t="inlineStr">
        <is>
          <t>Trả lời hiển thị lồng bên dưới bình luận gốc (chỉ 1 cấp, không lồng thêm cấp con)</t>
        </is>
      </c>
      <c r="M7" s="15" t="inlineStr"/>
      <c r="N7" s="18" t="inlineStr">
        <is>
          <t>Chưa test</t>
        </is>
      </c>
      <c r="O7" s="15" t="inlineStr"/>
      <c r="P7" s="15" t="inlineStr"/>
      <c r="Q7" s="18" t="inlineStr">
        <is>
          <t>Chưa test</t>
        </is>
      </c>
      <c r="R7" s="15" t="inlineStr"/>
    </row>
    <row r="8" ht="30" customHeight="1">
      <c r="A8" s="14" t="inlineStr">
        <is>
          <t>TC-FEED-007</t>
        </is>
      </c>
      <c r="B8" s="15" t="inlineStr">
        <is>
          <t>Bảng tin &amp; Tương tác cộng đồng</t>
        </is>
      </c>
      <c r="C8" s="15" t="inlineStr">
        <is>
          <t>Thích (Like)</t>
        </is>
      </c>
      <c r="D8" s="15" t="inlineStr">
        <is>
          <t>Thích một bài viết</t>
        </is>
      </c>
      <c r="E8" s="15" t="inlineStr">
        <is>
          <t>Chức năng</t>
        </is>
      </c>
      <c r="F8" s="20" t="inlineStr">
        <is>
          <t>Trung bình</t>
        </is>
      </c>
      <c r="G8" s="17" t="inlineStr">
        <is>
          <t>Đã hoàn thiện</t>
        </is>
      </c>
      <c r="H8" s="17" t="inlineStr">
        <is>
          <t>Có</t>
        </is>
      </c>
      <c r="I8" s="15" t="inlineStr">
        <is>
          <t>Có bài viết trên bảng tin</t>
        </is>
      </c>
      <c r="J8" s="15" t="inlineStr">
        <is>
          <t>1. Mở bảng tin
2. Bấm icon Thích trên 1 bài viết</t>
        </is>
      </c>
      <c r="K8" s="15" t="inlineStr">
        <is>
          <t>-</t>
        </is>
      </c>
      <c r="L8" s="15" t="inlineStr">
        <is>
          <t>Số lượt thích tăng ngay lập tức (tức thời), trạng thái thích được lưu cho đúng người dùng</t>
        </is>
      </c>
      <c r="M8" s="15" t="inlineStr"/>
      <c r="N8" s="18" t="inlineStr">
        <is>
          <t>Chưa test</t>
        </is>
      </c>
      <c r="O8" s="15" t="inlineStr"/>
      <c r="P8" s="15" t="inlineStr"/>
      <c r="Q8" s="18" t="inlineStr">
        <is>
          <t>Chưa test</t>
        </is>
      </c>
      <c r="R8" s="15" t="inlineStr"/>
    </row>
    <row r="9" ht="30" customHeight="1">
      <c r="A9" s="14" t="inlineStr">
        <is>
          <t>TC-FEED-008</t>
        </is>
      </c>
      <c r="B9" s="15" t="inlineStr">
        <is>
          <t>Bảng tin &amp; Tương tác cộng đồng</t>
        </is>
      </c>
      <c r="C9" s="15" t="inlineStr">
        <is>
          <t>Thích (Like)</t>
        </is>
      </c>
      <c r="D9" s="15" t="inlineStr">
        <is>
          <t>Bỏ thích một bài viết đã thích</t>
        </is>
      </c>
      <c r="E9" s="15" t="inlineStr">
        <is>
          <t>Chức năng</t>
        </is>
      </c>
      <c r="F9" s="17" t="inlineStr">
        <is>
          <t>Thấp</t>
        </is>
      </c>
      <c r="G9" s="17" t="inlineStr">
        <is>
          <t>Đã hoàn thiện</t>
        </is>
      </c>
      <c r="H9" s="17" t="inlineStr">
        <is>
          <t>Có</t>
        </is>
      </c>
      <c r="I9" s="15" t="inlineStr">
        <is>
          <t>Đã thích 1 bài viết trước đó</t>
        </is>
      </c>
      <c r="J9" s="15" t="inlineStr">
        <is>
          <t>1. Bấm lại icon Thích trên bài viết đã thích</t>
        </is>
      </c>
      <c r="K9" s="15" t="inlineStr">
        <is>
          <t>-</t>
        </is>
      </c>
      <c r="L9" s="15" t="inlineStr">
        <is>
          <t>Số lượt thích giảm, trạng thái thích của người dùng được gỡ</t>
        </is>
      </c>
      <c r="M9" s="15" t="inlineStr"/>
      <c r="N9" s="18" t="inlineStr">
        <is>
          <t>Chưa test</t>
        </is>
      </c>
      <c r="O9" s="15" t="inlineStr"/>
      <c r="P9" s="15" t="inlineStr"/>
      <c r="Q9" s="18" t="inlineStr">
        <is>
          <t>Chưa test</t>
        </is>
      </c>
      <c r="R9" s="15" t="inlineStr"/>
    </row>
    <row r="10" ht="30" customHeight="1">
      <c r="A10" s="14" t="inlineStr">
        <is>
          <t>TC-FEED-009</t>
        </is>
      </c>
      <c r="B10" s="15" t="inlineStr">
        <is>
          <t>Bảng tin &amp; Tương tác cộng đồng</t>
        </is>
      </c>
      <c r="C10" s="15" t="inlineStr">
        <is>
          <t>Ghim bài viết</t>
        </is>
      </c>
      <c r="D10" s="15" t="inlineStr">
        <is>
          <t>Owner/Admin ghim bài viết thông báo quan trọng</t>
        </is>
      </c>
      <c r="E10" s="15" t="inlineStr">
        <is>
          <t>Chức năng</t>
        </is>
      </c>
      <c r="F10" s="20" t="inlineStr">
        <is>
          <t>Trung bình</t>
        </is>
      </c>
      <c r="G10" s="17" t="inlineStr">
        <is>
          <t>Đã hoàn thiện</t>
        </is>
      </c>
      <c r="H10" s="17" t="inlineStr">
        <is>
          <t>Có</t>
        </is>
      </c>
      <c r="I10" s="15" t="inlineStr">
        <is>
          <t>Đăng nhập vai trò Owner/Admin, có bài viết trong cộng đồng</t>
        </is>
      </c>
      <c r="J10" s="15" t="inlineStr">
        <is>
          <t>1. Mở bài viết cần ghim
2. Bấm 'Ghim bài viết'</t>
        </is>
      </c>
      <c r="K10" s="15" t="inlineStr">
        <is>
          <t>-</t>
        </is>
      </c>
      <c r="L10" s="15" t="inlineStr">
        <is>
          <t>Bài viết được đưa lên đầu bảng tin, có nhãn 'Đã ghim'</t>
        </is>
      </c>
      <c r="M10" s="15" t="inlineStr"/>
      <c r="N10" s="18" t="inlineStr">
        <is>
          <t>Chưa test</t>
        </is>
      </c>
      <c r="O10" s="15" t="inlineStr"/>
      <c r="P10" s="15" t="inlineStr"/>
      <c r="Q10" s="18" t="inlineStr">
        <is>
          <t>Chưa test</t>
        </is>
      </c>
      <c r="R10" s="15" t="inlineStr"/>
    </row>
    <row r="11" ht="30" customHeight="1">
      <c r="A11" s="14" t="inlineStr">
        <is>
          <t>TC-FEED-010</t>
        </is>
      </c>
      <c r="B11" s="15" t="inlineStr">
        <is>
          <t>Bảng tin &amp; Tương tác cộng đồng</t>
        </is>
      </c>
      <c r="C11" s="15" t="inlineStr">
        <is>
          <t>Ghim bài viết</t>
        </is>
      </c>
      <c r="D11" s="15" t="inlineStr">
        <is>
          <t>Bỏ ghim bài viết</t>
        </is>
      </c>
      <c r="E11" s="15" t="inlineStr">
        <is>
          <t>Chức năng</t>
        </is>
      </c>
      <c r="F11" s="17" t="inlineStr">
        <is>
          <t>Thấp</t>
        </is>
      </c>
      <c r="G11" s="17" t="inlineStr">
        <is>
          <t>Đã hoàn thiện</t>
        </is>
      </c>
      <c r="H11" s="17" t="inlineStr">
        <is>
          <t>Có</t>
        </is>
      </c>
      <c r="I11" s="15" t="inlineStr">
        <is>
          <t>Có bài viết đang được ghim</t>
        </is>
      </c>
      <c r="J11" s="15" t="inlineStr">
        <is>
          <t>1. Mở bài viết đang ghim
2. Bấm 'Bỏ ghim'</t>
        </is>
      </c>
      <c r="K11" s="15" t="inlineStr">
        <is>
          <t>-</t>
        </is>
      </c>
      <c r="L11" s="15" t="inlineStr">
        <is>
          <t>Bài viết trở lại vị trí theo thứ tự thời gian bình thường</t>
        </is>
      </c>
      <c r="M11" s="15" t="inlineStr"/>
      <c r="N11" s="18" t="inlineStr">
        <is>
          <t>Chưa test</t>
        </is>
      </c>
      <c r="O11" s="15" t="inlineStr"/>
      <c r="P11" s="15" t="inlineStr"/>
      <c r="Q11" s="18" t="inlineStr">
        <is>
          <t>Chưa test</t>
        </is>
      </c>
      <c r="R11" s="15" t="inlineStr"/>
    </row>
    <row r="12" ht="30" customHeight="1">
      <c r="A12" s="14" t="inlineStr">
        <is>
          <t>TC-FEED-011</t>
        </is>
      </c>
      <c r="B12" s="15" t="inlineStr">
        <is>
          <t>Bảng tin &amp; Tương tác cộng đồng</t>
        </is>
      </c>
      <c r="C12" s="15" t="inlineStr">
        <is>
          <t>Bảng tin cuộn vô hạn</t>
        </is>
      </c>
      <c r="D12" s="15" t="inlineStr">
        <is>
          <t>Tự động tải thêm bài viết khi cuộn xuống cuối trang</t>
        </is>
      </c>
      <c r="E12" s="15" t="inlineStr">
        <is>
          <t>Hiệu năng</t>
        </is>
      </c>
      <c r="F12" s="20" t="inlineStr">
        <is>
          <t>Trung bình</t>
        </is>
      </c>
      <c r="G12" s="20" t="inlineStr">
        <is>
          <t>Kế hoạch</t>
        </is>
      </c>
      <c r="H12" s="16" t="inlineStr">
        <is>
          <t>Không</t>
        </is>
      </c>
      <c r="I12" s="15" t="inlineStr">
        <is>
          <t>Cộng đồng có nhiều bài viết (vượt quá 1 trang tải ban đầu)</t>
        </is>
      </c>
      <c r="J12" s="15" t="inlineStr">
        <is>
          <t>1. Vào bảng tin cộng đồng
2. Cuộn chuột xuống cuối danh sách bài viết hiện có</t>
        </is>
      </c>
      <c r="K12" s="15" t="inlineStr">
        <is>
          <t>-</t>
        </is>
      </c>
      <c r="L12" s="15" t="inlineStr">
        <is>
          <t>Hệ thống tự động tải thêm bài viết tiếp theo, không cần bấm nút, không load trùng bài đã có</t>
        </is>
      </c>
      <c r="M12" s="15" t="inlineStr"/>
      <c r="N12" s="18" t="inlineStr">
        <is>
          <t>Chưa test</t>
        </is>
      </c>
      <c r="O12" s="15" t="inlineStr"/>
      <c r="P12" s="15" t="inlineStr"/>
      <c r="Q12" s="18" t="inlineStr">
        <is>
          <t>Chưa test</t>
        </is>
      </c>
      <c r="R12" s="15" t="inlineStr"/>
    </row>
    <row r="13" ht="60" customHeight="1">
      <c r="A13" s="14" t="inlineStr">
        <is>
          <t>TC-FEED-012</t>
        </is>
      </c>
      <c r="B13" s="15" t="inlineStr">
        <is>
          <t>Bảng tin &amp; Tương tác cộng đồng</t>
        </is>
      </c>
      <c r="C13" s="15" t="inlineStr">
        <is>
          <t>Đăng bài</t>
        </is>
      </c>
      <c r="D13" s="15" t="inlineStr">
        <is>
          <t>Chỉnh sửa bài viết đã đăng</t>
        </is>
      </c>
      <c r="E13" s="15" t="inlineStr">
        <is>
          <t>Chức năng</t>
        </is>
      </c>
      <c r="F13" s="20" t="inlineStr">
        <is>
          <t>Trung bình</t>
        </is>
      </c>
      <c r="G13" s="17" t="inlineStr">
        <is>
          <t>Đã hoàn thiện</t>
        </is>
      </c>
      <c r="H13" s="17" t="inlineStr">
        <is>
          <t>Có</t>
        </is>
      </c>
      <c r="I13" s="15" t="inlineStr">
        <is>
          <t>Đã đăng 1 bài viết</t>
        </is>
      </c>
      <c r="J13" s="15" t="inlineStr">
        <is>
          <t>1. Mở bài viết của mình
2. Bấm 'Chỉnh sửa'
3. Thay đổi nội dung
4. Lưu</t>
        </is>
      </c>
      <c r="K13" s="15" t="inlineStr">
        <is>
          <t>-</t>
        </is>
      </c>
      <c r="L13" s="15" t="inlineStr">
        <is>
          <t>Nội dung được cập nhật, có thể hiển thị nhãn 'Đã chỉnh sửa'</t>
        </is>
      </c>
      <c r="M13" s="15" t="inlineStr"/>
      <c r="N13" s="18" t="inlineStr">
        <is>
          <t>Chưa test</t>
        </is>
      </c>
      <c r="O13" s="15" t="inlineStr"/>
      <c r="P13" s="15" t="inlineStr"/>
      <c r="Q13" s="18" t="inlineStr">
        <is>
          <t>Chưa test</t>
        </is>
      </c>
      <c r="R13" s="15" t="inlineStr"/>
    </row>
    <row r="14" ht="45" customHeight="1">
      <c r="A14" s="14" t="inlineStr">
        <is>
          <t>TC-FEED-013</t>
        </is>
      </c>
      <c r="B14" s="15" t="inlineStr">
        <is>
          <t>Bảng tin &amp; Tương tác cộng đồng</t>
        </is>
      </c>
      <c r="C14" s="15" t="inlineStr">
        <is>
          <t>Đăng bài</t>
        </is>
      </c>
      <c r="D14" s="15" t="inlineStr">
        <is>
          <t>Xóa bài viết của chính mình</t>
        </is>
      </c>
      <c r="E14" s="15" t="inlineStr">
        <is>
          <t>Chức năng</t>
        </is>
      </c>
      <c r="F14" s="20" t="inlineStr">
        <is>
          <t>Trung bình</t>
        </is>
      </c>
      <c r="G14" s="17" t="inlineStr">
        <is>
          <t>Đã hoàn thiện</t>
        </is>
      </c>
      <c r="H14" s="17" t="inlineStr">
        <is>
          <t>Có</t>
        </is>
      </c>
      <c r="I14" s="15" t="inlineStr">
        <is>
          <t>Đã đăng 1 bài viết</t>
        </is>
      </c>
      <c r="J14" s="15" t="inlineStr">
        <is>
          <t>1. Mở bài viết của mình
2. Bấm 'Xóa'
3. Xác nhận</t>
        </is>
      </c>
      <c r="K14" s="15" t="inlineStr">
        <is>
          <t>-</t>
        </is>
      </c>
      <c r="L14" s="15" t="inlineStr">
        <is>
          <t>Bài viết biến mất khỏi bảng tin, các bình luận liên quan cũng bị xóa/ẩn theo</t>
        </is>
      </c>
      <c r="M14" s="15" t="inlineStr"/>
      <c r="N14" s="18" t="inlineStr">
        <is>
          <t>Chưa test</t>
        </is>
      </c>
      <c r="O14" s="15" t="inlineStr"/>
      <c r="P14" s="15" t="inlineStr"/>
      <c r="Q14" s="18" t="inlineStr">
        <is>
          <t>Chưa test</t>
        </is>
      </c>
      <c r="R14" s="15" t="inlineStr"/>
    </row>
    <row r="15" ht="30" customHeight="1">
      <c r="A15" s="14" t="inlineStr">
        <is>
          <t>TC-FEED-014</t>
        </is>
      </c>
      <c r="B15" s="15" t="inlineStr">
        <is>
          <t>Bảng tin &amp; Tương tác cộng đồng</t>
        </is>
      </c>
      <c r="C15" s="15" t="inlineStr">
        <is>
          <t>Đăng bài</t>
        </is>
      </c>
      <c r="D15" s="15" t="inlineStr">
        <is>
          <t>Thành viên không thể chỉnh sửa/xóa bài viết của người khác</t>
        </is>
      </c>
      <c r="E15" s="15" t="inlineStr">
        <is>
          <t>Bảo mật</t>
        </is>
      </c>
      <c r="F15" s="16" t="inlineStr">
        <is>
          <t>Cao</t>
        </is>
      </c>
      <c r="G15" s="17" t="inlineStr">
        <is>
          <t>Đã hoàn thiện</t>
        </is>
      </c>
      <c r="H15" s="17" t="inlineStr">
        <is>
          <t>Có</t>
        </is>
      </c>
      <c r="I15" s="15" t="inlineStr">
        <is>
          <t>Có bài viết của thành viên B, đăng nhập bằng thành viên A</t>
        </is>
      </c>
      <c r="J15" s="15" t="inlineStr">
        <is>
          <t>1. Thành viên A mở bài viết của thành viên B
2. Kiểm tra có nút Sửa/Xóa hay không, thử gọi API sửa/xóa trực tiếp nếu có</t>
        </is>
      </c>
      <c r="K15" s="15" t="inlineStr">
        <is>
          <t>-</t>
        </is>
      </c>
      <c r="L15" s="15" t="inlineStr">
        <is>
          <t>Không thấy nút Sửa/Xóa trên giao diện; gọi API trực tiếp cũng bị từ chối (403)</t>
        </is>
      </c>
      <c r="M15" s="15" t="inlineStr"/>
      <c r="N15" s="18" t="inlineStr">
        <is>
          <t>Chưa test</t>
        </is>
      </c>
      <c r="O15" s="15" t="inlineStr"/>
      <c r="P15" s="15" t="inlineStr"/>
      <c r="Q15" s="18" t="inlineStr">
        <is>
          <t>Chưa test</t>
        </is>
      </c>
      <c r="R15" s="15" t="inlineStr"/>
    </row>
    <row r="16" ht="30" customHeight="1">
      <c r="A16" s="14" t="inlineStr">
        <is>
          <t>TC-FEED-015</t>
        </is>
      </c>
      <c r="B16" s="15" t="inlineStr">
        <is>
          <t>Bảng tin &amp; Tương tác cộng đồng</t>
        </is>
      </c>
      <c r="C16" s="15" t="inlineStr">
        <is>
          <t>Đăng bài</t>
        </is>
      </c>
      <c r="D16" s="15" t="inlineStr">
        <is>
          <t>Giới hạn độ dài nội dung bài viết</t>
        </is>
      </c>
      <c r="E16" s="15" t="inlineStr">
        <is>
          <t>Chức năng</t>
        </is>
      </c>
      <c r="F16" s="17" t="inlineStr">
        <is>
          <t>Thấp</t>
        </is>
      </c>
      <c r="G16" s="17" t="inlineStr">
        <is>
          <t>Đã hoàn thiện</t>
        </is>
      </c>
      <c r="H16" s="17" t="inlineStr">
        <is>
          <t>Có</t>
        </is>
      </c>
      <c r="I16" s="15" t="inlineStr">
        <is>
          <t>-</t>
        </is>
      </c>
      <c r="J16" s="15" t="inlineStr">
        <is>
          <t>1. Nhập nội dung bài viết vượt quá giới hạn ký tự cho phép
2. Bấm Đăng</t>
        </is>
      </c>
      <c r="K16" s="15" t="inlineStr">
        <is>
          <t>Nội dung &gt; giới hạn ký tự quy định</t>
        </is>
      </c>
      <c r="L16" s="15" t="inlineStr">
        <is>
          <t>Hệ thống báo lỗi vượt giới hạn hoặc tự cắt theo đúng thiết kế, không lỗi hệ thống</t>
        </is>
      </c>
      <c r="M16" s="15" t="inlineStr"/>
      <c r="N16" s="18" t="inlineStr">
        <is>
          <t>Chưa test</t>
        </is>
      </c>
      <c r="O16" s="15" t="inlineStr"/>
      <c r="P16" s="15" t="inlineStr"/>
      <c r="Q16" s="18" t="inlineStr">
        <is>
          <t>Chưa test</t>
        </is>
      </c>
      <c r="R16" s="15" t="inlineStr"/>
    </row>
    <row r="17" ht="45" customHeight="1">
      <c r="A17" s="14" t="inlineStr">
        <is>
          <t>TC-FEED-016</t>
        </is>
      </c>
      <c r="B17" s="15" t="inlineStr">
        <is>
          <t>Bảng tin &amp; Tương tác cộng đồng</t>
        </is>
      </c>
      <c r="C17" s="15" t="inlineStr">
        <is>
          <t>Bình luận</t>
        </is>
      </c>
      <c r="D17" s="15" t="inlineStr">
        <is>
          <t>Thành viên báo cáo bình luận vi phạm (không chỉ bài viết)</t>
        </is>
      </c>
      <c r="E17" s="15" t="inlineStr">
        <is>
          <t>Chức năng</t>
        </is>
      </c>
      <c r="F17" s="20" t="inlineStr">
        <is>
          <t>Trung bình</t>
        </is>
      </c>
      <c r="G17" s="17" t="inlineStr">
        <is>
          <t>Đã hoàn thiện</t>
        </is>
      </c>
      <c r="H17" s="17" t="inlineStr">
        <is>
          <t>Có</t>
        </is>
      </c>
      <c r="I17" s="15" t="inlineStr">
        <is>
          <t>Có bình luận trên 1 bài viết</t>
        </is>
      </c>
      <c r="J17" s="15" t="inlineStr">
        <is>
          <t>1. Mở bài viết có bình luận
2. Bấm 'Báo cáo' trên 1 bình luận cụ thể
3. Chọn lý do và gửi</t>
        </is>
      </c>
      <c r="K17" s="15" t="inlineStr">
        <is>
          <t>-</t>
        </is>
      </c>
      <c r="L17" s="15" t="inlineStr">
        <is>
          <t>Báo cáo được ghi nhận đúng đối tượng là bình luận, chuyển tới hàng đợi kiểm duyệt</t>
        </is>
      </c>
      <c r="M17" s="15" t="inlineStr"/>
      <c r="N17" s="18" t="inlineStr">
        <is>
          <t>Chưa test</t>
        </is>
      </c>
      <c r="O17" s="15" t="inlineStr"/>
      <c r="P17" s="15" t="inlineStr"/>
      <c r="Q17" s="18" t="inlineStr">
        <is>
          <t>Chưa test</t>
        </is>
      </c>
      <c r="R17" s="15" t="inlineStr"/>
    </row>
    <row r="18" ht="45" customHeight="1">
      <c r="A18" s="14" t="inlineStr">
        <is>
          <t>TC-FEED-017</t>
        </is>
      </c>
      <c r="B18" s="15" t="inlineStr">
        <is>
          <t>Bảng tin &amp; Tương tác cộng đồng</t>
        </is>
      </c>
      <c r="C18" s="15" t="inlineStr">
        <is>
          <t>Bình luận</t>
        </is>
      </c>
      <c r="D18" s="15" t="inlineStr">
        <is>
          <t>Xóa bình luận của chính mình</t>
        </is>
      </c>
      <c r="E18" s="15" t="inlineStr">
        <is>
          <t>Chức năng</t>
        </is>
      </c>
      <c r="F18" s="17" t="inlineStr">
        <is>
          <t>Thấp</t>
        </is>
      </c>
      <c r="G18" s="17" t="inlineStr">
        <is>
          <t>Đã hoàn thiện</t>
        </is>
      </c>
      <c r="H18" s="17" t="inlineStr">
        <is>
          <t>Có</t>
        </is>
      </c>
      <c r="I18" s="15" t="inlineStr">
        <is>
          <t>Đã bình luận 1 bài viết</t>
        </is>
      </c>
      <c r="J18" s="15" t="inlineStr">
        <is>
          <t>1. Mở bình luận của mình
2. Bấm 'Xóa'
3. Xác nhận</t>
        </is>
      </c>
      <c r="K18" s="15" t="inlineStr">
        <is>
          <t>-</t>
        </is>
      </c>
      <c r="L18" s="15" t="inlineStr">
        <is>
          <t>Bình luận bị xóa/ẩn khỏi bài viết</t>
        </is>
      </c>
      <c r="M18" s="15" t="inlineStr"/>
      <c r="N18" s="18" t="inlineStr">
        <is>
          <t>Chưa test</t>
        </is>
      </c>
      <c r="O18" s="15" t="inlineStr"/>
      <c r="P18" s="15" t="inlineStr"/>
      <c r="Q18" s="18" t="inlineStr">
        <is>
          <t>Chưa test</t>
        </is>
      </c>
      <c r="R18" s="15" t="inlineStr"/>
    </row>
    <row r="19" ht="30" customHeight="1">
      <c r="A19" s="14" t="inlineStr">
        <is>
          <t>TC-FEED-018</t>
        </is>
      </c>
      <c r="B19" s="15" t="inlineStr">
        <is>
          <t>Bảng tin &amp; Tương tác cộng đồng</t>
        </is>
      </c>
      <c r="C19" s="15" t="inlineStr">
        <is>
          <t>Ghim bài viết</t>
        </is>
      </c>
      <c r="D19" s="15" t="inlineStr">
        <is>
          <t>Thành viên thường không thấy nút Ghim bài viết</t>
        </is>
      </c>
      <c r="E19" s="15" t="inlineStr">
        <is>
          <t>Bảo mật</t>
        </is>
      </c>
      <c r="F19" s="20" t="inlineStr">
        <is>
          <t>Trung bình</t>
        </is>
      </c>
      <c r="G19" s="17" t="inlineStr">
        <is>
          <t>Đã hoàn thiện</t>
        </is>
      </c>
      <c r="H19" s="17" t="inlineStr">
        <is>
          <t>Có</t>
        </is>
      </c>
      <c r="I19" s="15" t="inlineStr">
        <is>
          <t>Đăng nhập vai trò Member thường</t>
        </is>
      </c>
      <c r="J19" s="15" t="inlineStr">
        <is>
          <t>1. Member thường mở 1 bài viết bất kỳ trong cộng đồng
2. Kiểm tra có nút 'Ghim bài viết' hay không</t>
        </is>
      </c>
      <c r="K19" s="15" t="inlineStr">
        <is>
          <t>-</t>
        </is>
      </c>
      <c r="L19" s="15" t="inlineStr">
        <is>
          <t>Không hiển thị nút Ghim; gọi API ghim trực tiếp cũng bị từ chối nếu thử bypass giao diện</t>
        </is>
      </c>
      <c r="M19" s="15" t="inlineStr"/>
      <c r="N19" s="18" t="inlineStr">
        <is>
          <t>Chưa test</t>
        </is>
      </c>
      <c r="O19" s="15" t="inlineStr"/>
      <c r="P19" s="15" t="inlineStr"/>
      <c r="Q19" s="18" t="inlineStr">
        <is>
          <t>Chưa test</t>
        </is>
      </c>
      <c r="R19" s="15" t="inlineStr"/>
    </row>
    <row r="20" ht="45" customHeight="1">
      <c r="A20" s="14" t="inlineStr">
        <is>
          <t>TC-FEED-019</t>
        </is>
      </c>
      <c r="B20" s="15" t="inlineStr">
        <is>
          <t>Bảng tin &amp; Tương tác cộng đồng</t>
        </is>
      </c>
      <c r="C20" s="15" t="inlineStr">
        <is>
          <t>Tạo bài viết</t>
        </is>
      </c>
      <c r="D20" s="15" t="inlineStr">
        <is>
          <t>Tạo bài chữ tối thiểu: category mặc định 'Thảo luận chung', tags rỗng, cộng 5 điểm</t>
        </is>
      </c>
      <c r="E20" s="15" t="inlineStr">
        <is>
          <t>Chức năng</t>
        </is>
      </c>
      <c r="F20" s="16" t="inlineStr">
        <is>
          <t>Cao</t>
        </is>
      </c>
      <c r="G20" s="17" t="inlineStr">
        <is>
          <t>Đã hoàn thiện</t>
        </is>
      </c>
      <c r="H20" s="17" t="inlineStr">
        <is>
          <t>Có</t>
        </is>
      </c>
      <c r="I2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20" s="15" t="inlineStr">
        <is>
          <t>1. Đăng nhập member2@sofinhub.test (POST /api/auth/login, lấy accessToken, gắn header Authorization: Bearer).
2. POST /api/courses/photo/posts với body chỉ có content
3. Đọc lại response và GET /api/me/points</t>
        </is>
      </c>
      <c r="K20" s="15" t="inlineStr">
        <is>
          <t>Body: {"content":"Bài kiểm thử tối thiểu"}</t>
        </is>
      </c>
      <c r="L20"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20" s="15" t="inlineStr"/>
      <c r="N20" s="18" t="inlineStr">
        <is>
          <t>Chưa test</t>
        </is>
      </c>
      <c r="O20" s="15" t="inlineStr"/>
      <c r="P20" s="15" t="inlineStr"/>
      <c r="Q20" s="18" t="inlineStr">
        <is>
          <t>Chưa test</t>
        </is>
      </c>
      <c r="R20" s="15" t="inlineStr"/>
    </row>
    <row r="21" ht="45" customHeight="1">
      <c r="A21" s="14" t="inlineStr">
        <is>
          <t>TC-FEED-020</t>
        </is>
      </c>
      <c r="B21" s="15" t="inlineStr">
        <is>
          <t>Bảng tin &amp; Tương tác cộng đồng</t>
        </is>
      </c>
      <c r="C21" s="15" t="inlineStr">
        <is>
          <t>Tạo bài viết</t>
        </is>
      </c>
      <c r="D21" s="15" t="inlineStr">
        <is>
          <t>Tạo bài đầy đủ: nội dung + category + 3 tags + imageUrl</t>
        </is>
      </c>
      <c r="E21" s="15" t="inlineStr">
        <is>
          <t>Chức năng</t>
        </is>
      </c>
      <c r="F21" s="16" t="inlineStr">
        <is>
          <t>Cao</t>
        </is>
      </c>
      <c r="G21" s="17" t="inlineStr">
        <is>
          <t>Đã hoàn thiện</t>
        </is>
      </c>
      <c r="H21" s="17" t="inlineStr">
        <is>
          <t>Có</t>
        </is>
      </c>
      <c r="I2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1" s="15" t="inlineStr">
        <is>
          <t>1. Đăng nhập member1@sofinhub.test (POST /api/auth/login, lấy accessToken, gắn header Authorization: Bearer).
2. POST /api/courses/photo/posts với đủ trường
3. GET /api/courses/photo/posts?limit=1 kiểm bài đứng đầu nhóm không ghim</t>
        </is>
      </c>
      <c r="K21" s="15" t="inlineStr">
        <is>
          <t>Body: {"content":"Bộ ảnh mới","category":"Case study","tags":["#Street","Film","#35mm"],"imageUrl":"https://images.unsplash.com/photo-1500530855697-b586d89ba3ee?w=1200"}</t>
        </is>
      </c>
      <c r="L21" s="15" t="inlineStr">
        <is>
          <t>201; category="Case study", tags giữ NGUYÊN chuỗi gửi lên (kể cả dấu #, không tự chuẩn hóa khi lưu), imageUrl đúng. Bài xuất hiện ở đầu danh sách (sau 2 bài ghim).</t>
        </is>
      </c>
      <c r="M21" s="15" t="inlineStr"/>
      <c r="N21" s="18" t="inlineStr">
        <is>
          <t>Chưa test</t>
        </is>
      </c>
      <c r="O21" s="15" t="inlineStr"/>
      <c r="P21" s="15" t="inlineStr"/>
      <c r="Q21" s="18" t="inlineStr">
        <is>
          <t>Chưa test</t>
        </is>
      </c>
      <c r="R21" s="15" t="inlineStr"/>
    </row>
    <row r="22" ht="60" customHeight="1">
      <c r="A22" s="14" t="inlineStr">
        <is>
          <t>TC-FEED-021</t>
        </is>
      </c>
      <c r="B22" s="15" t="inlineStr">
        <is>
          <t>Bảng tin &amp; Tương tác cộng đồng</t>
        </is>
      </c>
      <c r="C22" s="15" t="inlineStr">
        <is>
          <t>Tạo bài viết</t>
        </is>
      </c>
      <c r="D22" s="15" t="inlineStr">
        <is>
          <t>UI: đăng bài chữ ở /courses/photo/community, toast và ô soạn được xóa</t>
        </is>
      </c>
      <c r="E22" s="15" t="inlineStr">
        <is>
          <t>Giao diện</t>
        </is>
      </c>
      <c r="F22" s="16" t="inlineStr">
        <is>
          <t>Cao</t>
        </is>
      </c>
      <c r="G22" s="17" t="inlineStr">
        <is>
          <t>Đã hoàn thiện</t>
        </is>
      </c>
      <c r="H22" s="17" t="inlineStr">
        <is>
          <t>Có</t>
        </is>
      </c>
      <c r="I2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(giao diện /login).
2. Mở /courses/photo/community
3. Bấm ô "Bạn muốn chia sẻ điều gì?", gõ nội dung, chọn chuyên mục "Hỏi đáp"
4. Bấm "Đăng bài"</t>
        </is>
      </c>
      <c r="K22" s="15" t="inlineStr">
        <is>
          <t>Nội dung: Có ai biết cách chỉnh cân bằng trắng khi chụp đèn neon không?</t>
        </is>
      </c>
      <c r="L22" s="15" t="inlineStr">
        <is>
          <t>Toast "Đã đăng bài viết"; bài mới hiện đầu bảng tin (dưới các bài ghim) với nhãn chuyên mục Hỏi đáp; ô soạn trống; nút "Đăng bài" lại bị khóa.</t>
        </is>
      </c>
      <c r="M22" s="15" t="inlineStr"/>
      <c r="N22" s="18" t="inlineStr">
        <is>
          <t>Chưa test</t>
        </is>
      </c>
      <c r="O22" s="15" t="inlineStr"/>
      <c r="P22" s="15" t="inlineStr"/>
      <c r="Q22" s="18" t="inlineStr">
        <is>
          <t>Chưa test</t>
        </is>
      </c>
      <c r="R22" s="15" t="inlineStr"/>
    </row>
    <row r="23" ht="60" customHeight="1">
      <c r="A23" s="14" t="inlineStr">
        <is>
          <t>TC-FEED-022</t>
        </is>
      </c>
      <c r="B23" s="15" t="inlineStr">
        <is>
          <t>Bảng tin &amp; Tương tác cộng đồng</t>
        </is>
      </c>
      <c r="C23" s="15" t="inlineStr">
        <is>
          <t>Tạo bài viết</t>
        </is>
      </c>
      <c r="D23" s="15" t="inlineStr">
        <is>
          <t>UI: nút Đăng bài bị khóa khi nội dung trống hoặc chỉ khoảng trắng</t>
        </is>
      </c>
      <c r="E23" s="15" t="inlineStr">
        <is>
          <t>Giao diện</t>
        </is>
      </c>
      <c r="F23" s="20" t="inlineStr">
        <is>
          <t>Trung bình</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member1 trên giao diện, mở /courses/photo/community
2. Để ô soạn trống, quan sát nút "Đăng bài"
3. Gõ 5 dấu cách rồi quan sát
4. Gõ chữ "a" rồi quan sát</t>
        </is>
      </c>
      <c r="K23" s="15" t="inlineStr">
        <is>
          <t>Nội dung: "     " (5 dấu cách)</t>
        </is>
      </c>
      <c r="L23" s="15" t="inlineStr">
        <is>
          <t>Nút "Đăng bài" disabled ở bước 2 và 3, enabled ở bước 4; không có request POST nào được gửi trong 2 bước đầu.</t>
        </is>
      </c>
      <c r="M23" s="15" t="inlineStr"/>
      <c r="N23" s="18" t="inlineStr">
        <is>
          <t>Chưa test</t>
        </is>
      </c>
      <c r="O23" s="15" t="inlineStr"/>
      <c r="P23" s="15" t="inlineStr"/>
      <c r="Q23" s="18" t="inlineStr">
        <is>
          <t>Chưa test</t>
        </is>
      </c>
      <c r="R23" s="15" t="inlineStr"/>
    </row>
    <row r="24" ht="45" customHeight="1">
      <c r="A24" s="14" t="inlineStr">
        <is>
          <t>TC-FEED-023</t>
        </is>
      </c>
      <c r="B24" s="15" t="inlineStr">
        <is>
          <t>Bảng tin &amp; Tương tác cộng đồng</t>
        </is>
      </c>
      <c r="C24" s="15" t="inlineStr">
        <is>
          <t>Tạo bài viết</t>
        </is>
      </c>
      <c r="D24" s="15" t="inlineStr">
        <is>
          <t>Nội dung trống hoặc toàn khoảng trắng bị API từ chối</t>
        </is>
      </c>
      <c r="E24" s="15" t="inlineStr">
        <is>
          <t>Chức năng</t>
        </is>
      </c>
      <c r="F24" s="16" t="inlineStr">
        <is>
          <t>Cao</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member1@sofinhub.test (POST /api/auth/login, lấy accessToken, gắn header Authorization: Bearer).
2. POST /api/courses/photo/posts với content=""
3. Lặp lại với content="   \n\t "</t>
        </is>
      </c>
      <c r="K24" s="15" t="inlineStr">
        <is>
          <t>Body: {"content":""} rồi {"content":"   \n\t "}</t>
        </is>
      </c>
      <c r="L24"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24" s="15" t="inlineStr"/>
      <c r="N24" s="18" t="inlineStr">
        <is>
          <t>Chưa test</t>
        </is>
      </c>
      <c r="O24" s="15" t="inlineStr"/>
      <c r="P24" s="15" t="inlineStr"/>
      <c r="Q24" s="18" t="inlineStr">
        <is>
          <t>Chưa test</t>
        </is>
      </c>
      <c r="R24" s="15" t="inlineStr"/>
    </row>
    <row r="25" ht="60" customHeight="1">
      <c r="A25" s="14" t="inlineStr">
        <is>
          <t>TC-FEED-024</t>
        </is>
      </c>
      <c r="B25" s="15" t="inlineStr">
        <is>
          <t>Bảng tin &amp; Tương tác cộng đồng</t>
        </is>
      </c>
      <c r="C25" s="15" t="inlineStr">
        <is>
          <t>Tạo bài viết</t>
        </is>
      </c>
      <c r="D25" s="15" t="inlineStr">
        <is>
          <t>Biên độ dài nội dung: đúng 4000 ký tự thành công, 4001 ký tự bị 400</t>
        </is>
      </c>
      <c r="E25" s="15" t="inlineStr">
        <is>
          <t>Chức năng</t>
        </is>
      </c>
      <c r="F25" s="16" t="inlineStr">
        <is>
          <t>Cao</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member1@sofinhub.test (POST /api/auth/login, lấy accessToken, gắn header Authorization: Bearer).
2. POST bài content = 'a' * 4000
3. POST bài content = 'a' * 4001
4. Trên UI: dán 4001 ký tự vào ô soạn</t>
        </is>
      </c>
      <c r="K25" s="15" t="inlineStr">
        <is>
          <t>content 4000 và 4001 ký tự 'a' (đếm theo đơn vị UTF-16, emoji tính 2 — giá trị tạm)</t>
        </is>
      </c>
      <c r="L25" s="15" t="inlineStr">
        <is>
          <t>4000: 201. 4001: 400 VALIDATION_ERROR, message "Tham số không hợp lệ" (chi tiết lỗi từng trường nằm trong error.details). UI hiển thị chữ đỏ "Nội dung quá dài" và khóa nút "Đăng bài".</t>
        </is>
      </c>
      <c r="M25" s="15" t="inlineStr"/>
      <c r="N25" s="18" t="inlineStr">
        <is>
          <t>Chưa test</t>
        </is>
      </c>
      <c r="O25" s="15" t="inlineStr"/>
      <c r="P25" s="15" t="inlineStr"/>
      <c r="Q25" s="18" t="inlineStr">
        <is>
          <t>Chưa test</t>
        </is>
      </c>
      <c r="R25" s="15" t="inlineStr"/>
    </row>
    <row r="26" ht="45" customHeight="1">
      <c r="A26" s="14" t="inlineStr">
        <is>
          <t>TC-FEED-025</t>
        </is>
      </c>
      <c r="B26" s="15" t="inlineStr">
        <is>
          <t>Bảng tin &amp; Tương tác cộng đồng</t>
        </is>
      </c>
      <c r="C26" s="15" t="inlineStr">
        <is>
          <t>Tạo bài viết</t>
        </is>
      </c>
      <c r="D26" s="15" t="inlineStr">
        <is>
          <t>Nội dung được trim khoảng trắng đầu/cuối trước khi lưu</t>
        </is>
      </c>
      <c r="E26" s="15" t="inlineStr">
        <is>
          <t>Chức năng</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member1@sofinhub.test (POST /api/auth/login, lấy accessToken, gắn header Authorization: Bearer).
2. POST /api/courses/photo/posts với content có khoảng trắng hai đầu
3. Kiểm tra content trong response</t>
        </is>
      </c>
      <c r="K26" s="15" t="inlineStr">
        <is>
          <t>Body: {"content":"   Xin chào photo   "}</t>
        </is>
      </c>
      <c r="L26" s="15" t="inlineStr">
        <is>
          <t>201; data.content = "Xin chào photo" (không còn khoảng trắng hai đầu).</t>
        </is>
      </c>
      <c r="M26" s="15" t="inlineStr"/>
      <c r="N26" s="18" t="inlineStr">
        <is>
          <t>Chưa test</t>
        </is>
      </c>
      <c r="O26" s="15" t="inlineStr"/>
      <c r="P26" s="15" t="inlineStr"/>
      <c r="Q26" s="18" t="inlineStr">
        <is>
          <t>Chưa test</t>
        </is>
      </c>
      <c r="R26" s="15" t="inlineStr"/>
    </row>
    <row r="27" ht="45" customHeight="1">
      <c r="A27" s="14" t="inlineStr">
        <is>
          <t>TC-FEED-026</t>
        </is>
      </c>
      <c r="B27" s="15" t="inlineStr">
        <is>
          <t>Bảng tin &amp; Tương tác cộng đồng</t>
        </is>
      </c>
      <c r="C27" s="15" t="inlineStr">
        <is>
          <t>Tạo bài viết</t>
        </is>
      </c>
      <c r="D27" s="15" t="inlineStr">
        <is>
          <t>Nội dung tiếng Việt có dấu, emoji và xuống dòng được lưu và hiển thị nguyên vẹn</t>
        </is>
      </c>
      <c r="E27" s="15" t="inlineStr">
        <is>
          <t>Chức năng</t>
        </is>
      </c>
      <c r="F27" s="20" t="inlineStr">
        <is>
          <t>Trung bình</t>
        </is>
      </c>
      <c r="G27" s="17" t="inlineStr">
        <is>
          <t>Đã hoàn thiện</t>
        </is>
      </c>
      <c r="H27" s="17" t="inlineStr">
        <is>
          <t>Có</t>
        </is>
      </c>
      <c r="I27" s="15" t="inlineStr">
        <is>
          <t>Tài khoản seed @sofinhub.test / Passw0rd!x: owner, cadmin (admin photo), mod, member1, member2, member3 (member photo), newbie (chưa ở cộng đồng nào), banned (bị cấm khỏi photo), admin (Platform Admin, KHÔNG ghi danh photo).</t>
        </is>
      </c>
      <c r="J27" s="15" t="inlineStr">
        <is>
          <t>1. Đăng nhập member3@sofinhub.test (POST /api/auth/login, lấy accessToken, gắn header Authorization: Bearer).
2. POST bài với nội dung nhiều dòng có dấu + emoji
3. Tải lại trang /courses/photo/community và xem bài</t>
        </is>
      </c>
      <c r="K27" s="15" t="inlineStr">
        <is>
          <t>Body: {"content":"Hoàng hôn Đà Nẵng 🌅\nDòng hai: “Bố cục” đẹp – ơ ư ă â"}</t>
        </is>
      </c>
      <c r="L27" s="15" t="inlineStr">
        <is>
          <t>201; content giữ nguyên ký tự và ký tự xuống dòng; UI hiển thị đúng dấu, emoji, ngắt dòng, không lỗi font.</t>
        </is>
      </c>
      <c r="M27" s="15" t="inlineStr"/>
      <c r="N27" s="18" t="inlineStr">
        <is>
          <t>Chưa test</t>
        </is>
      </c>
      <c r="O27" s="15" t="inlineStr"/>
      <c r="P27" s="15" t="inlineStr"/>
      <c r="Q27" s="18" t="inlineStr">
        <is>
          <t>Chưa test</t>
        </is>
      </c>
      <c r="R27" s="15" t="inlineStr"/>
    </row>
    <row r="28" ht="45" customHeight="1">
      <c r="A28" s="14" t="inlineStr">
        <is>
          <t>TC-FEED-027</t>
        </is>
      </c>
      <c r="B28" s="15" t="inlineStr">
        <is>
          <t>Bảng tin &amp; Tương tác cộng đồng</t>
        </is>
      </c>
      <c r="C28" s="15" t="inlineStr">
        <is>
          <t>Tạo bài viết</t>
        </is>
      </c>
      <c r="D28" s="15" t="inlineStr">
        <is>
          <t>Category không hợp lệ bị từ chối; đủ 4 giá trị hợp lệ đều nhận</t>
        </is>
      </c>
      <c r="E28" s="15" t="inlineStr">
        <is>
          <t>Chức năng</t>
        </is>
      </c>
      <c r="F28" s="20" t="inlineStr">
        <is>
          <t>Trung bình</t>
        </is>
      </c>
      <c r="G28" s="17" t="inlineStr">
        <is>
          <t>Đã hoàn thiện</t>
        </is>
      </c>
      <c r="H28" s="17" t="inlineStr">
        <is>
          <t>Có</t>
        </is>
      </c>
      <c r="I28" s="15" t="inlineStr">
        <is>
          <t>Tài khoản seed @sofinhub.test / Passw0rd!x: owner, cadmin (admin photo), mod, member1, member2, member3 (member photo), newbie (chưa ở cộng đồng nào), banned (bị cấm khỏi photo), admin (Platform Admin, KHÔNG ghi danh photo).</t>
        </is>
      </c>
      <c r="J28" s="15" t="inlineStr">
        <is>
          <t>1. Đăng nhập member1@sofinhub.test (POST /api/auth/login, lấy accessToken, gắn header Authorization: Bearer).
2. POST bài với category="Quảng cáo"
3. POST lần lượt 4 bài với category: Thảo luận chung, Hỏi đáp, Case study, Thông báo</t>
        </is>
      </c>
      <c r="K28" s="15" t="inlineStr">
        <is>
          <t>category: "Quảng cáo" | 4 giá trị hợp lệ</t>
        </is>
      </c>
      <c r="L28"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28" s="15" t="inlineStr"/>
      <c r="N28" s="18" t="inlineStr">
        <is>
          <t>Chưa test</t>
        </is>
      </c>
      <c r="O28" s="15" t="inlineStr"/>
      <c r="P28" s="15" t="inlineStr"/>
      <c r="Q28" s="18" t="inlineStr">
        <is>
          <t>Chưa test</t>
        </is>
      </c>
      <c r="R28" s="15" t="inlineStr"/>
    </row>
    <row r="29" ht="75" customHeight="1">
      <c r="A29" s="14" t="inlineStr">
        <is>
          <t>TC-FEED-028</t>
        </is>
      </c>
      <c r="B29" s="15" t="inlineStr">
        <is>
          <t>Bảng tin &amp; Tương tác cộng đồng</t>
        </is>
      </c>
      <c r="C29" s="15" t="inlineStr">
        <is>
          <t>Tạo bài viết</t>
        </is>
      </c>
      <c r="D29" s="15" t="inlineStr">
        <is>
          <t>Giới hạn thẻ: đúng 5 thẻ OK, thẻ thứ 6 bị 400, thẻ dài 31 ký tự bị 400, thẻ rỗng bị 400</t>
        </is>
      </c>
      <c r="E29" s="15" t="inlineStr">
        <is>
          <t>Chức năng</t>
        </is>
      </c>
      <c r="F29" s="16" t="inlineStr">
        <is>
          <t>Cao</t>
        </is>
      </c>
      <c r="G29" s="17" t="inlineStr">
        <is>
          <t>Đã hoàn thiện</t>
        </is>
      </c>
      <c r="H29" s="17" t="inlineStr">
        <is>
          <t>Có</t>
        </is>
      </c>
      <c r="I29" s="15" t="inlineStr">
        <is>
          <t>Tài khoản seed @sofinhub.test / Passw0rd!x: owner, cadmin (admin photo), mod, member1, member2, member3 (member photo), newbie (chưa ở cộng đồng nào), banned (bị cấm khỏi photo), admin (Platform Admin, KHÔNG ghi danh photo).</t>
        </is>
      </c>
      <c r="J29" s="15" t="inlineStr">
        <is>
          <t>1. Đăng nhập member1@sofinhub.test (POST /api/auth/login, lấy accessToken, gắn header Authorization: Bearer).
2. POST với tags 5 phần tử
3. POST với tags 6 phần tử
4. POST với tags có 1 thẻ 31 ký tự
5. POST với tags=[""] và tags=["   "]</t>
        </is>
      </c>
      <c r="K29" s="15" t="inlineStr">
        <is>
          <t>tags: ["a","b","c","d","e"] | 6 thẻ | ["x"*31] | [""]</t>
        </is>
      </c>
      <c r="L29" s="15" t="inlineStr">
        <is>
          <t>Bước 1: 201. Bước 2, 3, 4: 400 VALIDATION_ERROR, message "Tham số không hợp lệ" (chi tiết lỗi từng trường nằm trong error.details) (details.fieldErrors.tags). Thẻ đúng 30 ký tự vẫn hợp lệ.</t>
        </is>
      </c>
      <c r="M29" s="15" t="inlineStr"/>
      <c r="N29" s="18" t="inlineStr">
        <is>
          <t>Chưa test</t>
        </is>
      </c>
      <c r="O29" s="15" t="inlineStr"/>
      <c r="P29" s="15" t="inlineStr"/>
      <c r="Q29" s="18" t="inlineStr">
        <is>
          <t>Chưa test</t>
        </is>
      </c>
      <c r="R29" s="15" t="inlineStr"/>
    </row>
    <row r="30" ht="45" customHeight="1">
      <c r="A30" s="14" t="inlineStr">
        <is>
          <t>TC-FEED-029</t>
        </is>
      </c>
      <c r="B30" s="15" t="inlineStr">
        <is>
          <t>Bảng tin &amp; Tương tác cộng đồng</t>
        </is>
      </c>
      <c r="C30" s="15" t="inlineStr">
        <is>
          <t>Tạo bài viết</t>
        </is>
      </c>
      <c r="D30" s="15" t="inlineStr">
        <is>
          <t>UI: composer giới hạn 5 thẻ và báo "Tối đa 5 thẻ cho mỗi bài viết"</t>
        </is>
      </c>
      <c r="E30" s="15" t="inlineStr">
        <is>
          <t>Giao diện</t>
        </is>
      </c>
      <c r="F30" s="20" t="inlineStr">
        <is>
          <t>Trung bình</t>
        </is>
      </c>
      <c r="G30" s="17" t="inlineStr">
        <is>
          <t>Đã hoàn thiện</t>
        </is>
      </c>
      <c r="H30" s="17" t="inlineStr">
        <is>
          <t>Có</t>
        </is>
      </c>
      <c r="I30" s="15" t="inlineStr">
        <is>
          <t>Tài khoản seed @sofinhub.test / Passw0rd!x: owner, cadmin (admin photo), mod, member1, member2, member3 (member photo), newbie (chưa ở cộng đồng nào), banned (bị cấm khỏi photo), admin (Platform Admin, KHÔNG ghi danh photo).</t>
        </is>
      </c>
      <c r="J30" s="15" t="inlineStr">
        <is>
          <t>1. Đăng nhập member1, mở /courses/photo/community
2. Bấm "Gắn thẻ", nhập thẻ #1..#5 mỗi thẻ bấm Enter
3. Cố nhập thẻ thứ 6</t>
        </is>
      </c>
      <c r="K30" s="15" t="inlineStr">
        <is>
          <t>Thẻ: t1, t2, t3, t4, t5, t6</t>
        </is>
      </c>
      <c r="L30" s="15" t="inlineStr">
        <is>
          <t>Sau thẻ thứ 5: ô nhập đổi placeholder "Đã đủ thẻ" và bị vô hiệu; nếu thêm được sẽ báo "Tối đa 5 thẻ cho mỗi bài viết". Đăng bài chỉ có 5 chip thẻ.</t>
        </is>
      </c>
      <c r="M30" s="15" t="inlineStr"/>
      <c r="N30" s="18" t="inlineStr">
        <is>
          <t>Chưa test</t>
        </is>
      </c>
      <c r="O30" s="15" t="inlineStr"/>
      <c r="P30" s="15" t="inlineStr"/>
      <c r="Q30" s="18" t="inlineStr">
        <is>
          <t>Chưa test</t>
        </is>
      </c>
      <c r="R30" s="15" t="inlineStr"/>
    </row>
    <row r="31" ht="45" customHeight="1">
      <c r="A31" s="14" t="inlineStr">
        <is>
          <t>TC-FEED-030</t>
        </is>
      </c>
      <c r="B31" s="15" t="inlineStr">
        <is>
          <t>Bảng tin &amp; Tương tác cộng đồng</t>
        </is>
      </c>
      <c r="C31" s="15" t="inlineStr">
        <is>
          <t>Tạo bài viết</t>
        </is>
      </c>
      <c r="D31" s="15" t="inlineStr">
        <is>
          <t>imageUrl sai định dạng bị từ chối</t>
        </is>
      </c>
      <c r="E31" s="15" t="inlineStr">
        <is>
          <t>Chức năng</t>
        </is>
      </c>
      <c r="F31" s="20" t="inlineStr">
        <is>
          <t>Trung bình</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POST bài với imageUrl="khong-phai-url"
3. POST bài với imageUrl="/api/files/abc.png" (đường dẫn tương đối)</t>
        </is>
      </c>
      <c r="K31" s="15" t="inlineStr">
        <is>
          <t>imageUrl: "khong-phai-url" | "/api/files/abc.png"</t>
        </is>
      </c>
      <c r="L31" s="15" t="inlineStr">
        <is>
          <t>Cả hai lần: 400 VALIDATION_ERROR, message "Tham số không hợp lệ" (chi tiết lỗi từng trường nằm trong error.details) (BE yêu cầu URL tuyệt đối http/https; FE tự ghép origin cho tệp upload).</t>
        </is>
      </c>
      <c r="M31" s="15" t="inlineStr"/>
      <c r="N31" s="18" t="inlineStr">
        <is>
          <t>Chưa test</t>
        </is>
      </c>
      <c r="O31" s="15" t="inlineStr"/>
      <c r="P31" s="15" t="inlineStr"/>
      <c r="Q31" s="18" t="inlineStr">
        <is>
          <t>Chưa test</t>
        </is>
      </c>
      <c r="R31" s="15" t="inlineStr"/>
    </row>
    <row r="32" ht="60" customHeight="1">
      <c r="A32" s="14" t="inlineStr">
        <is>
          <t>TC-FEED-031</t>
        </is>
      </c>
      <c r="B32" s="15" t="inlineStr">
        <is>
          <t>Bảng tin &amp; Tương tác cộng đồng</t>
        </is>
      </c>
      <c r="C32" s="15" t="inlineStr">
        <is>
          <t>Tạo bài viết</t>
        </is>
      </c>
      <c r="D32" s="15" t="inlineStr">
        <is>
          <t>UI: đăng bài kèm ảnh upload (xem trước, bỏ ảnh, đăng)</t>
        </is>
      </c>
      <c r="E32" s="15" t="inlineStr">
        <is>
          <t>Giao diện</t>
        </is>
      </c>
      <c r="F32" s="20" t="inlineStr">
        <is>
          <t>Trung bình</t>
        </is>
      </c>
      <c r="G32" s="17" t="inlineStr">
        <is>
          <t>Đã hoàn thiện</t>
        </is>
      </c>
      <c r="H32" s="17" t="inlineStr">
        <is>
          <t>Có</t>
        </is>
      </c>
      <c r="I32" s="15" t="inlineStr">
        <is>
          <t>Tài khoản seed @sofinhub.test / Passw0rd!x: owner, cadmin (admin photo), mod, member1, member2, member3 (member photo), newbie (chưa ở cộng đồng nào), banned (bị cấm khỏi photo), admin (Platform Admin, KHÔNG ghi danh photo).</t>
        </is>
      </c>
      <c r="J32" s="15" t="inlineStr">
        <is>
          <t>1. Đăng nhập member1, mở /courses/photo/community
2. Bấm "Ảnh", chọn file JPG 1MB
3. Kiểm tra ảnh xem trước; bấm ✕ rồi chọn lại
4. Bấm "Đăng bài"</t>
        </is>
      </c>
      <c r="K32" s="15" t="inlineStr">
        <is>
          <t>File: anh-test.jpg (1MB)</t>
        </is>
      </c>
      <c r="L32" s="15" t="inlineStr">
        <is>
          <t>Có ảnh xem trước; sau khi đăng, bài hiển thị ảnh; PostView.imageUrl là URL tuyệt đối /api/files/... của tệp đã upload.</t>
        </is>
      </c>
      <c r="M32" s="15" t="inlineStr"/>
      <c r="N32" s="18" t="inlineStr">
        <is>
          <t>Chưa test</t>
        </is>
      </c>
      <c r="O32" s="15" t="inlineStr"/>
      <c r="P32" s="15" t="inlineStr"/>
      <c r="Q32" s="18" t="inlineStr">
        <is>
          <t>Chưa test</t>
        </is>
      </c>
      <c r="R32" s="15" t="inlineStr"/>
    </row>
    <row r="33" ht="45" customHeight="1">
      <c r="A33" s="14" t="inlineStr">
        <is>
          <t>TC-FEED-032</t>
        </is>
      </c>
      <c r="B33" s="15" t="inlineStr">
        <is>
          <t>Bảng tin &amp; Tương tác cộng đồng</t>
        </is>
      </c>
      <c r="C33" s="15" t="inlineStr">
        <is>
          <t>Tạo bài viết</t>
        </is>
      </c>
      <c r="D33" s="15" t="inlineStr">
        <is>
          <t>UI: chọn PDF hoặc ảnh &gt; 5MB ở mục "Ảnh" bị chặn bằng lỗi tiếng Việt</t>
        </is>
      </c>
      <c r="E33" s="15" t="inlineStr">
        <is>
          <t>Giao diện</t>
        </is>
      </c>
      <c r="F33" s="20" t="inlineStr">
        <is>
          <t>Trung bình</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member1, mở /courses/photo/community
2. Bấm "Ảnh", chọn file .pdf
3. Chọn file JPG 6MB</t>
        </is>
      </c>
      <c r="K33" s="15" t="inlineStr">
        <is>
          <t>File: tai-lieu.pdf; anh-6mb.jpg</t>
        </is>
      </c>
      <c r="L33" s="15" t="inlineStr">
        <is>
          <t>Hiện lỗi tiếng Việt từ useUpload, không có ảnh xem trước, nút Đăng bài chỉ dùng được với nội dung chữ; không có bài nào được tạo.</t>
        </is>
      </c>
      <c r="M33" s="15" t="inlineStr"/>
      <c r="N33" s="18" t="inlineStr">
        <is>
          <t>Chưa test</t>
        </is>
      </c>
      <c r="O33" s="15" t="inlineStr"/>
      <c r="P33" s="15" t="inlineStr"/>
      <c r="Q33" s="18" t="inlineStr">
        <is>
          <t>Chưa test</t>
        </is>
      </c>
      <c r="R33" s="15" t="inlineStr"/>
    </row>
    <row r="34" ht="30" customHeight="1">
      <c r="A34" s="14" t="inlineStr">
        <is>
          <t>TC-FEED-033</t>
        </is>
      </c>
      <c r="B34" s="15" t="inlineStr">
        <is>
          <t>Bảng tin &amp; Tương tác cộng đồng</t>
        </is>
      </c>
      <c r="C34" s="15" t="inlineStr">
        <is>
          <t>Tạo bài viết</t>
        </is>
      </c>
      <c r="D34" s="15" t="inlineStr">
        <is>
          <t>Cộng đồng không tồn tại trả 404 khi đăng bài</t>
        </is>
      </c>
      <c r="E34" s="15" t="inlineStr">
        <is>
          <t>Chức năng</t>
        </is>
      </c>
      <c r="F34" s="17" t="inlineStr">
        <is>
          <t>Thấp</t>
        </is>
      </c>
      <c r="G34" s="17" t="inlineStr">
        <is>
          <t>Đã hoàn thiện</t>
        </is>
      </c>
      <c r="H34" s="17" t="inlineStr">
        <is>
          <t>Có</t>
        </is>
      </c>
      <c r="I34" s="15" t="inlineStr">
        <is>
          <t>Tài khoản seed @sofinhub.test / Passw0rd!x: owner, cadmin (admin photo), mod, member1, member2, member3 (member photo), newbie (chưa ở cộng đồng nào), banned (bị cấm khỏi photo), admin (Platform Admin, KHÔNG ghi danh photo).</t>
        </is>
      </c>
      <c r="J34" s="15" t="inlineStr">
        <is>
          <t>1. Đăng nhập member1@sofinhub.test (POST /api/auth/login, lấy accessToken, gắn header Authorization: Bearer).
2. POST /api/courses/khong-ton-tai/posts với content hợp lệ</t>
        </is>
      </c>
      <c r="K34" s="15" t="inlineStr">
        <is>
          <t>Body: {"content":"x"}</t>
        </is>
      </c>
      <c r="L34" s="15" t="inlineStr">
        <is>
          <t>404 NOT_FOUND (không tìm thấy cộng đồng); không tạo bài.</t>
        </is>
      </c>
      <c r="M34" s="15" t="inlineStr"/>
      <c r="N34" s="18" t="inlineStr">
        <is>
          <t>Chưa test</t>
        </is>
      </c>
      <c r="O34" s="15" t="inlineStr"/>
      <c r="P34" s="15" t="inlineStr"/>
      <c r="Q34" s="18" t="inlineStr">
        <is>
          <t>Chưa test</t>
        </is>
      </c>
      <c r="R34" s="15" t="inlineStr"/>
    </row>
    <row r="35" ht="45" customHeight="1">
      <c r="A35" s="14" t="inlineStr">
        <is>
          <t>TC-FEED-034</t>
        </is>
      </c>
      <c r="B35" s="15" t="inlineStr">
        <is>
          <t>Bảng tin &amp; Tương tác cộng đồng</t>
        </is>
      </c>
      <c r="C35" s="15" t="inlineStr">
        <is>
          <t>Tạo bài viết</t>
        </is>
      </c>
      <c r="D35" s="15" t="inlineStr">
        <is>
          <t>Nội dung 2 bài giống hệt nhau vẫn được tạo (không chống trùng)</t>
        </is>
      </c>
      <c r="E35" s="15" t="inlineStr">
        <is>
          <t>Chức năng</t>
        </is>
      </c>
      <c r="F35" s="17" t="inlineStr">
        <is>
          <t>Thấp</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member2@sofinhub.test (POST /api/auth/login, lấy accessToken, gắn header Authorization: Bearer).
2. POST cùng một body 2 lần liên tiếp
3. GET danh sách</t>
        </is>
      </c>
      <c r="K35" s="15" t="inlineStr">
        <is>
          <t>Body: {"content":"Bài lặp lại"}</t>
        </is>
      </c>
      <c r="L35" s="15" t="inlineStr">
        <is>
          <t>2 lần 201 với 2 id khác nhau; danh sách có 2 bài; member2 nhận +5 điểm mỗi bài (không giới hạn tốc độ đăng bài — cần cân nhắc, chưa chốt).</t>
        </is>
      </c>
      <c r="M35" s="15" t="inlineStr"/>
      <c r="N35" s="18" t="inlineStr">
        <is>
          <t>Chưa test</t>
        </is>
      </c>
      <c r="O35" s="15" t="inlineStr"/>
      <c r="P35" s="15" t="inlineStr"/>
      <c r="Q35" s="18" t="inlineStr">
        <is>
          <t>Chưa test</t>
        </is>
      </c>
      <c r="R35" s="15" t="inlineStr"/>
    </row>
    <row r="36" ht="45" customHeight="1">
      <c r="A36" s="14" t="inlineStr">
        <is>
          <t>TC-FEED-035</t>
        </is>
      </c>
      <c r="B36" s="15" t="inlineStr">
        <is>
          <t>Bảng tin &amp; Tương tác cộng đồng</t>
        </is>
      </c>
      <c r="C36" s="15" t="inlineStr">
        <is>
          <t>Bình chọn (poll)</t>
        </is>
      </c>
      <c r="D36" s="15" t="inlineStr">
        <is>
          <t>Tạo poll hợp lệ: 3 lựa chọn, 1 đáp án, có hạn đóng</t>
        </is>
      </c>
      <c r="E36" s="15" t="inlineStr">
        <is>
          <t>Chức năng</t>
        </is>
      </c>
      <c r="F36" s="16" t="inlineStr">
        <is>
          <t>Cao</t>
        </is>
      </c>
      <c r="G36" s="17" t="inlineStr">
        <is>
          <t>Đã hoàn thiện</t>
        </is>
      </c>
      <c r="H36" s="17" t="inlineStr">
        <is>
          <t>Có</t>
        </is>
      </c>
      <c r="I36" s="15" t="inlineStr">
        <is>
          <t>Tài khoản seed @sofinhub.test / Passw0rd!x: owner, cadmin (admin photo), mod, member1, member2, member3 (member photo), newbie (chưa ở cộng đồng nào), banned (bị cấm khỏi photo), admin (Platform Admin, KHÔNG ghi danh photo).</t>
        </is>
      </c>
      <c r="J36" s="15" t="inlineStr">
        <is>
          <t>1. Đăng nhập member2@sofinhub.test (POST /api/auth/login, lấy accessToken, gắn header Authorization: Bearer).
2. POST bài kèm poll
3. Kiểm tra data.poll</t>
        </is>
      </c>
      <c r="K36" s="15" t="inlineStr">
        <is>
          <t>poll: {"question":"Ống kính nào?","options":["35mm","50mm","85mm"],"multiple":false,"closesAt":"&lt;ISO 2 ngày sau, có Z&gt;"}</t>
        </is>
      </c>
      <c r="L36" s="15" t="inlineStr">
        <is>
          <t>201; poll.options gồm 3 phần tử {id (UUID), text, count:0}, totalVoters=0, isClosed=false, viewerVotes=[], multiple=false, closesAt đúng.</t>
        </is>
      </c>
      <c r="M36" s="15" t="inlineStr"/>
      <c r="N36" s="18" t="inlineStr">
        <is>
          <t>Chưa test</t>
        </is>
      </c>
      <c r="O36" s="15" t="inlineStr"/>
      <c r="P36" s="15" t="inlineStr"/>
      <c r="Q36" s="18" t="inlineStr">
        <is>
          <t>Chưa test</t>
        </is>
      </c>
      <c r="R36" s="15" t="inlineStr"/>
    </row>
    <row r="37" ht="75" customHeight="1">
      <c r="A37" s="14" t="inlineStr">
        <is>
          <t>TC-FEED-036</t>
        </is>
      </c>
      <c r="B37" s="15" t="inlineStr">
        <is>
          <t>Bảng tin &amp; Tương tác cộng đồng</t>
        </is>
      </c>
      <c r="C37" s="15" t="inlineStr">
        <is>
          <t>Bình chọn (poll)</t>
        </is>
      </c>
      <c r="D37" s="15" t="inlineStr">
        <is>
          <t>Poll: số lựa chọn tối thiểu 2, tối đa 6</t>
        </is>
      </c>
      <c r="E37" s="15" t="inlineStr">
        <is>
          <t>Chức năng</t>
        </is>
      </c>
      <c r="F37" s="16" t="inlineStr">
        <is>
          <t>Cao</t>
        </is>
      </c>
      <c r="G37" s="17" t="inlineStr">
        <is>
          <t>Đã hoàn thiện</t>
        </is>
      </c>
      <c r="H37" s="17" t="inlineStr">
        <is>
          <t>Có</t>
        </is>
      </c>
      <c r="I37" s="15" t="inlineStr">
        <is>
          <t>Tài khoản seed @sofinhub.test / Passw0rd!x: owner, cadmin (admin photo), mod, member1, member2, member3 (member photo), newbie (chưa ở cộng đồng nào), banned (bị cấm khỏi photo), admin (Platform Admin, KHÔNG ghi danh photo).</t>
        </is>
      </c>
      <c r="J37" s="15" t="inlineStr">
        <is>
          <t>1. Đăng nhập member2@sofinhub.test (POST /api/auth/login, lấy accessToken, gắn header Authorization: Bearer).
2. POST poll 1 lựa chọn
3. POST poll 2 lựa chọn
4. POST poll 6 lựa chọn
5. POST poll 7 lựa chọn</t>
        </is>
      </c>
      <c r="K37" s="15" t="inlineStr">
        <is>
          <t>options: ["A"] | ["A","B"] | 6 phần tử | 7 phần tử</t>
        </is>
      </c>
      <c r="L37"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37" s="15" t="inlineStr"/>
      <c r="N37" s="18" t="inlineStr">
        <is>
          <t>Chưa test</t>
        </is>
      </c>
      <c r="O37" s="15" t="inlineStr"/>
      <c r="P37" s="15" t="inlineStr"/>
      <c r="Q37" s="18" t="inlineStr">
        <is>
          <t>Chưa test</t>
        </is>
      </c>
      <c r="R37" s="15" t="inlineStr"/>
    </row>
    <row r="38" ht="60" customHeight="1">
      <c r="A38" s="14" t="inlineStr">
        <is>
          <t>TC-FEED-037</t>
        </is>
      </c>
      <c r="B38" s="15" t="inlineStr">
        <is>
          <t>Bảng tin &amp; Tương tác cộng đồng</t>
        </is>
      </c>
      <c r="C38" s="15" t="inlineStr">
        <is>
          <t>Bình chọn (poll)</t>
        </is>
      </c>
      <c r="D38" s="15" t="inlineStr">
        <is>
          <t>Poll: lựa chọn trống/khoảng trắng hoặc quá 100 ký tự bị từ chối; câu hỏi quá 200 ký tự bị từ chối</t>
        </is>
      </c>
      <c r="E38" s="15" t="inlineStr">
        <is>
          <t>Chức năng</t>
        </is>
      </c>
      <c r="F38" s="20" t="inlineStr">
        <is>
          <t>Trung bình</t>
        </is>
      </c>
      <c r="G38" s="17" t="inlineStr">
        <is>
          <t>Đã hoàn thiện</t>
        </is>
      </c>
      <c r="H38" s="17" t="inlineStr">
        <is>
          <t>Có</t>
        </is>
      </c>
      <c r="I38" s="15" t="inlineStr">
        <is>
          <t>Tài khoản seed @sofinhub.test / Passw0rd!x: owner, cadmin (admin photo), mod, member1, member2, member3 (member photo), newbie (chưa ở cộng đồng nào), banned (bị cấm khỏi photo), admin (Platform Admin, KHÔNG ghi danh photo).</t>
        </is>
      </c>
      <c r="J38" s="15" t="inlineStr">
        <is>
          <t>1. Đăng nhập member2@sofinhub.test (POST /api/auth/login, lấy accessToken, gắn header Authorization: Bearer).
2. POST poll options ["A","  "]
3. POST poll option dài 101 ký tự
4. POST poll question dài 201 ký tự</t>
        </is>
      </c>
      <c r="K38" s="15" t="inlineStr">
        <is>
          <t>options: ["A","  "] | ["x"*101,"B"] | question "q"*201</t>
        </is>
      </c>
      <c r="L38"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38" s="15" t="inlineStr"/>
      <c r="N38" s="18" t="inlineStr">
        <is>
          <t>Chưa test</t>
        </is>
      </c>
      <c r="O38" s="15" t="inlineStr"/>
      <c r="P38" s="15" t="inlineStr"/>
      <c r="Q38" s="18" t="inlineStr">
        <is>
          <t>Chưa test</t>
        </is>
      </c>
      <c r="R38" s="15" t="inlineStr"/>
    </row>
    <row r="39" ht="30" customHeight="1">
      <c r="A39" s="14" t="inlineStr">
        <is>
          <t>TC-FEED-038</t>
        </is>
      </c>
      <c r="B39" s="15" t="inlineStr">
        <is>
          <t>Bảng tin &amp; Tương tác cộng đồng</t>
        </is>
      </c>
      <c r="C39" s="15" t="inlineStr">
        <is>
          <t>Bình chọn (poll)</t>
        </is>
      </c>
      <c r="D39" s="15" t="inlineStr">
        <is>
          <t>Poll: closesAt ở quá khứ bị 400 với thông điệp riêng</t>
        </is>
      </c>
      <c r="E39" s="15" t="inlineStr">
        <is>
          <t>Chức năng</t>
        </is>
      </c>
      <c r="F39" s="16" t="inlineStr">
        <is>
          <t>Cao</t>
        </is>
      </c>
      <c r="G39" s="17" t="inlineStr">
        <is>
          <t>Đã hoàn thiện</t>
        </is>
      </c>
      <c r="H39" s="17" t="inlineStr">
        <is>
          <t>Có</t>
        </is>
      </c>
      <c r="I39" s="15" t="inlineStr">
        <is>
          <t>Tài khoản seed @sofinhub.test / Passw0rd!x: owner, cadmin (admin photo), mod, member1, member2, member3 (member photo), newbie (chưa ở cộng đồng nào), banned (bị cấm khỏi photo), admin (Platform Admin, KHÔNG ghi danh photo).</t>
        </is>
      </c>
      <c r="J39" s="15" t="inlineStr">
        <is>
          <t>1. Đăng nhập member2@sofinhub.test (POST /api/auth/login, lấy accessToken, gắn header Authorization: Bearer).
2. POST bài kèm poll với closesAt = 1 giờ trước (ISO có Z)</t>
        </is>
      </c>
      <c r="K39" s="15" t="inlineStr">
        <is>
          <t>closesAt: "&lt;now - 1h&gt;Z"</t>
        </is>
      </c>
      <c r="L39" s="15" t="inlineStr">
        <is>
          <t>400 BAD_REQUEST, message "Thời gian đóng bình chọn phải ở tương lai"; không tạo bài.</t>
        </is>
      </c>
      <c r="M39" s="15" t="inlineStr"/>
      <c r="N39" s="18" t="inlineStr">
        <is>
          <t>Chưa test</t>
        </is>
      </c>
      <c r="O39" s="15" t="inlineStr"/>
      <c r="P39" s="15" t="inlineStr"/>
      <c r="Q39" s="18" t="inlineStr">
        <is>
          <t>Chưa test</t>
        </is>
      </c>
      <c r="R39" s="15" t="inlineStr"/>
    </row>
    <row r="40" ht="45" customHeight="1">
      <c r="A40" s="14" t="inlineStr">
        <is>
          <t>TC-FEED-039</t>
        </is>
      </c>
      <c r="B40" s="15" t="inlineStr">
        <is>
          <t>Bảng tin &amp; Tương tác cộng đồng</t>
        </is>
      </c>
      <c r="C40" s="15" t="inlineStr">
        <is>
          <t>Bình chọn (poll)</t>
        </is>
      </c>
      <c r="D40" s="15" t="inlineStr">
        <is>
          <t>Poll: closesAt sai định dạng (không phải ISO 8601 đầy đủ) bị 400</t>
        </is>
      </c>
      <c r="E40" s="15" t="inlineStr">
        <is>
          <t>Chức năng</t>
        </is>
      </c>
      <c r="F40" s="20" t="inlineStr">
        <is>
          <t>Trung bình</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poll với closesAt="2030-01-01"
3. POST poll với closesAt="ngày mai"</t>
        </is>
      </c>
      <c r="K40" s="15" t="inlineStr">
        <is>
          <t>closesAt: "2030-01-01" | "ngày mai"</t>
        </is>
      </c>
      <c r="L40" s="15" t="inlineStr">
        <is>
          <t>Cả hai: 400 VALIDATION_ERROR, message "Tham số không hợp lệ" (chi tiết lỗi từng trường nằm trong error.details); details cho closesAt: "Thời gian đóng bình chọn không hợp lệ (ISO 8601)".</t>
        </is>
      </c>
      <c r="M40" s="15" t="inlineStr"/>
      <c r="N40" s="18" t="inlineStr">
        <is>
          <t>Chưa test</t>
        </is>
      </c>
      <c r="O40" s="15" t="inlineStr"/>
      <c r="P40" s="15" t="inlineStr"/>
      <c r="Q40" s="18" t="inlineStr">
        <is>
          <t>Chưa test</t>
        </is>
      </c>
      <c r="R40" s="15" t="inlineStr"/>
    </row>
    <row r="41" ht="45" customHeight="1">
      <c r="A41" s="14" t="inlineStr">
        <is>
          <t>TC-FEED-040</t>
        </is>
      </c>
      <c r="B41" s="15" t="inlineStr">
        <is>
          <t>Bảng tin &amp; Tương tác cộng đồng</t>
        </is>
      </c>
      <c r="C41" s="15" t="inlineStr">
        <is>
          <t>Bình chọn (poll)</t>
        </is>
      </c>
      <c r="D41" s="15" t="inlineStr">
        <is>
          <t>UI: nút Đăng bị khóa khi poll chỉ có 1 lựa chọn, báo khi hạn đóng ở quá khứ</t>
        </is>
      </c>
      <c r="E41" s="15" t="inlineStr">
        <is>
          <t>Giao diện</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 mở /courses/photo/community
2. Bấm "Poll/Bình chọn", chỉ điền 1 lựa chọn
3. Điền lựa chọn 2, đặt "Đóng lúc" về quá khứ, bấm Đăng</t>
        </is>
      </c>
      <c r="K41" s="15" t="inlineStr">
        <is>
          <t>Lựa chọn: "Có" ; Đóng lúc: hôm qua</t>
        </is>
      </c>
      <c r="L41" s="15" t="inlineStr">
        <is>
          <t>Bước 2: nút "Đăng bài" khóa và có ghi chú cần ≥ 2 lựa chọn. Bước 3: hiện lỗi "Hạn đóng bình chọn phải ở tương lai", không gửi bài.</t>
        </is>
      </c>
      <c r="M41" s="15" t="inlineStr"/>
      <c r="N41" s="18" t="inlineStr">
        <is>
          <t>Chưa test</t>
        </is>
      </c>
      <c r="O41" s="15" t="inlineStr"/>
      <c r="P41" s="15" t="inlineStr"/>
      <c r="Q41" s="18" t="inlineStr">
        <is>
          <t>Chưa test</t>
        </is>
      </c>
      <c r="R41" s="15" t="inlineStr"/>
    </row>
    <row r="42" ht="45" customHeight="1">
      <c r="A42" s="14" t="inlineStr">
        <is>
          <t>TC-FEED-041</t>
        </is>
      </c>
      <c r="B42" s="15" t="inlineStr">
        <is>
          <t>Bảng tin &amp; Tương tác cộng đồng</t>
        </is>
      </c>
      <c r="C42" s="15" t="inlineStr">
        <is>
          <t>Bình chọn (poll)</t>
        </is>
      </c>
      <c r="D42" s="15" t="inlineStr">
        <is>
          <t>UI: thêm/xóa lựa chọn poll trong khoảng 2-6</t>
        </is>
      </c>
      <c r="E42" s="15" t="inlineStr">
        <is>
          <t>Giao diện</t>
        </is>
      </c>
      <c r="F42" s="17" t="inlineStr">
        <is>
          <t>Thấp</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 mở composer, bấm "Poll/Bình chọn"
2. Bấm "Thêm lựa chọn" cho tới khi không thêm được
3. Xóa bằng biểu tượng thùng rác cho tới khi còn 2</t>
        </is>
      </c>
      <c r="K42" s="15" t="inlineStr">
        <is>
          <t>-</t>
        </is>
      </c>
      <c r="L42" s="15" t="inlineStr">
        <is>
          <t>Tối đa 6 ô "Lựa chọn 1..6"; tới 6 nút "Thêm lựa chọn" biến mất/vô hiệu; không xóa được dưới 2 ô.</t>
        </is>
      </c>
      <c r="M42" s="15" t="inlineStr"/>
      <c r="N42" s="18" t="inlineStr">
        <is>
          <t>Chưa test</t>
        </is>
      </c>
      <c r="O42" s="15" t="inlineStr"/>
      <c r="P42" s="15" t="inlineStr"/>
      <c r="Q42" s="18" t="inlineStr">
        <is>
          <t>Chưa test</t>
        </is>
      </c>
      <c r="R42" s="15" t="inlineStr"/>
    </row>
    <row r="43" ht="30" customHeight="1">
      <c r="A43" s="14" t="inlineStr">
        <is>
          <t>TC-FEED-042</t>
        </is>
      </c>
      <c r="B43" s="15" t="inlineStr">
        <is>
          <t>Bảng tin &amp; Tương tác cộng đồng</t>
        </is>
      </c>
      <c r="C43" s="15" t="inlineStr">
        <is>
          <t>Bình chọn (poll)</t>
        </is>
      </c>
      <c r="D43" s="15" t="inlineStr">
        <is>
          <t>Seed: poll của member1 hiển thị đúng phiếu (o1=3, o2=1, o3=0, totalVoters=3) và viewerVotes của member2</t>
        </is>
      </c>
      <c r="E43" s="15" t="inlineStr">
        <is>
          <t>Chức năng</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member2@sofinhub.test (POST /api/auth/login, lấy accessToken, gắn header Authorization: Bearer).
2. GET /api/posts/seed-post-photo-m1-poll</t>
        </is>
      </c>
      <c r="K43" s="15" t="inlineStr">
        <is>
          <t>-</t>
        </is>
      </c>
      <c r="L43"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43" s="15" t="inlineStr"/>
      <c r="N43" s="18" t="inlineStr">
        <is>
          <t>Chưa test</t>
        </is>
      </c>
      <c r="O43" s="15" t="inlineStr"/>
      <c r="P43" s="15" t="inlineStr"/>
      <c r="Q43" s="18" t="inlineStr">
        <is>
          <t>Chưa test</t>
        </is>
      </c>
      <c r="R43" s="15" t="inlineStr"/>
    </row>
    <row r="44" ht="60" customHeight="1">
      <c r="A44" s="14" t="inlineStr">
        <is>
          <t>TC-FEED-043</t>
        </is>
      </c>
      <c r="B44" s="15" t="inlineStr">
        <is>
          <t>Bảng tin &amp; Tương tác cộng đồng</t>
        </is>
      </c>
      <c r="C44" s="15" t="inlineStr">
        <is>
          <t>Bình chọn (poll)</t>
        </is>
      </c>
      <c r="D44" s="15" t="inlineStr">
        <is>
          <t>Member chưa bình chọn: viewerVotes rỗng; bình chọn lần đầu tăng đúng 1 phiếu và totalVoters</t>
        </is>
      </c>
      <c r="E44" s="15" t="inlineStr">
        <is>
          <t>Chức năng</t>
        </is>
      </c>
      <c r="F44" s="16" t="inlineStr">
        <is>
          <t>Cao</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member3@sofinhub.test (POST /api/auth/login, lấy accessToken, gắn header Authorization: Bearer).
2. GET /api/posts/seed-post-photo-m1-poll (viewerVotes=[])
3. POST /api/posts/seed-post-photo-m1-poll/poll/vote
4. Đọc poll trong response</t>
        </is>
      </c>
      <c r="K44" s="15" t="inlineStr">
        <is>
          <t>Body: {"optionIds":["seed-photo-poll-o3"]}</t>
        </is>
      </c>
      <c r="L44" s="15" t="inlineStr">
        <is>
          <t>200; o3 count=1, tổng totalVoters=4, viewerVotes=["seed-photo-poll-o3"]; các option khác giữ nguyên.</t>
        </is>
      </c>
      <c r="M44" s="15" t="inlineStr"/>
      <c r="N44" s="18" t="inlineStr">
        <is>
          <t>Chưa test</t>
        </is>
      </c>
      <c r="O44" s="15" t="inlineStr"/>
      <c r="P44" s="15" t="inlineStr"/>
      <c r="Q44" s="18" t="inlineStr">
        <is>
          <t>Chưa test</t>
        </is>
      </c>
      <c r="R44" s="15" t="inlineStr"/>
    </row>
    <row r="45" ht="45" customHeight="1">
      <c r="A45" s="14" t="inlineStr">
        <is>
          <t>TC-FEED-044</t>
        </is>
      </c>
      <c r="B45" s="15" t="inlineStr">
        <is>
          <t>Bảng tin &amp; Tương tác cộng đồng</t>
        </is>
      </c>
      <c r="C45" s="15" t="inlineStr">
        <is>
          <t>Bình chọn (poll)</t>
        </is>
      </c>
      <c r="D45" s="15" t="inlineStr">
        <is>
          <t>Đổi lựa chọn: phiếu cũ bị ghi đè, không cộng dồn</t>
        </is>
      </c>
      <c r="E45" s="15" t="inlineStr">
        <is>
          <t>Chức năng</t>
        </is>
      </c>
      <c r="F45" s="16" t="inlineStr">
        <is>
          <t>Cao</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member2@sofinhub.test (POST /api/auth/login, lấy accessToken, gắn header Authorization: Bearer).
2. POST vote với optionIds ["seed-photo-poll-o2"] (member2 đang chọn o1)
3. GET lại bài</t>
        </is>
      </c>
      <c r="K45" s="15" t="inlineStr">
        <is>
          <t>Body: {"optionIds":["seed-photo-poll-o2"]}</t>
        </is>
      </c>
      <c r="L45" s="15" t="inlineStr">
        <is>
          <t>200; o1 giảm 3-&gt;2, o2 tăng 1-&gt;2, totalVoters vẫn 3, viewerVotes=["seed-photo-poll-o2"]. UI: nút hiển thị "Đổi lựa chọn".</t>
        </is>
      </c>
      <c r="M45" s="15" t="inlineStr"/>
      <c r="N45" s="18" t="inlineStr">
        <is>
          <t>Chưa test</t>
        </is>
      </c>
      <c r="O45" s="15" t="inlineStr"/>
      <c r="P45" s="15" t="inlineStr"/>
      <c r="Q45" s="18" t="inlineStr">
        <is>
          <t>Chưa test</t>
        </is>
      </c>
      <c r="R45" s="15" t="inlineStr"/>
    </row>
    <row r="46" ht="30" customHeight="1">
      <c r="A46" s="14" t="inlineStr">
        <is>
          <t>TC-FEED-045</t>
        </is>
      </c>
      <c r="B46" s="15" t="inlineStr">
        <is>
          <t>Bảng tin &amp; Tương tác cộng đồng</t>
        </is>
      </c>
      <c r="C46" s="15" t="inlineStr">
        <is>
          <t>Bình chọn (poll)</t>
        </is>
      </c>
      <c r="D46" s="15" t="inlineStr">
        <is>
          <t>Poll một đáp án: gửi 2 lựa chọn bị 400</t>
        </is>
      </c>
      <c r="E46" s="15" t="inlineStr">
        <is>
          <t>Chức năng</t>
        </is>
      </c>
      <c r="F46" s="16" t="inlineStr">
        <is>
          <t>Cao</t>
        </is>
      </c>
      <c r="G46" s="17" t="inlineStr">
        <is>
          <t>Đã hoàn thiện</t>
        </is>
      </c>
      <c r="H46" s="17" t="inlineStr">
        <is>
          <t>Có</t>
        </is>
      </c>
      <c r="I4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6" s="15" t="inlineStr">
        <is>
          <t>1. Đăng nhập member3@sofinhub.test (POST /api/auth/login, lấy accessToken, gắn header Authorization: Bearer).
2. POST vote với 2 optionIds vào poll multiple=false</t>
        </is>
      </c>
      <c r="K46" s="15" t="inlineStr">
        <is>
          <t>Body: {"optionIds":["seed-photo-poll-o1","seed-photo-poll-o2"]}</t>
        </is>
      </c>
      <c r="L46" s="15" t="inlineStr">
        <is>
          <t>400 BAD_REQUEST, message "Bình chọn này chỉ được chọn 1 đáp án"; phiếu không đổi.</t>
        </is>
      </c>
      <c r="M46" s="15" t="inlineStr"/>
      <c r="N46" s="18" t="inlineStr">
        <is>
          <t>Chưa test</t>
        </is>
      </c>
      <c r="O46" s="15" t="inlineStr"/>
      <c r="P46" s="15" t="inlineStr"/>
      <c r="Q46" s="18" t="inlineStr">
        <is>
          <t>Chưa test</t>
        </is>
      </c>
      <c r="R46" s="15" t="inlineStr"/>
    </row>
    <row r="47" ht="90" customHeight="1">
      <c r="A47" s="14" t="inlineStr">
        <is>
          <t>TC-FEED-046</t>
        </is>
      </c>
      <c r="B47" s="15" t="inlineStr">
        <is>
          <t>Bảng tin &amp; Tương tác cộng đồng</t>
        </is>
      </c>
      <c r="C47" s="15" t="inlineStr">
        <is>
          <t>Bình chọn (poll)</t>
        </is>
      </c>
      <c r="D47" s="15" t="inlineStr">
        <is>
          <t>Poll nhiều đáp án: chọn 2-3 lựa chọn thành công, đổi lại ghi đè toàn bộ</t>
        </is>
      </c>
      <c r="E47" s="15" t="inlineStr">
        <is>
          <t>Chức năng</t>
        </is>
      </c>
      <c r="F47" s="16" t="inlineStr">
        <is>
          <t>Cao</t>
        </is>
      </c>
      <c r="G47" s="17" t="inlineStr">
        <is>
          <t>Đã hoàn thiện</t>
        </is>
      </c>
      <c r="H47" s="17" t="inlineStr">
        <is>
          <t>Có</t>
        </is>
      </c>
      <c r="I47" s="15" t="inlineStr">
        <is>
          <t>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47" s="15" t="inlineStr">
        <is>
          <t>multiple:true; optionIds [A,C] rồi [B]</t>
        </is>
      </c>
      <c r="L47" s="15" t="inlineStr">
        <is>
          <t>Sau lần 1: A=1, C=1, totalVoters=1 (đếm người, không đếm phiếu). Sau lần 2: chỉ B=1, A=0, C=0, viewerVotes=[B].</t>
        </is>
      </c>
      <c r="M47" s="15" t="inlineStr"/>
      <c r="N47" s="18" t="inlineStr">
        <is>
          <t>Chưa test</t>
        </is>
      </c>
      <c r="O47" s="15" t="inlineStr"/>
      <c r="P47" s="15" t="inlineStr"/>
      <c r="Q47" s="18" t="inlineStr">
        <is>
          <t>Chưa test</t>
        </is>
      </c>
      <c r="R47" s="15" t="inlineStr"/>
    </row>
    <row r="48" ht="30" customHeight="1">
      <c r="A48" s="14" t="inlineStr">
        <is>
          <t>TC-FEED-047</t>
        </is>
      </c>
      <c r="B48" s="15" t="inlineStr">
        <is>
          <t>Bảng tin &amp; Tương tác cộng đồng</t>
        </is>
      </c>
      <c r="C48" s="15" t="inlineStr">
        <is>
          <t>Bình chọn (poll)</t>
        </is>
      </c>
      <c r="D48" s="15" t="inlineStr">
        <is>
          <t>Vote trùng optionId trong cùng request được khử trùng</t>
        </is>
      </c>
      <c r="E48" s="15" t="inlineStr">
        <is>
          <t>Chức năng</t>
        </is>
      </c>
      <c r="F48" s="17" t="inlineStr">
        <is>
          <t>Thấp</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member3@sofinhub.test (POST /api/auth/login, lấy accessToken, gắn header Authorization: Bearer).
2. POST vote với optionIds [o3,o3] vào poll một đáp án</t>
        </is>
      </c>
      <c r="K48" s="15" t="inlineStr">
        <is>
          <t>Body: {"optionIds":["seed-photo-poll-o3","seed-photo-poll-o3"]}</t>
        </is>
      </c>
      <c r="L48" s="15" t="inlineStr">
        <is>
          <t>200 (sau khử trùng còn 1 lựa chọn hợp lệ); o3 count tăng đúng 1.</t>
        </is>
      </c>
      <c r="M48" s="15" t="inlineStr"/>
      <c r="N48" s="18" t="inlineStr">
        <is>
          <t>Chưa test</t>
        </is>
      </c>
      <c r="O48" s="15" t="inlineStr"/>
      <c r="P48" s="15" t="inlineStr"/>
      <c r="Q48" s="18" t="inlineStr">
        <is>
          <t>Chưa test</t>
        </is>
      </c>
      <c r="R48" s="15" t="inlineStr"/>
    </row>
    <row r="49" ht="60" customHeight="1">
      <c r="A49" s="14" t="inlineStr">
        <is>
          <t>TC-FEED-048</t>
        </is>
      </c>
      <c r="B49" s="15" t="inlineStr">
        <is>
          <t>Bảng tin &amp; Tương tác cộng đồng</t>
        </is>
      </c>
      <c r="C49" s="15" t="inlineStr">
        <is>
          <t>Bình chọn (poll)</t>
        </is>
      </c>
      <c r="D49" s="15" t="inlineStr">
        <is>
          <t>optionId không thuộc poll bị 400; mảng rỗng và &gt;6 phần tử bị 400</t>
        </is>
      </c>
      <c r="E49" s="15" t="inlineStr">
        <is>
          <t>Chức năng</t>
        </is>
      </c>
      <c r="F49" s="20" t="inlineStr">
        <is>
          <t>Trung bình</t>
        </is>
      </c>
      <c r="G49" s="17" t="inlineStr">
        <is>
          <t>Đã hoàn thiện</t>
        </is>
      </c>
      <c r="H49" s="17" t="inlineStr">
        <is>
          <t>Có</t>
        </is>
      </c>
      <c r="I4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9" s="15" t="inlineStr">
        <is>
          <t>1. Đăng nhập member3@sofinhub.test (POST /api/auth/login, lấy accessToken, gắn header Authorization: Bearer).
2. POST vote optionIds ["khong-co"]
3. POST vote optionIds []
4. POST vote với 7 optionIds</t>
        </is>
      </c>
      <c r="K49" s="15" t="inlineStr">
        <is>
          <t>optionIds: ["khong-co"] | [] | 7 phần tử</t>
        </is>
      </c>
      <c r="L49"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49" s="15" t="inlineStr"/>
      <c r="N49" s="18" t="inlineStr">
        <is>
          <t>Chưa test</t>
        </is>
      </c>
      <c r="O49" s="15" t="inlineStr"/>
      <c r="P49" s="15" t="inlineStr"/>
      <c r="Q49" s="18" t="inlineStr">
        <is>
          <t>Chưa test</t>
        </is>
      </c>
      <c r="R49" s="15" t="inlineStr"/>
    </row>
    <row r="50" ht="30" customHeight="1">
      <c r="A50" s="14" t="inlineStr">
        <is>
          <t>TC-FEED-049</t>
        </is>
      </c>
      <c r="B50" s="15" t="inlineStr">
        <is>
          <t>Bảng tin &amp; Tương tác cộng đồng</t>
        </is>
      </c>
      <c r="C50" s="15" t="inlineStr">
        <is>
          <t>Bình chọn (poll)</t>
        </is>
      </c>
      <c r="D50" s="15" t="inlineStr">
        <is>
          <t>Vote vào bài không có poll trả 400</t>
        </is>
      </c>
      <c r="E50" s="15" t="inlineStr">
        <is>
          <t>Chức năng</t>
        </is>
      </c>
      <c r="F50" s="20" t="inlineStr">
        <is>
          <t>Trung bình</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member3@sofinhub.test (POST /api/auth/login, lấy accessToken, gắn header Authorization: Bearer).
2. POST /api/posts/seed-post-photo-owner-pinned/poll/vote</t>
        </is>
      </c>
      <c r="K50" s="15" t="inlineStr">
        <is>
          <t>Body: {"optionIds":["x"]}</t>
        </is>
      </c>
      <c r="L50" s="15" t="inlineStr">
        <is>
          <t>400 BAD_REQUEST, message "Bài viết này không có bình chọn".</t>
        </is>
      </c>
      <c r="M50" s="15" t="inlineStr"/>
      <c r="N50" s="18" t="inlineStr">
        <is>
          <t>Chưa test</t>
        </is>
      </c>
      <c r="O50" s="15" t="inlineStr"/>
      <c r="P50" s="15" t="inlineStr"/>
      <c r="Q50" s="18" t="inlineStr">
        <is>
          <t>Chưa test</t>
        </is>
      </c>
      <c r="R50" s="15" t="inlineStr"/>
    </row>
    <row r="51" ht="105" customHeight="1">
      <c r="A51" s="14" t="inlineStr">
        <is>
          <t>TC-FEED-050</t>
        </is>
      </c>
      <c r="B51" s="15" t="inlineStr">
        <is>
          <t>Bảng tin &amp; Tương tác cộng đồng</t>
        </is>
      </c>
      <c r="C51" s="15" t="inlineStr">
        <is>
          <t>Bình chọn (poll)</t>
        </is>
      </c>
      <c r="D51" s="15" t="inlineStr">
        <is>
          <t>Poll hết hạn: bình chọn/đổi lựa chọn trả 409 và poll hiển thị đã đóng</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51" s="15" t="inlineStr">
        <is>
          <t>closesAt = now + 3s</t>
        </is>
      </c>
      <c r="L51" s="15" t="inlineStr">
        <is>
          <t>Lần vote đầu: 200. Sau khi hết hạn: 409 CONFLICT "Bình chọn đã đóng"; GET bài có poll.isClosed=true, phiếu giữ nguyên. UI hiện nhãn "Đã đóng", các lựa chọn không bấm được, không có nút bình chọn.</t>
        </is>
      </c>
      <c r="M51" s="15" t="inlineStr"/>
      <c r="N51" s="18" t="inlineStr">
        <is>
          <t>Chưa test</t>
        </is>
      </c>
      <c r="O51" s="15" t="inlineStr"/>
      <c r="P51" s="15" t="inlineStr"/>
      <c r="Q51" s="18" t="inlineStr">
        <is>
          <t>Chưa test</t>
        </is>
      </c>
      <c r="R51" s="15" t="inlineStr"/>
    </row>
    <row r="52" ht="60" customHeight="1">
      <c r="A52" s="14" t="inlineStr">
        <is>
          <t>TC-FEED-051</t>
        </is>
      </c>
      <c r="B52" s="15" t="inlineStr">
        <is>
          <t>Bảng tin &amp; Tương tác cộng đồng</t>
        </is>
      </c>
      <c r="C52" s="15" t="inlineStr">
        <is>
          <t>Bình chọn (poll)</t>
        </is>
      </c>
      <c r="D52" s="15" t="inlineStr">
        <is>
          <t>UI: bình chọn poll seed, thanh phần trăm cập nhật và nút chuyển 'Bình chọn' -&gt; 'Đổi lựa chọn'</t>
        </is>
      </c>
      <c r="E52" s="15" t="inlineStr">
        <is>
          <t>Giao diện</t>
        </is>
      </c>
      <c r="F52" s="16" t="inlineStr">
        <is>
          <t>Cao</t>
        </is>
      </c>
      <c r="G52" s="17" t="inlineStr">
        <is>
          <t>Đã hoàn thiện</t>
        </is>
      </c>
      <c r="H52" s="17" t="inlineStr">
        <is>
          <t>Có</t>
        </is>
      </c>
      <c r="I5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/courses/photo/community
2. Tìm bài "Cuối tuần này cả nhóm đi chụp ở đâu?"
3. Chọn "Đồi chè Mộc Châu", bấm "Bình chọn"
4. Chọn "Bãi biển Mỹ Khê", bấm "Đổi lựa chọn"</t>
        </is>
      </c>
      <c r="K52" s="15" t="inlineStr">
        <is>
          <t>-</t>
        </is>
      </c>
      <c r="L52" s="15" t="inlineStr">
        <is>
          <t>Sau bước 3: thanh Mộc Châu 1/4 phiếu (25%), nút đổi thành "Đổi lựa chọn". Sau bước 4: Mộc Châu 0, Mỹ Khê 2/4 (50%); tổng vẫn 4 người bầu.</t>
        </is>
      </c>
      <c r="M52" s="15" t="inlineStr"/>
      <c r="N52" s="18" t="inlineStr">
        <is>
          <t>Chưa test</t>
        </is>
      </c>
      <c r="O52" s="15" t="inlineStr"/>
      <c r="P52" s="15" t="inlineStr"/>
      <c r="Q52" s="18" t="inlineStr">
        <is>
          <t>Chưa test</t>
        </is>
      </c>
      <c r="R52" s="15" t="inlineStr"/>
    </row>
    <row r="53" ht="45" customHeight="1">
      <c r="A53" s="14" t="inlineStr">
        <is>
          <t>TC-FEED-052</t>
        </is>
      </c>
      <c r="B53" s="15" t="inlineStr">
        <is>
          <t>Bảng tin &amp; Tương tác cộng đồng</t>
        </is>
      </c>
      <c r="C53" s="15" t="inlineStr">
        <is>
          <t>Bình chọn (poll)</t>
        </is>
      </c>
      <c r="D53" s="15" t="inlineStr">
        <is>
          <t>Danh sách bài không lộ ai đã chọn gì (riêng tư phiếu)</t>
        </is>
      </c>
      <c r="E53" s="15" t="inlineStr">
        <is>
          <t>Bảo mật</t>
        </is>
      </c>
      <c r="F53" s="20" t="inlineStr">
        <is>
          <t>Trung bình</t>
        </is>
      </c>
      <c r="G53" s="17" t="inlineStr">
        <is>
          <t>Đã hoàn thiện</t>
        </is>
      </c>
      <c r="H53" s="17" t="inlineStr">
        <is>
          <t>Có</t>
        </is>
      </c>
      <c r="I5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3" s="15" t="inlineStr">
        <is>
          <t>1. Đăng nhập member3@sofinhub.test (POST /api/auth/login, lấy accessToken, gắn header Authorization: Bearer).
2. GET /api/courses/photo/posts và GET /api/posts/seed-post-photo-m1-poll
3. Tìm khóa voters/userId trong poll</t>
        </is>
      </c>
      <c r="K53" s="15" t="inlineStr">
        <is>
          <t>-</t>
        </is>
      </c>
      <c r="L53" s="15" t="inlineStr">
        <is>
          <t>Trong poll chỉ có question, multiple, closesAt, isClosed, totalVoters, viewerVotes, options[{id,text,count}]; không có userId/tên người bầu; viewerVotes của member3 độc lập với người khác.</t>
        </is>
      </c>
      <c r="M53" s="15" t="inlineStr"/>
      <c r="N53" s="18" t="inlineStr">
        <is>
          <t>Chưa test</t>
        </is>
      </c>
      <c r="O53" s="15" t="inlineStr"/>
      <c r="P53" s="15" t="inlineStr"/>
      <c r="Q53" s="18" t="inlineStr">
        <is>
          <t>Chưa test</t>
        </is>
      </c>
      <c r="R53" s="15" t="inlineStr"/>
    </row>
    <row r="54" ht="45" customHeight="1">
      <c r="A54" s="14" t="inlineStr">
        <is>
          <t>TC-FEED-053</t>
        </is>
      </c>
      <c r="B54" s="15" t="inlineStr">
        <is>
          <t>Bảng tin &amp; Tương tác cộng đồng</t>
        </is>
      </c>
      <c r="C54" s="15" t="inlineStr">
        <is>
          <t>Bình chọn (poll)</t>
        </is>
      </c>
      <c r="D54" s="15" t="inlineStr">
        <is>
          <t>Poll không sửa được qua PATCH (chỉ content/category/tags)</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PATCH /api/posts/seed-post-photo-m1-poll với body chỉ có poll
3. PATCH cùng bài với content mới + trường poll</t>
        </is>
      </c>
      <c r="K54" s="15" t="inlineStr">
        <is>
          <t>Body 1: {"poll":{"options":["x","y"]}} ; Body 2: {"content":"Nội dung mới","poll":{...}}</t>
        </is>
      </c>
      <c r="L54"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54" s="15" t="inlineStr"/>
      <c r="N54" s="18" t="inlineStr">
        <is>
          <t>Chưa test</t>
        </is>
      </c>
      <c r="O54" s="15" t="inlineStr"/>
      <c r="P54" s="15" t="inlineStr"/>
      <c r="Q54" s="18" t="inlineStr">
        <is>
          <t>Chưa test</t>
        </is>
      </c>
      <c r="R54" s="15" t="inlineStr"/>
    </row>
    <row r="55" ht="45" customHeight="1">
      <c r="A55" s="14" t="inlineStr">
        <is>
          <t>TC-FEED-054</t>
        </is>
      </c>
      <c r="B55" s="15" t="inlineStr">
        <is>
          <t>Bảng tin &amp; Tương tác cộng đồng</t>
        </is>
      </c>
      <c r="C55" s="15" t="inlineStr">
        <is>
          <t>Bình chọn (poll)</t>
        </is>
      </c>
      <c r="D55" s="15" t="inlineStr">
        <is>
          <t>Vote đồng thời của cùng một user (2 request song song) vẫn nhất quán</t>
        </is>
      </c>
      <c r="E55" s="15" t="inlineStr">
        <is>
          <t>Tích hợp</t>
        </is>
      </c>
      <c r="F55" s="20" t="inlineStr">
        <is>
          <t>Trung bình</t>
        </is>
      </c>
      <c r="G55" s="17" t="inlineStr">
        <is>
          <t>Đã hoàn thiện</t>
        </is>
      </c>
      <c r="H55" s="20" t="inlineStr">
        <is>
          <t>Một phần</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member3@sofinhub.test (POST /api/auth/login, lấy accessToken, gắn header Authorization: Bearer).
2. Gửi song song 2 POST vote: [o1] và [o2] vào seed-post-photo-m1-poll
3. GET bài</t>
        </is>
      </c>
      <c r="K55" s="15" t="inlineStr">
        <is>
          <t>2 request cùng lúc</t>
        </is>
      </c>
      <c r="L55" s="15" t="inlineStr">
        <is>
          <t>Cả hai 200 hoặc một lỗi hệ thống được ghi nhận; sau cùng member3 có đúng 1 lựa chọn (viewerVotes độ dài 1), totalVoters tăng đúng 1 (không phiếu kép do deleteMany+createMany trong transaction).</t>
        </is>
      </c>
      <c r="M55" s="15" t="inlineStr"/>
      <c r="N55" s="18" t="inlineStr">
        <is>
          <t>Chưa test</t>
        </is>
      </c>
      <c r="O55" s="15" t="inlineStr"/>
      <c r="P55" s="15" t="inlineStr"/>
      <c r="Q55" s="18" t="inlineStr">
        <is>
          <t>Chưa test</t>
        </is>
      </c>
      <c r="R55" s="15" t="inlineStr"/>
    </row>
    <row r="56" ht="45" customHeight="1">
      <c r="A56" s="14" t="inlineStr">
        <is>
          <t>TC-FEED-055</t>
        </is>
      </c>
      <c r="B56" s="15" t="inlineStr">
        <is>
          <t>Bảng tin &amp; Tương tác cộng đồng</t>
        </is>
      </c>
      <c r="C56" s="15" t="inlineStr">
        <is>
          <t>Sửa bài viết</t>
        </is>
      </c>
      <c r="D56" s="15" t="inlineStr">
        <is>
          <t>Tác giả sửa nội dung, chuyên mục, thẻ: có editedAt và nhãn (đã chỉnh sửa)</t>
        </is>
      </c>
      <c r="E56" s="15" t="inlineStr">
        <is>
          <t>Chức năng</t>
        </is>
      </c>
      <c r="F56" s="16" t="inlineStr">
        <is>
          <t>Cao</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member2@sofinhub.test (POST /api/auth/login, lấy accessToken, gắn header Authorization: Bearer).
2. Tạo bài mới rồi PATCH /api/posts/&lt;id&gt;
3. Mở /courses/photo/community xem thẻ bài</t>
        </is>
      </c>
      <c r="K56" s="15" t="inlineStr">
        <is>
          <t>Body: {"content":"Nội dung đã sửa","category":"Hỏi đáp","tags":["#Sửa"]}</t>
        </is>
      </c>
      <c r="L56" s="15" t="inlineStr">
        <is>
          <t>200; content, category, tags mới; editedAt là ISO hiện tại; createdAt không đổi. UI: hiện "(đã chỉnh sửa)" cạnh ngày, toast "Đã lưu chỉnh sửa".</t>
        </is>
      </c>
      <c r="M56" s="15" t="inlineStr"/>
      <c r="N56" s="18" t="inlineStr">
        <is>
          <t>Chưa test</t>
        </is>
      </c>
      <c r="O56" s="15" t="inlineStr"/>
      <c r="P56" s="15" t="inlineStr"/>
      <c r="Q56" s="18" t="inlineStr">
        <is>
          <t>Chưa test</t>
        </is>
      </c>
      <c r="R56" s="15" t="inlineStr"/>
    </row>
    <row r="57" ht="60" customHeight="1">
      <c r="A57" s="14" t="inlineStr">
        <is>
          <t>TC-FEED-056</t>
        </is>
      </c>
      <c r="B57" s="15" t="inlineStr">
        <is>
          <t>Bảng tin &amp; Tương tác cộng đồng</t>
        </is>
      </c>
      <c r="C57" s="15" t="inlineStr">
        <is>
          <t>Sửa bài viết</t>
        </is>
      </c>
      <c r="D57" s="15" t="inlineStr">
        <is>
          <t>PATCH từng trường riêng lẻ: chỉ content / chỉ category / chỉ tags</t>
        </is>
      </c>
      <c r="E57" s="15" t="inlineStr">
        <is>
          <t>Chức năng</t>
        </is>
      </c>
      <c r="F57" s="20" t="inlineStr">
        <is>
          <t>Trung bình</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Tạo bài (content A, tags [x])
3. PATCH chỉ {"category":"Case study"}
4. PATCH chỉ {"tags":[]}</t>
        </is>
      </c>
      <c r="K57" s="15" t="inlineStr">
        <is>
          <t>3 lần PATCH đơn trường</t>
        </is>
      </c>
      <c r="L57" s="15" t="inlineStr">
        <is>
          <t>Mỗi lần chỉ trường được gửi thay đổi, các trường còn lại giữ nguyên; tags:[] xóa hết thẻ; editedAt cập nhật mỗi lần.</t>
        </is>
      </c>
      <c r="M57" s="15" t="inlineStr"/>
      <c r="N57" s="18" t="inlineStr">
        <is>
          <t>Chưa test</t>
        </is>
      </c>
      <c r="O57" s="15" t="inlineStr"/>
      <c r="P57" s="15" t="inlineStr"/>
      <c r="Q57" s="18" t="inlineStr">
        <is>
          <t>Chưa test</t>
        </is>
      </c>
      <c r="R57" s="15" t="inlineStr"/>
    </row>
    <row r="58" ht="60" customHeight="1">
      <c r="A58" s="14" t="inlineStr">
        <is>
          <t>TC-FEED-057</t>
        </is>
      </c>
      <c r="B58" s="15" t="inlineStr">
        <is>
          <t>Bảng tin &amp; Tương tác cộng đồng</t>
        </is>
      </c>
      <c r="C58" s="15" t="inlineStr">
        <is>
          <t>Sửa bài viết</t>
        </is>
      </c>
      <c r="D58" s="15" t="inlineStr">
        <is>
          <t>PATCH body rỗng hoặc chỉ có trường không hỗ trợ bị 400</t>
        </is>
      </c>
      <c r="E58" s="15" t="inlineStr">
        <is>
          <t>Chức năng</t>
        </is>
      </c>
      <c r="F58" s="20" t="inlineStr">
        <is>
          <t>Trung bình</t>
        </is>
      </c>
      <c r="G58" s="17" t="inlineStr">
        <is>
          <t>Đã hoàn thiện</t>
        </is>
      </c>
      <c r="H58" s="17" t="inlineStr">
        <is>
          <t>Có</t>
        </is>
      </c>
      <c r="I58" s="15" t="inlineStr">
        <is>
          <t>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PATCH /api/posts/&lt;bài của member2&gt; với {}
3. PATCH với {"imageUrl":"https://a.b/c.png"}
4. PATCH với {"content":"   "}</t>
        </is>
      </c>
      <c r="K58" s="15" t="inlineStr">
        <is>
          <t>{} | imageUrl | content khoảng trắng</t>
        </is>
      </c>
      <c r="L58" s="15" t="inlineStr">
        <is>
          <t>Cả ba: 400 VALIDATION_ERROR, message "Tham số không hợp lệ" (chi tiết lỗi từng trường nằm trong error.details). Ảnh không sửa được sau khi đăng (BE bỏ qua trường lạ).</t>
        </is>
      </c>
      <c r="M58" s="15" t="inlineStr"/>
      <c r="N58" s="18" t="inlineStr">
        <is>
          <t>Chưa test</t>
        </is>
      </c>
      <c r="O58" s="15" t="inlineStr"/>
      <c r="P58" s="15" t="inlineStr"/>
      <c r="Q58" s="18" t="inlineStr">
        <is>
          <t>Chưa test</t>
        </is>
      </c>
      <c r="R58" s="15" t="inlineStr"/>
    </row>
    <row r="59" ht="45" customHeight="1">
      <c r="A59" s="14" t="inlineStr">
        <is>
          <t>TC-FEED-058</t>
        </is>
      </c>
      <c r="B59" s="15" t="inlineStr">
        <is>
          <t>Bảng tin &amp; Tương tác cộng đồng</t>
        </is>
      </c>
      <c r="C59" s="15" t="inlineStr">
        <is>
          <t>Sửa bài viết</t>
        </is>
      </c>
      <c r="D59" s="15" t="inlineStr">
        <is>
          <t>Member khác (member3) sửa bài của member1 bị 403 và bài không đổi</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Đăng nhập member3@sofinhub.test (POST /api/auth/login, lấy accessToken, gắn header Authorization: Bearer).
2. PATCH /api/posts/seed-post-photo-m1-image với content khác
3. GET lại bài</t>
        </is>
      </c>
      <c r="K59" s="15" t="inlineStr">
        <is>
          <t>Body: {"content":"Bị sửa trộm"}</t>
        </is>
      </c>
      <c r="L59" s="15" t="inlineStr">
        <is>
          <t>403 FORBIDDEN, message "Bạn chỉ được sửa bài viết của mình"; content và editedAt của bài không đổi (IDOR bị chặn).</t>
        </is>
      </c>
      <c r="M59" s="15" t="inlineStr"/>
      <c r="N59" s="18" t="inlineStr">
        <is>
          <t>Chưa test</t>
        </is>
      </c>
      <c r="O59" s="15" t="inlineStr"/>
      <c r="P59" s="15" t="inlineStr"/>
      <c r="Q59" s="18" t="inlineStr">
        <is>
          <t>Chưa test</t>
        </is>
      </c>
      <c r="R59" s="15" t="inlineStr"/>
    </row>
    <row r="60" ht="30" customHeight="1">
      <c r="A60" s="14" t="inlineStr">
        <is>
          <t>TC-FEED-059</t>
        </is>
      </c>
      <c r="B60" s="15" t="inlineStr">
        <is>
          <t>Bảng tin &amp; Tương tác cộng đồng</t>
        </is>
      </c>
      <c r="C60" s="15" t="inlineStr">
        <is>
          <t>Sửa bài viết</t>
        </is>
      </c>
      <c r="D60" s="15" t="inlineStr">
        <is>
          <t>Mod sửa bài của member (hành vi hiện tại: mod+ được sửa)</t>
        </is>
      </c>
      <c r="E60" s="15" t="inlineStr">
        <is>
          <t>Chức năng</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mod@sofinhub.test (POST /api/auth/login, lấy accessToken, gắn header Authorization: Bearer).
2. PATCH /api/posts/seed-post-photo-m1-image với content mới</t>
        </is>
      </c>
      <c r="K60" s="15" t="inlineStr">
        <is>
          <t>Body: {"content":"Nội dung đã được mod biên tập"}</t>
        </is>
      </c>
      <c r="L60" s="15" t="inlineStr">
        <is>
          <t>200; content đổi, editedAt có giá trị, authorId vẫn là member1. (Tài liệu ghi 'cần quyết định: cho mod sửa nội dung hay chỉ ẩn/xóa' — hành vi tạm, chưa chốt.)</t>
        </is>
      </c>
      <c r="M60" s="15" t="inlineStr"/>
      <c r="N60" s="18" t="inlineStr">
        <is>
          <t>Chưa test</t>
        </is>
      </c>
      <c r="O60" s="15" t="inlineStr"/>
      <c r="P60" s="15" t="inlineStr"/>
      <c r="Q60" s="18" t="inlineStr">
        <is>
          <t>Chưa test</t>
        </is>
      </c>
      <c r="R60" s="15" t="inlineStr"/>
    </row>
    <row r="61" ht="90" customHeight="1">
      <c r="A61" s="14" t="inlineStr">
        <is>
          <t>TC-FEED-060</t>
        </is>
      </c>
      <c r="B61" s="15" t="inlineStr">
        <is>
          <t>Bảng tin &amp; Tương tác cộng đồng</t>
        </is>
      </c>
      <c r="C61" s="15" t="inlineStr">
        <is>
          <t>Sửa bài viết</t>
        </is>
      </c>
      <c r="D61" s="15" t="inlineStr">
        <is>
          <t>Cadmin, owner sửa bài của member thành công; admin nền tảng chưa ghi danh cũng sửa được</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61" s="15" t="inlineStr">
        <is>
          <t>-</t>
        </is>
      </c>
      <c r="L61" s="15" t="inlineStr">
        <is>
          <t>cadmin, owner và admin: 200 (đã sửa: requireMembership cho qua Platform Admin chưa ghi danh, rồi bậc platform_admin &gt;= mod nên được sửa nội dung người khác; trước đây admin bị 403).</t>
        </is>
      </c>
      <c r="M61" s="15" t="inlineStr"/>
      <c r="N61" s="18" t="inlineStr">
        <is>
          <t>Chưa test</t>
        </is>
      </c>
      <c r="O61" s="15" t="inlineStr"/>
      <c r="P61" s="15" t="inlineStr"/>
      <c r="Q61" s="18" t="inlineStr">
        <is>
          <t>Chưa test</t>
        </is>
      </c>
      <c r="R61" s="15" t="inlineStr"/>
    </row>
    <row r="62" ht="30" customHeight="1">
      <c r="A62" s="14" t="inlineStr">
        <is>
          <t>TC-FEED-061</t>
        </is>
      </c>
      <c r="B62" s="15" t="inlineStr">
        <is>
          <t>Bảng tin &amp; Tương tác cộng đồng</t>
        </is>
      </c>
      <c r="C62" s="15" t="inlineStr">
        <is>
          <t>Sửa bài viết</t>
        </is>
      </c>
      <c r="D62" s="15" t="inlineStr">
        <is>
          <t>Sửa bài không tồn tại trả 404</t>
        </is>
      </c>
      <c r="E62" s="15" t="inlineStr">
        <is>
          <t>Chức năng</t>
        </is>
      </c>
      <c r="F62" s="17" t="inlineStr">
        <is>
          <t>Thấp</t>
        </is>
      </c>
      <c r="G62" s="17" t="inlineStr">
        <is>
          <t>Đã hoàn thiện</t>
        </is>
      </c>
      <c r="H62" s="17" t="inlineStr">
        <is>
          <t>Có</t>
        </is>
      </c>
      <c r="I62" s="15" t="inlineStr">
        <is>
          <t>Tài khoản seed @sofinhub.test / Passw0rd!x: owner, cadmin (admin photo), mod, member1, member2, member3 (member photo), newbie (chưa ở cộng đồng nào), banned (bị cấm khỏi photo), admin (Platform Admin, KHÔNG ghi danh photo).</t>
        </is>
      </c>
      <c r="J62" s="15" t="inlineStr">
        <is>
          <t>1. Đăng nhập member1@sofinhub.test (POST /api/auth/login, lấy accessToken, gắn header Authorization: Bearer).
2. PATCH /api/posts/khong-co-bai với content hợp lệ</t>
        </is>
      </c>
      <c r="K62" s="15" t="inlineStr">
        <is>
          <t>Body: {"content":"x"}</t>
        </is>
      </c>
      <c r="L62" s="15" t="inlineStr">
        <is>
          <t>404 NOT_FOUND, message "Không tìm thấy bài viết".</t>
        </is>
      </c>
      <c r="M62" s="15" t="inlineStr"/>
      <c r="N62" s="18" t="inlineStr">
        <is>
          <t>Chưa test</t>
        </is>
      </c>
      <c r="O62" s="15" t="inlineStr"/>
      <c r="P62" s="15" t="inlineStr"/>
      <c r="Q62" s="18" t="inlineStr">
        <is>
          <t>Chưa test</t>
        </is>
      </c>
      <c r="R62" s="15" t="inlineStr"/>
    </row>
    <row r="63" ht="60" customHeight="1">
      <c r="A63" s="14" t="inlineStr">
        <is>
          <t>TC-FEED-062</t>
        </is>
      </c>
      <c r="B63" s="15" t="inlineStr">
        <is>
          <t>Bảng tin &amp; Tương tác cộng đồng</t>
        </is>
      </c>
      <c r="C63" s="15" t="inlineStr">
        <is>
          <t>Sửa bài viết</t>
        </is>
      </c>
      <c r="D63" s="15" t="inlineStr">
        <is>
          <t>Sửa bài đang bị ẩn: tác giả sửa được, member khác nhận 403 (không phải 404)</t>
        </is>
      </c>
      <c r="E63" s="15" t="inlineStr">
        <is>
          <t>Bảo mật</t>
        </is>
      </c>
      <c r="F63" s="17" t="inlineStr">
        <is>
          <t>Thấp</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63" s="15" t="inlineStr">
        <is>
          <t>-</t>
        </is>
      </c>
      <c r="L63" s="15" t="inlineStr">
        <is>
          <t>member1: 200. member2: PATCH trả 403 "Bạn chỉ được sửa bài viết của mình" nhưng GET trả 404 "Không tìm thấy bài viết" — thông điệp lệch nhau làm lộ sự tồn tại của bài ẩn (ghi nhận, chưa chốt).</t>
        </is>
      </c>
      <c r="M63" s="15" t="inlineStr"/>
      <c r="N63" s="18" t="inlineStr">
        <is>
          <t>Chưa test</t>
        </is>
      </c>
      <c r="O63" s="15" t="inlineStr"/>
      <c r="P63" s="15" t="inlineStr"/>
      <c r="Q63" s="18" t="inlineStr">
        <is>
          <t>Chưa test</t>
        </is>
      </c>
      <c r="R63" s="15" t="inlineStr"/>
    </row>
    <row r="64" ht="45" customHeight="1">
      <c r="A64" s="14" t="inlineStr">
        <is>
          <t>TC-FEED-063</t>
        </is>
      </c>
      <c r="B64" s="15" t="inlineStr">
        <is>
          <t>Bảng tin &amp; Tương tác cộng đồng</t>
        </is>
      </c>
      <c r="C64" s="15" t="inlineStr">
        <is>
          <t>Sửa bài viết</t>
        </is>
      </c>
      <c r="D64" s="15" t="inlineStr">
        <is>
          <t>UI: menu "…" theo vai trò: member thường chỉ có Báo cáo, tác giả có Sửa/Xóa</t>
        </is>
      </c>
      <c r="E64" s="15" t="inlineStr">
        <is>
          <t>Giao diện</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Đăng nhập member3, mở menu "…" của bài seed-post-photo-m1-image
2. Đăng nhập member1, mở menu "…" của cùng bài
3. Đăng nhập mod, mở menu "…" của cùng bài</t>
        </is>
      </c>
      <c r="K64" s="15" t="inlineStr">
        <is>
          <t>-</t>
        </is>
      </c>
      <c r="L64" s="15" t="inlineStr">
        <is>
          <t>member3: chỉ "Báo cáo" (không Sửa/Xóa/Ghim/Ẩn). member1 (tác giả): "Sửa bài viết", "Xóa bài viết", KHÔNG có Báo cáo/Ghim/Ẩn. mod: Sửa, Ghim bài, Ẩn bài viết, Xóa bài viết, Báo cáo.</t>
        </is>
      </c>
      <c r="M64" s="15" t="inlineStr"/>
      <c r="N64" s="18" t="inlineStr">
        <is>
          <t>Chưa test</t>
        </is>
      </c>
      <c r="O64" s="15" t="inlineStr"/>
      <c r="P64" s="15" t="inlineStr"/>
      <c r="Q64" s="18" t="inlineStr">
        <is>
          <t>Chưa test</t>
        </is>
      </c>
      <c r="R64" s="15" t="inlineStr"/>
    </row>
    <row r="65" ht="60" customHeight="1">
      <c r="A65" s="14" t="inlineStr">
        <is>
          <t>TC-FEED-064</t>
        </is>
      </c>
      <c r="B65" s="15" t="inlineStr">
        <is>
          <t>Bảng tin &amp; Tương tác cộng đồng</t>
        </is>
      </c>
      <c r="C65" s="15" t="inlineStr">
        <is>
          <t>Xóa bài viết</t>
        </is>
      </c>
      <c r="D65" s="15" t="inlineStr">
        <is>
          <t>Tác giả xóa bài của mình: xóa cả bình luận, like, phiếu (CASCADE)</t>
        </is>
      </c>
      <c r="E65" s="15" t="inlineStr">
        <is>
          <t>Chức năng</t>
        </is>
      </c>
      <c r="F65" s="16" t="inlineStr">
        <is>
          <t>Cao</t>
        </is>
      </c>
      <c r="G65" s="17" t="inlineStr">
        <is>
          <t>Đã hoàn thiện</t>
        </is>
      </c>
      <c r="H65" s="17" t="inlineStr">
        <is>
          <t>Có</t>
        </is>
      </c>
      <c r="I65" s="15" t="inlineStr">
        <is>
          <t>Tài khoản seed @sofinhub.test / Passw0rd!x: owner, cadmin (admin photo), mod, member1, member2, member3 (member photo), newbie (chưa ở cộng đồng nào), banned (bị cấm khỏi photo), admin (Platform Admin, KHÔNG ghi danh photo).</t>
        </is>
      </c>
      <c r="J65" s="15" t="inlineStr">
        <is>
          <t>1. Đăng nhập member2@sofinhub.test (POST /api/auth/login, lấy accessToken, gắn header Authorization: Bearer).
2. Tạo bài có poll; member1 like, bình luận, vote
3. member2 DELETE /api/posts/&lt;id&gt;
4. GET /api/posts/&lt;id&gt;, GET /api/posts/&lt;id&gt;/comments</t>
        </is>
      </c>
      <c r="K65" s="15" t="inlineStr">
        <is>
          <t>-</t>
        </is>
      </c>
      <c r="L65" s="15" t="inlineStr">
        <is>
          <t>DELETE 200 {deleted:true}; sau đó GET bài và bình luận đều 404 "Không tìm thấy bài viết"; bài không còn trong danh sách; tổng bài trong meta giảm 1.</t>
        </is>
      </c>
      <c r="M65" s="15" t="inlineStr"/>
      <c r="N65" s="18" t="inlineStr">
        <is>
          <t>Chưa test</t>
        </is>
      </c>
      <c r="O65" s="15" t="inlineStr"/>
      <c r="P65" s="15" t="inlineStr"/>
      <c r="Q65" s="18" t="inlineStr">
        <is>
          <t>Chưa test</t>
        </is>
      </c>
      <c r="R65" s="15" t="inlineStr"/>
    </row>
    <row r="66" ht="45" customHeight="1">
      <c r="A66" s="14" t="inlineStr">
        <is>
          <t>TC-FEED-065</t>
        </is>
      </c>
      <c r="B66" s="15" t="inlineStr">
        <is>
          <t>Bảng tin &amp; Tương tác cộng đồng</t>
        </is>
      </c>
      <c r="C66" s="15" t="inlineStr">
        <is>
          <t>Xóa bài viết</t>
        </is>
      </c>
      <c r="D66" s="15" t="inlineStr">
        <is>
          <t>Member khác xóa bài của người khác bị 403 (IDOR)</t>
        </is>
      </c>
      <c r="E66" s="15" t="inlineStr">
        <is>
          <t>Bảo mật</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member2@sofinhub.test (POST /api/auth/login, lấy accessToken, gắn header Authorization: Bearer).
2. DELETE /api/posts/seed-post-photo-m1-image
3. GET lại bài</t>
        </is>
      </c>
      <c r="K66" s="15" t="inlineStr">
        <is>
          <t>-</t>
        </is>
      </c>
      <c r="L66" s="15" t="inlineStr">
        <is>
          <t>403 FORBIDDEN, message "Bạn chỉ được xóa bài viết của mình"; bài, like, bình luận vẫn còn nguyên.</t>
        </is>
      </c>
      <c r="M66" s="15" t="inlineStr"/>
      <c r="N66" s="18" t="inlineStr">
        <is>
          <t>Chưa test</t>
        </is>
      </c>
      <c r="O66" s="15" t="inlineStr"/>
      <c r="P66" s="15" t="inlineStr"/>
      <c r="Q66" s="18" t="inlineStr">
        <is>
          <t>Chưa test</t>
        </is>
      </c>
      <c r="R66" s="15" t="inlineStr"/>
    </row>
    <row r="67" ht="45" customHeight="1">
      <c r="A67" s="14" t="inlineStr">
        <is>
          <t>TC-FEED-066</t>
        </is>
      </c>
      <c r="B67" s="15" t="inlineStr">
        <is>
          <t>Bảng tin &amp; Tương tác cộng đồng</t>
        </is>
      </c>
      <c r="C67" s="15" t="inlineStr">
        <is>
          <t>Xóa bài viết</t>
        </is>
      </c>
      <c r="D67" s="15" t="inlineStr">
        <is>
          <t>Mod, cadmin, owner xóa được bài của member</t>
        </is>
      </c>
      <c r="E67" s="15" t="inlineStr">
        <is>
          <t>Chức năng</t>
        </is>
      </c>
      <c r="F67" s="16" t="inlineStr">
        <is>
          <t>Cao</t>
        </is>
      </c>
      <c r="G67" s="17" t="inlineStr">
        <is>
          <t>Đã hoàn thiện</t>
        </is>
      </c>
      <c r="H67" s="17" t="inlineStr">
        <is>
          <t>Có</t>
        </is>
      </c>
      <c r="I67" s="15" t="inlineStr">
        <is>
          <t>Tài khoản seed @sofinhub.test / Passw0rd!x: owner, cadmin (admin photo), mod, member1, member2, member3 (member photo), newbie (chưa ở cộng đồng nào), banned (bị cấm khỏi photo), admin (Platform Admin, KHÔNG ghi danh photo).</t>
        </is>
      </c>
      <c r="J67" s="15" t="inlineStr">
        <is>
          <t>1. Đăng nhập member1@sofinhub.test (POST /api/auth/login, lấy accessToken, gắn header Authorization: Bearer).
2. Tạo 3 bài
3. Lần lượt mod, cadmin, owner mỗi người DELETE 1 bài</t>
        </is>
      </c>
      <c r="K67" s="15" t="inlineStr">
        <is>
          <t>-</t>
        </is>
      </c>
      <c r="L67" s="15" t="inlineStr">
        <is>
          <t>Cả 3 DELETE trả 200 {deleted:true}; 3 bài biến mất.</t>
        </is>
      </c>
      <c r="M67" s="15" t="inlineStr"/>
      <c r="N67" s="18" t="inlineStr">
        <is>
          <t>Chưa test</t>
        </is>
      </c>
      <c r="O67" s="15" t="inlineStr"/>
      <c r="P67" s="15" t="inlineStr"/>
      <c r="Q67" s="18" t="inlineStr">
        <is>
          <t>Chưa test</t>
        </is>
      </c>
      <c r="R67" s="15" t="inlineStr"/>
    </row>
    <row r="68" ht="30" customHeight="1">
      <c r="A68" s="14" t="inlineStr">
        <is>
          <t>TC-FEED-067</t>
        </is>
      </c>
      <c r="B68" s="15" t="inlineStr">
        <is>
          <t>Bảng tin &amp; Tương tác cộng đồng</t>
        </is>
      </c>
      <c r="C68" s="15" t="inlineStr">
        <is>
          <t>Xóa bài viết</t>
        </is>
      </c>
      <c r="D68" s="15" t="inlineStr">
        <is>
          <t>Xóa hai lần: lần thứ hai trả 404</t>
        </is>
      </c>
      <c r="E68" s="15" t="inlineStr">
        <is>
          <t>Chức năng</t>
        </is>
      </c>
      <c r="F68" s="17" t="inlineStr">
        <is>
          <t>Thấp</t>
        </is>
      </c>
      <c r="G68" s="17" t="inlineStr">
        <is>
          <t>Đã hoàn thiện</t>
        </is>
      </c>
      <c r="H68" s="17" t="inlineStr">
        <is>
          <t>Có</t>
        </is>
      </c>
      <c r="I68" s="15" t="inlineStr">
        <is>
          <t>Tài khoản seed @sofinhub.test / Passw0rd!x: owner, cadmin (admin photo), mod, member1, member2, member3 (member photo), newbie (chưa ở cộng đồng nào), banned (bị cấm khỏi photo), admin (Platform Admin, KHÔNG ghi danh photo).</t>
        </is>
      </c>
      <c r="J68" s="15" t="inlineStr">
        <is>
          <t>1. Đăng nhập member1@sofinhub.test (POST /api/auth/login, lấy accessToken, gắn header Authorization: Bearer).
2. Tạo bài, DELETE, DELETE lần nữa</t>
        </is>
      </c>
      <c r="K68" s="15" t="inlineStr">
        <is>
          <t>-</t>
        </is>
      </c>
      <c r="L68" s="15" t="inlineStr">
        <is>
          <t>Lần 1: 200. Lần 2: 404 NOT_FOUND "Không tìm thấy bài viết".</t>
        </is>
      </c>
      <c r="M68" s="15" t="inlineStr"/>
      <c r="N68" s="18" t="inlineStr">
        <is>
          <t>Chưa test</t>
        </is>
      </c>
      <c r="O68" s="15" t="inlineStr"/>
      <c r="P68" s="15" t="inlineStr"/>
      <c r="Q68" s="18" t="inlineStr">
        <is>
          <t>Chưa test</t>
        </is>
      </c>
      <c r="R68" s="15" t="inlineStr"/>
    </row>
    <row r="69" ht="60" customHeight="1">
      <c r="A69" s="14" t="inlineStr">
        <is>
          <t>TC-FEED-068</t>
        </is>
      </c>
      <c r="B69" s="15" t="inlineStr">
        <is>
          <t>Bảng tin &amp; Tương tác cộng đồng</t>
        </is>
      </c>
      <c r="C69" s="15" t="inlineStr">
        <is>
          <t>Xóa bài viết</t>
        </is>
      </c>
      <c r="D69" s="15" t="inlineStr">
        <is>
          <t>UI: xóa bài có hộp thoại xác nhận, hủy thì bài còn nguyên</t>
        </is>
      </c>
      <c r="E69" s="15" t="inlineStr">
        <is>
          <t>Giao diện</t>
        </is>
      </c>
      <c r="F69" s="20" t="inlineStr">
        <is>
          <t>Trung bình</t>
        </is>
      </c>
      <c r="G69" s="17" t="inlineStr">
        <is>
          <t>Đã hoàn thiện</t>
        </is>
      </c>
      <c r="H69" s="17" t="inlineStr">
        <is>
          <t>Có</t>
        </is>
      </c>
      <c r="I69" s="15" t="inlineStr">
        <is>
          <t>Tài khoản seed @sofinhub.test / Passw0rd!x: owner, cadmin (admin photo), mod, member1, member2, member3 (member photo), newbie (chưa ở cộng đồng nào), banned (bị cấm khỏi photo), admin (Platform Admin, KHÔNG ghi danh photo).</t>
        </is>
      </c>
      <c r="J69" s="15" t="inlineStr">
        <is>
          <t>1. Đăng nhập member2, tạo bài mới
2. Menu "…" &gt; "Xóa bài viết"
3. Bấm hủy trong hộp thoại "Xóa bài viết?"
4. Lặp lại và bấm "Xóa bài viết"</t>
        </is>
      </c>
      <c r="K69" s="15" t="inlineStr">
        <is>
          <t>-</t>
        </is>
      </c>
      <c r="L69" s="15" t="inlineStr">
        <is>
          <t>Hủy: bài còn. Xác nhận: toast "Đã xóa bài viết", bài biến mất khỏi bảng tin không cần tải lại.</t>
        </is>
      </c>
      <c r="M69" s="15" t="inlineStr"/>
      <c r="N69" s="18" t="inlineStr">
        <is>
          <t>Chưa test</t>
        </is>
      </c>
      <c r="O69" s="15" t="inlineStr"/>
      <c r="P69" s="15" t="inlineStr"/>
      <c r="Q69" s="18" t="inlineStr">
        <is>
          <t>Chưa test</t>
        </is>
      </c>
      <c r="R69" s="15" t="inlineStr"/>
    </row>
    <row r="70" ht="60" customHeight="1">
      <c r="A70" s="14" t="inlineStr">
        <is>
          <t>TC-FEED-069</t>
        </is>
      </c>
      <c r="B70" s="15" t="inlineStr">
        <is>
          <t>Bảng tin &amp; Tương tác cộng đồng</t>
        </is>
      </c>
      <c r="C70" s="15" t="inlineStr">
        <is>
          <t>Xóa bài viết</t>
        </is>
      </c>
      <c r="D70" s="15" t="inlineStr">
        <is>
          <t>Xóa bài đang ghim: bài ghim mất khỏi đầu danh sách, không ảnh hưởng bài ghim còn lại</t>
        </is>
      </c>
      <c r="E70" s="15" t="inlineStr">
        <is>
          <t>Chức năng</t>
        </is>
      </c>
      <c r="F70" s="17" t="inlineStr">
        <is>
          <t>Thấp</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owner@sofinhub.test (POST /api/auth/login, lấy accessToken, gắn header Authorization: Bearer).
2. Tạo bài mới rồi POST pin
3. DELETE bài đó
4. GET /api/courses/photo/posts?limit=3</t>
        </is>
      </c>
      <c r="K70" s="15" t="inlineStr">
        <is>
          <t>-</t>
        </is>
      </c>
      <c r="L70" s="15" t="inlineStr">
        <is>
          <t>Sau xóa, đầu danh sách vẫn là seed-post-photo-0 rồi seed-post-photo-owner-pinned; tổng bài ghim về 2.</t>
        </is>
      </c>
      <c r="M70" s="15" t="inlineStr"/>
      <c r="N70" s="18" t="inlineStr">
        <is>
          <t>Chưa test</t>
        </is>
      </c>
      <c r="O70" s="15" t="inlineStr"/>
      <c r="P70" s="15" t="inlineStr"/>
      <c r="Q70" s="18" t="inlineStr">
        <is>
          <t>Chưa test</t>
        </is>
      </c>
      <c r="R70" s="15" t="inlineStr"/>
    </row>
    <row r="71" ht="90" customHeight="1">
      <c r="A71" s="14" t="inlineStr">
        <is>
          <t>TC-FEED-070</t>
        </is>
      </c>
      <c r="B71" s="15" t="inlineStr">
        <is>
          <t>Bảng tin &amp; Tương tác cộng đồng</t>
        </is>
      </c>
      <c r="C71" s="15" t="inlineStr">
        <is>
          <t>Ẩn/hiện bài viết</t>
        </is>
      </c>
      <c r="D71" s="15" t="inlineStr">
        <is>
          <t>Mod ẩn bài: member thường không thấy trong danh sách, tổng bài giảm</t>
        </is>
      </c>
      <c r="E71" s="15" t="inlineStr">
        <is>
          <t>Chức năng</t>
        </is>
      </c>
      <c r="F71" s="16" t="inlineStr">
        <is>
          <t>Cao</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71" s="15" t="inlineStr">
        <is>
          <t>-</t>
        </is>
      </c>
      <c r="L71" s="15" t="inlineStr">
        <is>
          <t>hide trả {hidden:true}. member2 sau đó thấy meta.total=6 và không còn bài poll; GET /api/posts/seed-post-photo-m1-poll trả 404.</t>
        </is>
      </c>
      <c r="M71" s="15" t="inlineStr"/>
      <c r="N71" s="18" t="inlineStr">
        <is>
          <t>Chưa test</t>
        </is>
      </c>
      <c r="O71" s="15" t="inlineStr"/>
      <c r="P71" s="15" t="inlineStr"/>
      <c r="Q71" s="18" t="inlineStr">
        <is>
          <t>Chưa test</t>
        </is>
      </c>
      <c r="R71" s="15" t="inlineStr"/>
    </row>
    <row r="72" ht="30" customHeight="1">
      <c r="A72" s="14" t="inlineStr">
        <is>
          <t>TC-FEED-071</t>
        </is>
      </c>
      <c r="B72" s="15" t="inlineStr">
        <is>
          <t>Bảng tin &amp; Tương tác cộng đồng</t>
        </is>
      </c>
      <c r="C72" s="15" t="inlineStr">
        <is>
          <t>Ẩn/hiện bài viết</t>
        </is>
      </c>
      <c r="D72" s="15" t="inlineStr">
        <is>
          <t>Seed: bài m1-hidden hiển thị với tác giả và mod (hidden:true), ẩn với member khác</t>
        </is>
      </c>
      <c r="E72" s="15" t="inlineStr">
        <is>
          <t>Chức năng</t>
        </is>
      </c>
      <c r="F72" s="16" t="inlineStr">
        <is>
          <t>Cao</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GET /api/courses/photo/posts?limit=50 lần lượt bằng member1, mod, member2, member3
2. Đếm meta.total và tìm seed-post-photo-m1-hidden</t>
        </is>
      </c>
      <c r="K72" s="15" t="inlineStr">
        <is>
          <t>-</t>
        </is>
      </c>
      <c r="L72" s="15" t="inlineStr">
        <is>
          <t>member1 (tác giả) và mod: total=8, bài hidden:true có mặt. member2, member3: total=7, không thấy bài quảng cáo.</t>
        </is>
      </c>
      <c r="M72" s="15" t="inlineStr"/>
      <c r="N72" s="18" t="inlineStr">
        <is>
          <t>Chưa test</t>
        </is>
      </c>
      <c r="O72" s="15" t="inlineStr"/>
      <c r="P72" s="15" t="inlineStr"/>
      <c r="Q72" s="18" t="inlineStr">
        <is>
          <t>Chưa test</t>
        </is>
      </c>
      <c r="R72" s="15" t="inlineStr"/>
    </row>
    <row r="73" ht="30" customHeight="1">
      <c r="A73" s="14" t="inlineStr">
        <is>
          <t>TC-FEED-072</t>
        </is>
      </c>
      <c r="B73" s="15" t="inlineStr">
        <is>
          <t>Bảng tin &amp; Tương tác cộng đồng</t>
        </is>
      </c>
      <c r="C73" s="15" t="inlineStr">
        <is>
          <t>Ẩn/hiện bài viết</t>
        </is>
      </c>
      <c r="D73" s="15" t="inlineStr">
        <is>
          <t>Bài ẩn: người thường không like/bình luận/vote/báo cáo/chia sẻ được (404)</t>
        </is>
      </c>
      <c r="E73" s="15" t="inlineStr">
        <is>
          <t>Bảo mật</t>
        </is>
      </c>
      <c r="F73" s="16" t="inlineStr">
        <is>
          <t>Cao</t>
        </is>
      </c>
      <c r="G73" s="17" t="inlineStr">
        <is>
          <t>Đã hoàn thiện</t>
        </is>
      </c>
      <c r="H73" s="17" t="inlineStr">
        <is>
          <t>Có</t>
        </is>
      </c>
      <c r="I7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3" s="15" t="inlineStr">
        <is>
          <t>1. Đăng nhập member2@sofinhub.test (POST /api/auth/login, lấy accessToken, gắn header Authorization: Bearer).
2. POST /like, POST /comments, POST /poll/vote, GET /share, GET /comments, POST /posts/:id/report trên seed-post-photo-m1-hidden</t>
        </is>
      </c>
      <c r="K73" s="15" t="inlineStr">
        <is>
          <t>Comment body {"content":"x"}, report {"reason":"spam"}</t>
        </is>
      </c>
      <c r="L73" s="15" t="inlineStr">
        <is>
          <t>Tất cả trả 404 NOT_FOUND "Không tìm thấy bài viết"; không tạo like/bình luận/báo cáo.</t>
        </is>
      </c>
      <c r="M73" s="15" t="inlineStr"/>
      <c r="N73" s="18" t="inlineStr">
        <is>
          <t>Chưa test</t>
        </is>
      </c>
      <c r="O73" s="15" t="inlineStr"/>
      <c r="P73" s="15" t="inlineStr"/>
      <c r="Q73" s="18" t="inlineStr">
        <is>
          <t>Chưa test</t>
        </is>
      </c>
      <c r="R73" s="15" t="inlineStr"/>
    </row>
    <row r="74" ht="60" customHeight="1">
      <c r="A74" s="14" t="inlineStr">
        <is>
          <t>TC-FEED-073</t>
        </is>
      </c>
      <c r="B74" s="15" t="inlineStr">
        <is>
          <t>Bảng tin &amp; Tương tác cộng đồng</t>
        </is>
      </c>
      <c r="C74" s="15" t="inlineStr">
        <is>
          <t>Ẩn/hiện bài viết</t>
        </is>
      </c>
      <c r="D74" s="15" t="inlineStr">
        <is>
          <t>Bỏ ẩn (unhide) khôi phục bài cho mọi người</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74" s="15" t="inlineStr">
        <is>
          <t>-</t>
        </is>
      </c>
      <c r="L74" s="15" t="inlineStr">
        <is>
          <t>unhide 200 {hidden:false}; member2 GET được bài, danh sách total=8. Hành động ẩn/hiện idempotent (gọi hide 2 lần đều 200 {hidden:true}).</t>
        </is>
      </c>
      <c r="M74" s="15" t="inlineStr"/>
      <c r="N74" s="18" t="inlineStr">
        <is>
          <t>Chưa test</t>
        </is>
      </c>
      <c r="O74" s="15" t="inlineStr"/>
      <c r="P74" s="15" t="inlineStr"/>
      <c r="Q74" s="18" t="inlineStr">
        <is>
          <t>Chưa test</t>
        </is>
      </c>
      <c r="R74" s="15" t="inlineStr"/>
    </row>
    <row r="75" ht="30" customHeight="1">
      <c r="A75" s="14" t="inlineStr">
        <is>
          <t>TC-FEED-074</t>
        </is>
      </c>
      <c r="B75" s="15" t="inlineStr">
        <is>
          <t>Bảng tin &amp; Tương tác cộng đồng</t>
        </is>
      </c>
      <c r="C75" s="15" t="inlineStr">
        <is>
          <t>Ẩn/hiện bài viết</t>
        </is>
      </c>
      <c r="D75" s="15" t="inlineStr">
        <is>
          <t>Ma trận vai trò cho hide/unhide: member/newbie/banned/khách bị chặn; mod trở lên và Platform Admin được</t>
        </is>
      </c>
      <c r="E75" s="15" t="inlineStr">
        <is>
          <t>Bảo mật</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Gọi POST /api/posts/seed-post-photo-1/hide lần lượt bằng: không token, member1, newbie, banned (bài không bị ẩn sau các lần này)
2. Sau đó admin (Platform Admin chưa ghi danh), cadmin, owner, mod hide; unhide để khôi phục</t>
        </is>
      </c>
      <c r="K75" s="15" t="inlineStr">
        <is>
          <t>-</t>
        </is>
      </c>
      <c r="L75"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75" s="15" t="inlineStr"/>
      <c r="N75" s="18" t="inlineStr">
        <is>
          <t>Chưa test</t>
        </is>
      </c>
      <c r="O75" s="15" t="inlineStr"/>
      <c r="P75" s="15" t="inlineStr"/>
      <c r="Q75" s="18" t="inlineStr">
        <is>
          <t>Chưa test</t>
        </is>
      </c>
      <c r="R75" s="15" t="inlineStr"/>
    </row>
    <row r="76" ht="30" customHeight="1">
      <c r="A76" s="14" t="inlineStr">
        <is>
          <t>TC-FEED-075</t>
        </is>
      </c>
      <c r="B76" s="15" t="inlineStr">
        <is>
          <t>Bảng tin &amp; Tương tác cộng đồng</t>
        </is>
      </c>
      <c r="C76" s="15" t="inlineStr">
        <is>
          <t>Ẩn/hiện bài viết</t>
        </is>
      </c>
      <c r="D76" s="15" t="inlineStr">
        <is>
          <t>UI: bài đã ẩn hiển thị mờ với nhãn "Đã ẩn" cho tác giả/mod, biến mất với member khác</t>
        </is>
      </c>
      <c r="E76" s="15" t="inlineStr">
        <is>
          <t>Giao diện</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mod, mở /courses/photo/community, tìm bài quảng cáo "Mua ngay khóa học chụp ảnh giá rẻ"
2. Đăng nhập member2, tìm lại bài đó</t>
        </is>
      </c>
      <c r="K76" s="15" t="inlineStr">
        <is>
          <t>-</t>
        </is>
      </c>
      <c r="L76" s="15" t="inlineStr">
        <is>
          <t>mod: thấy bài với nhãn "Đã ẩn" (tooltip "Chỉ tác giả và quản trị viên thấy bài này"), menu có "Hiện bài viết". member2: không thấy bài.</t>
        </is>
      </c>
      <c r="M76" s="15" t="inlineStr"/>
      <c r="N76" s="18" t="inlineStr">
        <is>
          <t>Chưa test</t>
        </is>
      </c>
      <c r="O76" s="15" t="inlineStr"/>
      <c r="P76" s="15" t="inlineStr"/>
      <c r="Q76" s="18" t="inlineStr">
        <is>
          <t>Chưa test</t>
        </is>
      </c>
      <c r="R76" s="15" t="inlineStr"/>
    </row>
    <row r="77" ht="120" customHeight="1">
      <c r="A77" s="14" t="inlineStr">
        <is>
          <t>TC-FEED-076</t>
        </is>
      </c>
      <c r="B77" s="15" t="inlineStr">
        <is>
          <t>Bảng tin &amp; Tương tác cộng đồng</t>
        </is>
      </c>
      <c r="C77" s="15" t="inlineStr">
        <is>
          <t>Ẩn/hiện bài viết</t>
        </is>
      </c>
      <c r="D77" s="15" t="inlineStr">
        <is>
          <t>Bình luận bị ẩn (qua xử lý báo cáo) chỉ tác giả và mod thấy</t>
        </is>
      </c>
      <c r="E77" s="15" t="inlineStr">
        <is>
          <t>Chức năng</t>
        </is>
      </c>
      <c r="F77" s="20" t="inlineStr">
        <is>
          <t>Trung bình</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77" s="15" t="inlineStr">
        <is>
          <t>Comment seed-comment-photo-m2-on-m1-image</t>
        </is>
      </c>
      <c r="L77" s="15" t="inlineStr">
        <is>
          <t>member3 không còn thấy bình luận đó; member2 (tác giả) và mod vẫn thấy với hidden:true. commentsCount trên bài không đổi (ẩn không giảm đếm — hành vi hiện tại).</t>
        </is>
      </c>
      <c r="M77" s="15" t="inlineStr"/>
      <c r="N77" s="18" t="inlineStr">
        <is>
          <t>Chưa test</t>
        </is>
      </c>
      <c r="O77" s="15" t="inlineStr"/>
      <c r="P77" s="15" t="inlineStr"/>
      <c r="Q77" s="18" t="inlineStr">
        <is>
          <t>Chưa test</t>
        </is>
      </c>
      <c r="R77" s="15" t="inlineStr"/>
    </row>
    <row r="78" ht="60" customHeight="1">
      <c r="A78" s="14" t="inlineStr">
        <is>
          <t>TC-FEED-077</t>
        </is>
      </c>
      <c r="B78" s="15" t="inlineStr">
        <is>
          <t>Bảng tin &amp; Tương tác cộng đồng</t>
        </is>
      </c>
      <c r="C78" s="15" t="inlineStr">
        <is>
          <t>Ghim bài viết</t>
        </is>
      </c>
      <c r="D78" s="15" t="inlineStr">
        <is>
          <t>Mod ghim bài: toggle {pinned}, bài lên đầu danh sách</t>
        </is>
      </c>
      <c r="E78" s="15" t="inlineStr">
        <is>
          <t>Chức năng</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POST /api/posts/seed-post-photo-3/pin
3. GET /api/courses/photo/posts?limit=5
4. POST pin lần 2</t>
        </is>
      </c>
      <c r="K78" s="15" t="inlineStr">
        <is>
          <t>-</t>
        </is>
      </c>
      <c r="L78" s="15" t="inlineStr">
        <is>
          <t>Lần 1: {pinned:true}, bài đứng cùng nhóm ghim (3 bài ghim trước các bài thường, sắp theo createdAt giảm dần trong nhóm). Lần 2: {pinned:false}, bài trở lại vị trí theo thời gian.</t>
        </is>
      </c>
      <c r="M78" s="15" t="inlineStr"/>
      <c r="N78" s="18" t="inlineStr">
        <is>
          <t>Chưa test</t>
        </is>
      </c>
      <c r="O78" s="15" t="inlineStr"/>
      <c r="P78" s="15" t="inlineStr"/>
      <c r="Q78" s="18" t="inlineStr">
        <is>
          <t>Chưa test</t>
        </is>
      </c>
      <c r="R78" s="15" t="inlineStr"/>
    </row>
    <row r="79" ht="45" customHeight="1">
      <c r="A79" s="14" t="inlineStr">
        <is>
          <t>TC-FEED-078</t>
        </is>
      </c>
      <c r="B79" s="15" t="inlineStr">
        <is>
          <t>Bảng tin &amp; Tương tác cộng đồng</t>
        </is>
      </c>
      <c r="C79" s="15" t="inlineStr">
        <is>
          <t>Ghim bài viết</t>
        </is>
      </c>
      <c r="D79" s="15" t="inlineStr">
        <is>
          <t>Sửa lỗi phân quyền: member thường ghim bài phải nhận 403</t>
        </is>
      </c>
      <c r="E79" s="15" t="inlineStr">
        <is>
          <t>Bảo mật</t>
        </is>
      </c>
      <c r="F79" s="16" t="inlineStr">
        <is>
          <t>Cao</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member1@sofinhub.test (POST /api/auth/login, lấy accessToken, gắn header Authorization: Bearer).
2. POST /api/posts/seed-post-photo-3/pin
3. GET /api/posts/seed-post-photo-3 kiểm tra pinned</t>
        </is>
      </c>
      <c r="K79" s="15" t="inlineStr">
        <is>
          <t>-</t>
        </is>
      </c>
      <c r="L79"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79" s="15" t="inlineStr"/>
      <c r="N79" s="18" t="inlineStr">
        <is>
          <t>Chưa test</t>
        </is>
      </c>
      <c r="O79" s="15" t="inlineStr"/>
      <c r="P79" s="15" t="inlineStr"/>
      <c r="Q79" s="18" t="inlineStr">
        <is>
          <t>Chưa test</t>
        </is>
      </c>
      <c r="R79" s="15" t="inlineStr"/>
    </row>
    <row r="80" ht="75" customHeight="1">
      <c r="A80" s="14" t="inlineStr">
        <is>
          <t>TC-FEED-079</t>
        </is>
      </c>
      <c r="B80" s="15" t="inlineStr">
        <is>
          <t>Bảng tin &amp; Tương tác cộng đồng</t>
        </is>
      </c>
      <c r="C80" s="15" t="inlineStr">
        <is>
          <t>Ghim bài viết</t>
        </is>
      </c>
      <c r="D80" s="15" t="inlineStr">
        <is>
          <t>Ma trận vai trò cho ghim: tác giả bài (member) cũng không tự ghim được</t>
        </is>
      </c>
      <c r="E80" s="15" t="inlineStr">
        <is>
          <t>Bảo mật</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0" s="15" t="inlineStr">
        <is>
          <t>1. member1 (tác giả seed-post-photo-m1-image) POST /pin
2. newbie POST /pin
3. banned POST /pin
4. không token POST /pin
5. admin (Platform Admin chưa ghi danh), cadmin, owner, mod POST /pin lần lượt</t>
        </is>
      </c>
      <c r="K80" s="15" t="inlineStr">
        <is>
          <t>-</t>
        </is>
      </c>
      <c r="L80"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80" s="15" t="inlineStr"/>
      <c r="N80" s="18" t="inlineStr">
        <is>
          <t>Chưa test</t>
        </is>
      </c>
      <c r="O80" s="15" t="inlineStr"/>
      <c r="P80" s="15" t="inlineStr"/>
      <c r="Q80" s="18" t="inlineStr">
        <is>
          <t>Chưa test</t>
        </is>
      </c>
      <c r="R80" s="15" t="inlineStr"/>
    </row>
    <row r="81" ht="60" customHeight="1">
      <c r="A81" s="14" t="inlineStr">
        <is>
          <t>TC-FEED-080</t>
        </is>
      </c>
      <c r="B81" s="15" t="inlineStr">
        <is>
          <t>Bảng tin &amp; Tương tác cộng đồng</t>
        </is>
      </c>
      <c r="C81" s="15" t="inlineStr">
        <is>
          <t>Ghim bài viết</t>
        </is>
      </c>
      <c r="D81" s="15" t="inlineStr">
        <is>
          <t>Ghim nhiều bài: các bài ghim đứng trước theo thời gian; sort=popular vẫn ghim trước</t>
        </is>
      </c>
      <c r="E81" s="15" t="inlineStr">
        <is>
          <t>Chức năng</t>
        </is>
      </c>
      <c r="F81" s="20" t="inlineStr">
        <is>
          <t>Trung bình</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owner@sofinhub.test (POST /api/auth/login, lấy accessToken, gắn header Authorization: Bearer).
2. Ghim thêm seed-post-photo-2
3. GET ?sort=latest&amp;limit=4
4. GET ?sort=popular&amp;limit=4</t>
        </is>
      </c>
      <c r="K81" s="15" t="inlineStr">
        <is>
          <t>-</t>
        </is>
      </c>
      <c r="L81" s="15" t="inlineStr">
        <is>
          <t>Latest: seed-post-photo-0, seed-post-photo-2 (mới hơn), seed-post-photo-owner-pinned, rồi các bài thường. Popular: 3 bài ghim vẫn đứng trước, trong nhóm ghim sắp theo likesCount giảm dần (photo-0 24 like trước).</t>
        </is>
      </c>
      <c r="M81" s="15" t="inlineStr"/>
      <c r="N81" s="18" t="inlineStr">
        <is>
          <t>Chưa test</t>
        </is>
      </c>
      <c r="O81" s="15" t="inlineStr"/>
      <c r="P81" s="15" t="inlineStr"/>
      <c r="Q81" s="18" t="inlineStr">
        <is>
          <t>Chưa test</t>
        </is>
      </c>
      <c r="R81" s="15" t="inlineStr"/>
    </row>
    <row r="82" ht="30" customHeight="1">
      <c r="A82" s="14" t="inlineStr">
        <is>
          <t>TC-FEED-081</t>
        </is>
      </c>
      <c r="B82" s="15" t="inlineStr">
        <is>
          <t>Bảng tin &amp; Tương tác cộng đồng</t>
        </is>
      </c>
      <c r="C82" s="15" t="inlineStr">
        <is>
          <t>Ghim bài viết</t>
        </is>
      </c>
      <c r="D82" s="15" t="inlineStr">
        <is>
          <t>UI: mod thấy "Ghim bài/Bỏ ghim" và nhãn "Đã ghim"; member thường không thấy mục ghim</t>
        </is>
      </c>
      <c r="E82" s="15" t="inlineStr">
        <is>
          <t>Giao diện</t>
        </is>
      </c>
      <c r="F82" s="16" t="inlineStr">
        <is>
          <t>Cao</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mod, mở menu "…" của seed-post-photo-3, bấm "Ghim bài"
2. Đăng nhập member1 xem menu cùng bài</t>
        </is>
      </c>
      <c r="K82" s="15" t="inlineStr">
        <is>
          <t>-</t>
        </is>
      </c>
      <c r="L82" s="15" t="inlineStr">
        <is>
          <t>mod: bài có nhãn "Đã ghim" và lên đầu; mục đổi thành "Bỏ ghim". member1: menu không có mục ghim.</t>
        </is>
      </c>
      <c r="M82" s="15" t="inlineStr"/>
      <c r="N82" s="18" t="inlineStr">
        <is>
          <t>Chưa test</t>
        </is>
      </c>
      <c r="O82" s="15" t="inlineStr"/>
      <c r="P82" s="15" t="inlineStr"/>
      <c r="Q82" s="18" t="inlineStr">
        <is>
          <t>Chưa test</t>
        </is>
      </c>
      <c r="R82" s="15" t="inlineStr"/>
    </row>
    <row r="83" ht="60" customHeight="1">
      <c r="A83" s="14" t="inlineStr">
        <is>
          <t>TC-FEED-082</t>
        </is>
      </c>
      <c r="B83" s="15" t="inlineStr">
        <is>
          <t>Bảng tin &amp; Tương tác cộng đồng</t>
        </is>
      </c>
      <c r="C83" s="15" t="inlineStr">
        <is>
          <t>Ghim bài viết</t>
        </is>
      </c>
      <c r="D83" s="15" t="inlineStr">
        <is>
          <t>Ghim bài đã bị ẩn: bài vẫn ghim nhưng người thường không thấy</t>
        </is>
      </c>
      <c r="E83" s="15" t="inlineStr">
        <is>
          <t>Chức năng</t>
        </is>
      </c>
      <c r="F83" s="17" t="inlineStr">
        <is>
          <t>Thấp</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83" s="15" t="inlineStr">
        <is>
          <t>-</t>
        </is>
      </c>
      <c r="L83" s="15" t="inlineStr">
        <is>
          <t>pin 200 {pinned:true}; member2 vẫn không thấy bài ẩn dù đã ghim (ẩn ưu tiên hơn ghim).</t>
        </is>
      </c>
      <c r="M83" s="15" t="inlineStr"/>
      <c r="N83" s="18" t="inlineStr">
        <is>
          <t>Chưa test</t>
        </is>
      </c>
      <c r="O83" s="15" t="inlineStr"/>
      <c r="P83" s="15" t="inlineStr"/>
      <c r="Q83" s="18" t="inlineStr">
        <is>
          <t>Chưa test</t>
        </is>
      </c>
      <c r="R83" s="15" t="inlineStr"/>
    </row>
    <row r="84" ht="60" customHeight="1">
      <c r="A84" s="14" t="inlineStr">
        <is>
          <t>TC-FEED-083</t>
        </is>
      </c>
      <c r="B84" s="15" t="inlineStr">
        <is>
          <t>Bảng tin &amp; Tương tác cộng đồng</t>
        </is>
      </c>
      <c r="C84" s="15" t="inlineStr">
        <is>
          <t>Bình luận</t>
        </is>
      </c>
      <c r="D84" s="15" t="inlineStr">
        <is>
          <t>Thêm bình luận: 201, commentsCount +1, thông báo post_commented cho tác giả</t>
        </is>
      </c>
      <c r="E84" s="15" t="inlineStr">
        <is>
          <t>Chức năng</t>
        </is>
      </c>
      <c r="F84" s="16" t="inlineStr">
        <is>
          <t>Cao</t>
        </is>
      </c>
      <c r="G84" s="17" t="inlineStr">
        <is>
          <t>Đã hoàn thiện</t>
        </is>
      </c>
      <c r="H84" s="17" t="inlineStr">
        <is>
          <t>Có</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84" s="15" t="inlineStr">
        <is>
          <t>Body: {"content":"Mình chọn Mỹ Khê!"}</t>
        </is>
      </c>
      <c r="L84"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84" s="15" t="inlineStr"/>
      <c r="N84" s="18" t="inlineStr">
        <is>
          <t>Chưa test</t>
        </is>
      </c>
      <c r="O84" s="15" t="inlineStr"/>
      <c r="P84" s="15" t="inlineStr"/>
      <c r="Q84" s="18" t="inlineStr">
        <is>
          <t>Chưa test</t>
        </is>
      </c>
      <c r="R84" s="15" t="inlineStr"/>
    </row>
    <row r="85" ht="60" customHeight="1">
      <c r="A85" s="14" t="inlineStr">
        <is>
          <t>TC-FEED-084</t>
        </is>
      </c>
      <c r="B85" s="15" t="inlineStr">
        <is>
          <t>Bảng tin &amp; Tương tác cộng đồng</t>
        </is>
      </c>
      <c r="C85" s="15" t="inlineStr">
        <is>
          <t>Bình luận</t>
        </is>
      </c>
      <c r="D85" s="15" t="inlineStr">
        <is>
          <t>Tự bình luận bài của mình không tạo thông báo</t>
        </is>
      </c>
      <c r="E85" s="15" t="inlineStr">
        <is>
          <t>Chức năng</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Ghi số thông báo hiện tại
3. POST bình luận vào bài của chính member1
4. GET /api/notifications</t>
        </is>
      </c>
      <c r="K85" s="15" t="inlineStr">
        <is>
          <t>Body: {"content":"Cập nhật thêm"}</t>
        </is>
      </c>
      <c r="L85" s="15" t="inlineStr">
        <is>
          <t>201; số thông báo post_commented của member1 không tăng.</t>
        </is>
      </c>
      <c r="M85" s="15" t="inlineStr"/>
      <c r="N85" s="18" t="inlineStr">
        <is>
          <t>Chưa test</t>
        </is>
      </c>
      <c r="O85" s="15" t="inlineStr"/>
      <c r="P85" s="15" t="inlineStr"/>
      <c r="Q85" s="18" t="inlineStr">
        <is>
          <t>Chưa test</t>
        </is>
      </c>
      <c r="R85" s="15" t="inlineStr"/>
    </row>
    <row r="86" ht="75" customHeight="1">
      <c r="A86" s="14" t="inlineStr">
        <is>
          <t>TC-FEED-085</t>
        </is>
      </c>
      <c r="B86" s="15" t="inlineStr">
        <is>
          <t>Bảng tin &amp; Tương tác cộng đồng</t>
        </is>
      </c>
      <c r="C86" s="15" t="inlineStr">
        <is>
          <t>Bình luận</t>
        </is>
      </c>
      <c r="D86" s="15" t="inlineStr">
        <is>
          <t>Bình luận trống, chỉ khoảng trắng, hoặc dài 1001 ký tự bị từ chối; đúng 1000 ký tự thành công</t>
        </is>
      </c>
      <c r="E86" s="15" t="inlineStr">
        <is>
          <t>Chức năng</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member2@sofinhub.test (POST /api/auth/login, lấy accessToken, gắn header Authorization: Bearer).
2. POST comment content=""
3. POST content="  "
4. POST content 'a'*1000
5. POST content 'a'*1001</t>
        </is>
      </c>
      <c r="K86" s="15" t="inlineStr">
        <is>
          <t>0, 2 dấu cách, 1000, 1001 ký tự</t>
        </is>
      </c>
      <c r="L86"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86" s="15" t="inlineStr"/>
      <c r="N86" s="18" t="inlineStr">
        <is>
          <t>Chưa test</t>
        </is>
      </c>
      <c r="O86" s="15" t="inlineStr"/>
      <c r="P86" s="15" t="inlineStr"/>
      <c r="Q86" s="18" t="inlineStr">
        <is>
          <t>Chưa test</t>
        </is>
      </c>
      <c r="R86" s="15" t="inlineStr"/>
    </row>
    <row r="87" ht="45" customHeight="1">
      <c r="A87" s="14" t="inlineStr">
        <is>
          <t>TC-FEED-086</t>
        </is>
      </c>
      <c r="B87" s="15" t="inlineStr">
        <is>
          <t>Bảng tin &amp; Tương tác cộng đồng</t>
        </is>
      </c>
      <c r="C87" s="15" t="inlineStr">
        <is>
          <t>Bình luận</t>
        </is>
      </c>
      <c r="D87" s="15" t="inlineStr">
        <is>
          <t>Bình luận vào bài không tồn tại trả 404; danh sách bình luận sắp theo thời gian tăng dần</t>
        </is>
      </c>
      <c r="E87" s="15" t="inlineStr">
        <is>
          <t>Chức năng</t>
        </is>
      </c>
      <c r="F87" s="20" t="inlineStr">
        <is>
          <t>Trung bình</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/api/posts/khong-co/comments
3. GET /api/posts/seed-post-photo-m1-image/comments</t>
        </is>
      </c>
      <c r="K87" s="15" t="inlineStr">
        <is>
          <t>Body: {"content":"x"}</t>
        </is>
      </c>
      <c r="L87" s="15" t="inlineStr">
        <is>
          <t>Lần 1: 404 "Không tìm thấy bài viết". Lần 2: 200, 2 bình luận: của member2 ("Bố cục đẹp quá, màu trời rất có hồn!") trước, của thành viên minh họa ("Cảm ơn bạn đã chia sẻ, rất hữu ích!") sau.</t>
        </is>
      </c>
      <c r="M87" s="15" t="inlineStr"/>
      <c r="N87" s="18" t="inlineStr">
        <is>
          <t>Chưa test</t>
        </is>
      </c>
      <c r="O87" s="15" t="inlineStr"/>
      <c r="P87" s="15" t="inlineStr"/>
      <c r="Q87" s="18" t="inlineStr">
        <is>
          <t>Chưa test</t>
        </is>
      </c>
      <c r="R87" s="15" t="inlineStr"/>
    </row>
    <row r="88" ht="45" customHeight="1">
      <c r="A88" s="14" t="inlineStr">
        <is>
          <t>TC-FEED-087</t>
        </is>
      </c>
      <c r="B88" s="15" t="inlineStr">
        <is>
          <t>Bảng tin &amp; Tương tác cộng đồng</t>
        </is>
      </c>
      <c r="C88" s="15" t="inlineStr">
        <is>
          <t>Bình luận</t>
        </is>
      </c>
      <c r="D88" s="15" t="inlineStr">
        <is>
          <t>Trả lời lồng (reply): API hiện chưa hỗ trợ parentId — trường bị bỏ qua, bình luận phẳng</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Đăng nhập member3@sofinhub.test (POST /api/auth/login, lấy accessToken, gắn header Authorization: Bearer).
2. POST comment kèm parentId = id bình luận của member2
3. GET danh sách bình luận</t>
        </is>
      </c>
      <c r="K88" s="15" t="inlineStr">
        <is>
          <t>Body: {"content":"Đồng ý với bạn","parentId":"seed-comment-photo-m2-on-m1-image"}</t>
        </is>
      </c>
      <c r="L88" s="15" t="inlineStr">
        <is>
          <t>201; bình luận được tạo như bình luận cấp 1 (không có trường parentId/replies trong CommentView), xếp cuối danh sách. Ghi nhận: các testcase cũ mô tả 'lồng 1 cấp' nhưng BE/FE không có tính năng này.</t>
        </is>
      </c>
      <c r="M88" s="15" t="inlineStr"/>
      <c r="N88" s="18" t="inlineStr">
        <is>
          <t>Chưa test</t>
        </is>
      </c>
      <c r="O88" s="15" t="inlineStr"/>
      <c r="P88" s="15" t="inlineStr"/>
      <c r="Q88" s="18" t="inlineStr">
        <is>
          <t>Chưa test</t>
        </is>
      </c>
      <c r="R88" s="15" t="inlineStr"/>
    </row>
    <row r="89" ht="45" customHeight="1">
      <c r="A89" s="14" t="inlineStr">
        <is>
          <t>TC-FEED-088</t>
        </is>
      </c>
      <c r="B89" s="15" t="inlineStr">
        <is>
          <t>Bảng tin &amp; Tương tác cộng đồng</t>
        </is>
      </c>
      <c r="C89" s="15" t="inlineStr">
        <is>
          <t>Bình luận</t>
        </is>
      </c>
      <c r="D89" s="15" t="inlineStr">
        <is>
          <t>Trả lời lồng 1 cấp (thụt lề, thông báo cho người được trả lời)</t>
        </is>
      </c>
      <c r="E89" s="15" t="inlineStr">
        <is>
          <t>Chức năng</t>
        </is>
      </c>
      <c r="F89" s="20" t="inlineStr">
        <is>
          <t>Trung bình</t>
        </is>
      </c>
      <c r="G89" s="20" t="inlineStr">
        <is>
          <t>Kế hoạch</t>
        </is>
      </c>
      <c r="H89" s="16" t="inlineStr">
        <is>
          <t>Không</t>
        </is>
      </c>
      <c r="I89"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89" s="15" t="inlineStr">
        <is>
          <t>1. Đăng nhập member3, mở bình luận của bài seed-post-photo-m1-image
2. Bấm "Trả lời" ở bình luận của member2
3. Gửi nội dung</t>
        </is>
      </c>
      <c r="K89" s="15" t="inlineStr">
        <is>
          <t>Nội dung: Đồng ý với bạn</t>
        </is>
      </c>
      <c r="L89" s="15" t="inlineStr">
        <is>
          <t>(Dự kiến) Trả lời hiển thị thụt lề dưới bình luận gốc, member2 nhận thông báo; không cho lồng quá 1 cấp.</t>
        </is>
      </c>
      <c r="M89" s="15" t="inlineStr"/>
      <c r="N89" s="18" t="inlineStr">
        <is>
          <t>Chưa test</t>
        </is>
      </c>
      <c r="O89" s="15" t="inlineStr"/>
      <c r="P89" s="15" t="inlineStr"/>
      <c r="Q89" s="18" t="inlineStr">
        <is>
          <t>Chưa test</t>
        </is>
      </c>
      <c r="R89" s="15" t="inlineStr"/>
    </row>
    <row r="90" ht="90" customHeight="1">
      <c r="A90" s="14" t="inlineStr">
        <is>
          <t>TC-FEED-089</t>
        </is>
      </c>
      <c r="B90" s="15" t="inlineStr">
        <is>
          <t>Bảng tin &amp; Tương tác cộng đồng</t>
        </is>
      </c>
      <c r="C90" s="15" t="inlineStr">
        <is>
          <t>Bình luận</t>
        </is>
      </c>
      <c r="D90" s="15" t="inlineStr">
        <is>
          <t>Sửa bình luận: tác giả sửa được, có editedAt; người khác 403; mod sửa được</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90" s="15" t="inlineStr">
        <is>
          <t>-</t>
        </is>
      </c>
      <c r="L90" s="15" t="inlineStr">
        <is>
          <t>member2: 200 có editedAt, UI hiện "(đã chỉnh sửa)". member3: 403 "Bạn chỉ được sửa bình luận của mình". mod: 200 (mod+ được sửa nội dung người khác, hành vi tạm).</t>
        </is>
      </c>
      <c r="M90" s="15" t="inlineStr"/>
      <c r="N90" s="18" t="inlineStr">
        <is>
          <t>Chưa test</t>
        </is>
      </c>
      <c r="O90" s="15" t="inlineStr"/>
      <c r="P90" s="15" t="inlineStr"/>
      <c r="Q90" s="18" t="inlineStr">
        <is>
          <t>Chưa test</t>
        </is>
      </c>
      <c r="R90" s="15" t="inlineStr"/>
    </row>
    <row r="91" ht="75" customHeight="1">
      <c r="A91" s="14" t="inlineStr">
        <is>
          <t>TC-FEED-090</t>
        </is>
      </c>
      <c r="B91" s="15" t="inlineStr">
        <is>
          <t>Bảng tin &amp; Tương tác cộng đồng</t>
        </is>
      </c>
      <c r="C91" s="15" t="inlineStr">
        <is>
          <t>Bình luận</t>
        </is>
      </c>
      <c r="D91" s="15" t="inlineStr">
        <is>
          <t>Xóa bình luận: tác giả tự xóa giảm commentsCount; commentsCount không âm</t>
        </is>
      </c>
      <c r="E91" s="15" t="inlineStr">
        <is>
          <t>Chức năng</t>
        </is>
      </c>
      <c r="F91" s="16" t="inlineStr">
        <is>
          <t>Cao</t>
        </is>
      </c>
      <c r="G91" s="17" t="inlineStr">
        <is>
          <t>Đã hoàn thiện</t>
        </is>
      </c>
      <c r="H91" s="17" t="inlineStr">
        <is>
          <t>Có</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member3@sofinhub.test (POST /api/auth/login, lấy accessToken, gắn header Authorization: Bearer).
2. POST comment vào seed-post-photo-m1-poll
3. DELETE /api/comments/&lt;id&gt;
4. GET bài
5. DELETE lần 2</t>
        </is>
      </c>
      <c r="K91" s="15" t="inlineStr">
        <is>
          <t>-</t>
        </is>
      </c>
      <c r="L91" s="15" t="inlineStr">
        <is>
          <t>Xóa lần 1: 200 {deleted:true}, commentsCount về giá trị trước. Lần 2: 404 "Không tìm thấy bình luận"; commentsCount không xuống dưới 0.</t>
        </is>
      </c>
      <c r="M91" s="15" t="inlineStr"/>
      <c r="N91" s="18" t="inlineStr">
        <is>
          <t>Chưa test</t>
        </is>
      </c>
      <c r="O91" s="15" t="inlineStr"/>
      <c r="P91" s="15" t="inlineStr"/>
      <c r="Q91" s="18" t="inlineStr">
        <is>
          <t>Chưa test</t>
        </is>
      </c>
      <c r="R91" s="15" t="inlineStr"/>
    </row>
    <row r="92" ht="30" customHeight="1">
      <c r="A92" s="14" t="inlineStr">
        <is>
          <t>TC-FEED-091</t>
        </is>
      </c>
      <c r="B92" s="15" t="inlineStr">
        <is>
          <t>Bảng tin &amp; Tương tác cộng đồng</t>
        </is>
      </c>
      <c r="C92" s="15" t="inlineStr">
        <is>
          <t>Bình luận</t>
        </is>
      </c>
      <c r="D92" s="15" t="inlineStr">
        <is>
          <t>Tác giả bài (member) không xóa được bình luận của người khác trên bài của mình</t>
        </is>
      </c>
      <c r="E92" s="15" t="inlineStr">
        <is>
          <t>Bảo mật</t>
        </is>
      </c>
      <c r="F92" s="20" t="inlineStr">
        <is>
          <t>Trung bình</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DELETE /api/comments/seed-comment-photo-m2-on-m1-image (member1 là chủ bài, member2 là chủ bình luận)</t>
        </is>
      </c>
      <c r="K92" s="15" t="inlineStr">
        <is>
          <t>-</t>
        </is>
      </c>
      <c r="L92" s="15" t="inlineStr">
        <is>
          <t>403 FORBIDDEN, message "Bạn chỉ được xóa bình luận của mình"; bình luận còn nguyên.</t>
        </is>
      </c>
      <c r="M92" s="15" t="inlineStr"/>
      <c r="N92" s="18" t="inlineStr">
        <is>
          <t>Chưa test</t>
        </is>
      </c>
      <c r="O92" s="15" t="inlineStr"/>
      <c r="P92" s="15" t="inlineStr"/>
      <c r="Q92" s="18" t="inlineStr">
        <is>
          <t>Chưa test</t>
        </is>
      </c>
      <c r="R92" s="15" t="inlineStr"/>
    </row>
    <row r="93" ht="45" customHeight="1">
      <c r="A93" s="14" t="inlineStr">
        <is>
          <t>TC-FEED-092</t>
        </is>
      </c>
      <c r="B93" s="15" t="inlineStr">
        <is>
          <t>Bảng tin &amp; Tương tác cộng đồng</t>
        </is>
      </c>
      <c r="C93" s="15" t="inlineStr">
        <is>
          <t>Bình luận</t>
        </is>
      </c>
      <c r="D93" s="15" t="inlineStr">
        <is>
          <t>Mod/cadmin/owner xóa bình luận của member</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Tạo 3 bình luận vào seed-post-photo-2
3. Lần lượt mod, cadmin, owner DELETE mỗi bình luận</t>
        </is>
      </c>
      <c r="K93" s="15" t="inlineStr">
        <is>
          <t>-</t>
        </is>
      </c>
      <c r="L93" s="15" t="inlineStr">
        <is>
          <t>Cả 3 trả 200; commentsCount giảm đúng 3; UI mod thấy nút "Xóa" trên bình luận của người khác, member thường không thấy.</t>
        </is>
      </c>
      <c r="M93" s="15" t="inlineStr"/>
      <c r="N93" s="18" t="inlineStr">
        <is>
          <t>Chưa test</t>
        </is>
      </c>
      <c r="O93" s="15" t="inlineStr"/>
      <c r="P93" s="15" t="inlineStr"/>
      <c r="Q93" s="18" t="inlineStr">
        <is>
          <t>Chưa test</t>
        </is>
      </c>
      <c r="R93" s="15" t="inlineStr"/>
    </row>
    <row r="94" ht="45" customHeight="1">
      <c r="A94" s="14" t="inlineStr">
        <is>
          <t>TC-FEED-093</t>
        </is>
      </c>
      <c r="B94" s="15" t="inlineStr">
        <is>
          <t>Bảng tin &amp; Tương tác cộng đồng</t>
        </is>
      </c>
      <c r="C94" s="15" t="inlineStr">
        <is>
          <t>Bình luận</t>
        </is>
      </c>
      <c r="D94" s="15" t="inlineStr">
        <is>
          <t>IDOR: người ngoài cộng đồng sửa/xóa bình luận qua id bình luận</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PATCH /api/comments/seed-comment-photo-m2-on-m1-image
2. banned DELETE cùng bình luận
3. admin (chưa ghi danh) DELETE cùng bình luận</t>
        </is>
      </c>
      <c r="K94" s="15" t="inlineStr">
        <is>
          <t>Body PATCH: {"content":"hack"}</t>
        </is>
      </c>
      <c r="L94" s="15" t="inlineStr">
        <is>
          <t>Cả ba: 403 FORBIDDEN, message "Bạn cần tham gia cộng đồng này trước"; bình luận không đổi.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TC-FEED-094</t>
        </is>
      </c>
      <c r="B95" s="15" t="inlineStr">
        <is>
          <t>Bảng tin &amp; Tương tác cộng đồng</t>
        </is>
      </c>
      <c r="C95" s="15" t="inlineStr">
        <is>
          <t>Bình luận</t>
        </is>
      </c>
      <c r="D95" s="15" t="inlineStr">
        <is>
          <t>UI: mở bình luận, gửi bình luận mới, Enter/nút Gửi, đếm cập nhật</t>
        </is>
      </c>
      <c r="E95" s="15" t="inlineStr">
        <is>
          <t>Giao diện</t>
        </is>
      </c>
      <c r="F95" s="20" t="inlineStr">
        <is>
          <t>Trung bình</t>
        </is>
      </c>
      <c r="G95" s="17" t="inlineStr">
        <is>
          <t>Đã hoàn thiện</t>
        </is>
      </c>
      <c r="H95" s="17" t="inlineStr">
        <is>
          <t>Có</t>
        </is>
      </c>
      <c r="I9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5" s="15" t="inlineStr">
        <is>
          <t>1. Đăng nhập member3, mở /courses/photo/community
2. Bấm biểu tượng bình luận của bài seed-post-photo-m1-image
3. Gõ vào ô "Viết bình luận…" và gửi</t>
        </is>
      </c>
      <c r="K95" s="15" t="inlineStr">
        <is>
          <t>Nội dung: Ảnh rất có chiều sâu</t>
        </is>
      </c>
      <c r="L95" s="15" t="inlineStr">
        <is>
          <t>Bình luận mới hiện cuối danh sách, số đếm bình luận trên bài tăng từ 2 lên 3, ô nhập được xóa.</t>
        </is>
      </c>
      <c r="M95" s="15" t="inlineStr"/>
      <c r="N95" s="18" t="inlineStr">
        <is>
          <t>Chưa test</t>
        </is>
      </c>
      <c r="O95" s="15" t="inlineStr"/>
      <c r="P95" s="15" t="inlineStr"/>
      <c r="Q95" s="18" t="inlineStr">
        <is>
          <t>Chưa test</t>
        </is>
      </c>
      <c r="R95" s="15" t="inlineStr"/>
    </row>
    <row r="96" ht="60" customHeight="1">
      <c r="A96" s="14" t="inlineStr">
        <is>
          <t>TC-FEED-095</t>
        </is>
      </c>
      <c r="B96" s="15" t="inlineStr">
        <is>
          <t>Bảng tin &amp; Tương tác cộng đồng</t>
        </is>
      </c>
      <c r="C96" s="15" t="inlineStr">
        <is>
          <t>Thích (Like)</t>
        </is>
      </c>
      <c r="D96" s="15" t="inlineStr">
        <is>
          <t>Like lần đầu: liked=true, likesCount +1, tác giả +2 điểm và nhận thông báo post_liked</t>
        </is>
      </c>
      <c r="E96" s="15" t="inlineStr">
        <is>
          <t>Chức năng</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96"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96" s="15" t="inlineStr">
        <is>
          <t>-</t>
        </is>
      </c>
      <c r="L96" s="15" t="inlineStr">
        <is>
          <t>200 {liked:true, likesCount:3}. owner tăng +2 điểm (like_received) và có thông báo type=post_liked, body "Manh Member3 đã thích bài viết của bạn".</t>
        </is>
      </c>
      <c r="M96" s="15" t="inlineStr"/>
      <c r="N96" s="18" t="inlineStr">
        <is>
          <t>Chưa test</t>
        </is>
      </c>
      <c r="O96" s="15" t="inlineStr"/>
      <c r="P96" s="15" t="inlineStr"/>
      <c r="Q96" s="18" t="inlineStr">
        <is>
          <t>Chưa test</t>
        </is>
      </c>
      <c r="R96" s="15" t="inlineStr"/>
    </row>
    <row r="97" ht="45" customHeight="1">
      <c r="A97" s="14" t="inlineStr">
        <is>
          <t>TC-FEED-096</t>
        </is>
      </c>
      <c r="B97" s="15" t="inlineStr">
        <is>
          <t>Bảng tin &amp; Tương tác cộng đồng</t>
        </is>
      </c>
      <c r="C97" s="15" t="inlineStr">
        <is>
          <t>Thích (Like)</t>
        </is>
      </c>
      <c r="D97" s="15" t="inlineStr">
        <is>
          <t>Unlike rồi like lại: likesCount đúng, điểm/thông báo chỉ tính lần đầu (chống farm)</t>
        </is>
      </c>
      <c r="E97" s="15" t="inlineStr">
        <is>
          <t>Chức năng</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member3@sofinhub.test (POST /api/auth/login, lấy accessToken, gắn header Authorization: Bearer).
2. Like bài của owner (đã như trên), unlike, like lại 3 lần
3. Đọc điểm và thông báo của owner</t>
        </is>
      </c>
      <c r="K97" s="15" t="inlineStr">
        <is>
          <t>-</t>
        </is>
      </c>
      <c r="L97" s="15" t="inlineStr">
        <is>
          <t>likesCount sau mỗi bước: +1, -1, +1... khớp số PostLike. Owner chỉ nhận đúng +2 điểm và đúng 1 thông báo post_liked cho cặp (member3, bài).</t>
        </is>
      </c>
      <c r="M97" s="15" t="inlineStr"/>
      <c r="N97" s="18" t="inlineStr">
        <is>
          <t>Chưa test</t>
        </is>
      </c>
      <c r="O97" s="15" t="inlineStr"/>
      <c r="P97" s="15" t="inlineStr"/>
      <c r="Q97" s="18" t="inlineStr">
        <is>
          <t>Chưa test</t>
        </is>
      </c>
      <c r="R97" s="15" t="inlineStr"/>
    </row>
    <row r="98" ht="45" customHeight="1">
      <c r="A98" s="14" t="inlineStr">
        <is>
          <t>TC-FEED-097</t>
        </is>
      </c>
      <c r="B98" s="15" t="inlineStr">
        <is>
          <t>Bảng tin &amp; Tương tác cộng đồng</t>
        </is>
      </c>
      <c r="C98" s="15" t="inlineStr">
        <is>
          <t>Thích (Like)</t>
        </is>
      </c>
      <c r="D98" s="15" t="inlineStr">
        <is>
          <t>Tự like bài của mình: like được nhưng không cộng điểm, không thông báo</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member1@sofinhub.test (POST /api/auth/login, lấy accessToken, gắn header Authorization: Bearer).
2. Ghi điểm, POST /like trên seed-post-photo-m1-poll
3. Đọc điểm + thông báo</t>
        </is>
      </c>
      <c r="K98" s="15" t="inlineStr">
        <is>
          <t>-</t>
        </is>
      </c>
      <c r="L98" s="15" t="inlineStr">
        <is>
          <t>200 {liked:true}; điểm và thông báo của member1 không đổi.</t>
        </is>
      </c>
      <c r="M98" s="15" t="inlineStr"/>
      <c r="N98" s="18" t="inlineStr">
        <is>
          <t>Chưa test</t>
        </is>
      </c>
      <c r="O98" s="15" t="inlineStr"/>
      <c r="P98" s="15" t="inlineStr"/>
      <c r="Q98" s="18" t="inlineStr">
        <is>
          <t>Chưa test</t>
        </is>
      </c>
      <c r="R98" s="15" t="inlineStr"/>
    </row>
    <row r="99" ht="45" customHeight="1">
      <c r="A99" s="14" t="inlineStr">
        <is>
          <t>TC-FEED-098</t>
        </is>
      </c>
      <c r="B99" s="15" t="inlineStr">
        <is>
          <t>Bảng tin &amp; Tương tác cộng đồng</t>
        </is>
      </c>
      <c r="C99" s="15" t="inlineStr">
        <is>
          <t>Thích (Like)</t>
        </is>
      </c>
      <c r="D99" s="15" t="inlineStr">
        <is>
          <t>Like bài của thành viên minh họa: được ghi like nhưng không cộng điểm/thông báo</t>
        </is>
      </c>
      <c r="E99" s="15" t="inlineStr">
        <is>
          <t>Chức năng</t>
        </is>
      </c>
      <c r="F99" s="20" t="inlineStr">
        <is>
          <t>Trung bình</t>
        </is>
      </c>
      <c r="G99" s="17" t="inlineStr">
        <is>
          <t>Đã hoàn thiện</t>
        </is>
      </c>
      <c r="H99" s="17" t="inlineStr">
        <is>
          <t>Có</t>
        </is>
      </c>
      <c r="I9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9" s="15" t="inlineStr">
        <is>
          <t>1. Đăng nhập member3@sofinhub.test (POST /api/auth/login, lấy accessToken, gắn header Authorization: Bearer).
2. POST /api/posts/seed-post-photo-1/like
3. GET bài</t>
        </is>
      </c>
      <c r="K99" s="15" t="inlineStr">
        <is>
          <t>-</t>
        </is>
      </c>
      <c r="L99" s="15" t="inlineStr">
        <is>
          <t>200 {liked:true, likesCount:16}; không tạo PointEvent hay Notification cho tác giả minh họa (isDemo).</t>
        </is>
      </c>
      <c r="M99" s="15" t="inlineStr"/>
      <c r="N99" s="18" t="inlineStr">
        <is>
          <t>Chưa test</t>
        </is>
      </c>
      <c r="O99" s="15" t="inlineStr"/>
      <c r="P99" s="15" t="inlineStr"/>
      <c r="Q99" s="18" t="inlineStr">
        <is>
          <t>Chưa test</t>
        </is>
      </c>
      <c r="R99" s="15" t="inlineStr"/>
    </row>
    <row r="100" ht="45" customHeight="1">
      <c r="A100" s="14" t="inlineStr">
        <is>
          <t>TC-FEED-099</t>
        </is>
      </c>
      <c r="B100" s="15" t="inlineStr">
        <is>
          <t>Bảng tin &amp; Tương tác cộng đồng</t>
        </is>
      </c>
      <c r="C100" s="15" t="inlineStr">
        <is>
          <t>Thích (Like)</t>
        </is>
      </c>
      <c r="D100" s="15" t="inlineStr">
        <is>
          <t>Like đồng thời: 10 request like/unlike song song, likesCount khớp số PostLike</t>
        </is>
      </c>
      <c r="E100" s="15" t="inlineStr">
        <is>
          <t>Tích hợp</t>
        </is>
      </c>
      <c r="F100" s="20" t="inlineStr">
        <is>
          <t>Trung bình</t>
        </is>
      </c>
      <c r="G100" s="17" t="inlineStr">
        <is>
          <t>Đã hoàn thiện</t>
        </is>
      </c>
      <c r="H100" s="20" t="inlineStr">
        <is>
          <t>Một phần</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member2@sofinhub.test (POST /api/auth/login, lấy accessToken, gắn header Authorization: Bearer).
2. Bắn 10 POST /like song song lên seed-post-photo-3
3. GET bài rồi đối chiếu số bản ghi PostLike trong DB</t>
        </is>
      </c>
      <c r="K100" s="15" t="inlineStr">
        <is>
          <t>10 request song song</t>
        </is>
      </c>
      <c r="L100" s="15" t="inlineStr">
        <is>
          <t>likesCount = 9 + (1 nếu số lần toggle lẻ) tương ứng đúng trạng thái like cuối; không âm, không lệch với COUNT(PostLike) (khóa hàng bài FOR UPDATE).</t>
        </is>
      </c>
      <c r="M100" s="15" t="inlineStr"/>
      <c r="N100" s="18" t="inlineStr">
        <is>
          <t>Chưa test</t>
        </is>
      </c>
      <c r="O100" s="15" t="inlineStr"/>
      <c r="P100" s="15" t="inlineStr"/>
      <c r="Q100" s="18" t="inlineStr">
        <is>
          <t>Chưa test</t>
        </is>
      </c>
      <c r="R100" s="15" t="inlineStr"/>
    </row>
    <row r="101" ht="60" customHeight="1">
      <c r="A101" s="14" t="inlineStr">
        <is>
          <t>TC-FEED-100</t>
        </is>
      </c>
      <c r="B101" s="15" t="inlineStr">
        <is>
          <t>Bảng tin &amp; Tương tác cộng đồng</t>
        </is>
      </c>
      <c r="C101" s="15" t="inlineStr">
        <is>
          <t>Thích (Like)</t>
        </is>
      </c>
      <c r="D101" s="15" t="inlineStr">
        <is>
          <t>Like bài không tồn tại 404; ngoài cộng đồng 403; không token 401</t>
        </is>
      </c>
      <c r="E101" s="15" t="inlineStr">
        <is>
          <t>Bảo mật</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member1 POST /api/posts/khong-co/like
2. newbie POST /api/posts/seed-post-photo-1/like
3. banned POST like
4. không token POST like</t>
        </is>
      </c>
      <c r="K101" s="15" t="inlineStr">
        <is>
          <t>-</t>
        </is>
      </c>
      <c r="L101" s="15" t="inlineStr">
        <is>
          <t>404 "Không tìm thấy bài viết"; newbie và banned: 403 FORBIDDEN, message "Bạn cần tham gia cộng đồng này trước"; không token: 401 UNAUTHORIZED, message "Vui lòng đăng nhập để tiếp tục".</t>
        </is>
      </c>
      <c r="M101" s="15" t="inlineStr"/>
      <c r="N101" s="18" t="inlineStr">
        <is>
          <t>Chưa test</t>
        </is>
      </c>
      <c r="O101" s="15" t="inlineStr"/>
      <c r="P101" s="15" t="inlineStr"/>
      <c r="Q101" s="18" t="inlineStr">
        <is>
          <t>Chưa test</t>
        </is>
      </c>
      <c r="R101" s="15" t="inlineStr"/>
    </row>
    <row r="102" ht="60" customHeight="1">
      <c r="A102" s="14" t="inlineStr">
        <is>
          <t>TC-FEED-101</t>
        </is>
      </c>
      <c r="B102" s="15" t="inlineStr">
        <is>
          <t>Bảng tin &amp; Tương tác cộng đồng</t>
        </is>
      </c>
      <c r="C102" s="15" t="inlineStr">
        <is>
          <t>Thích (Like)</t>
        </is>
      </c>
      <c r="D102" s="15" t="inlineStr">
        <is>
          <t>UI: nút tim đổi trạng thái và số đếm ngay, tải lại vẫn giữ (viewerLiked)</t>
        </is>
      </c>
      <c r="E102" s="15" t="inlineStr">
        <is>
          <t>Giao diện</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Đăng nhập member2, mở bài seed-post-photo-3 trong /courses/photo/community
2. Bấm tim (like)
3. Tải lại trang
4. Bấm tim lần nữa (unlike)</t>
        </is>
      </c>
      <c r="K102" s="15" t="inlineStr">
        <is>
          <t>-</t>
        </is>
      </c>
      <c r="L102" s="15" t="inlineStr">
        <is>
          <t>Số like 9 -&gt; 10 với tim đặc/màu; tải lại vẫn ở trạng thái đã thích (viewerLiked=true); unlike về 9.</t>
        </is>
      </c>
      <c r="M102" s="15" t="inlineStr"/>
      <c r="N102" s="18" t="inlineStr">
        <is>
          <t>Chưa test</t>
        </is>
      </c>
      <c r="O102" s="15" t="inlineStr"/>
      <c r="P102" s="15" t="inlineStr"/>
      <c r="Q102" s="18" t="inlineStr">
        <is>
          <t>Chưa test</t>
        </is>
      </c>
      <c r="R102" s="15" t="inlineStr"/>
    </row>
    <row r="103" ht="45" customHeight="1">
      <c r="A103" s="14" t="inlineStr">
        <is>
          <t>TC-FEED-102</t>
        </is>
      </c>
      <c r="B103" s="15" t="inlineStr">
        <is>
          <t>Bảng tin &amp; Tương tác cộng đồng</t>
        </is>
      </c>
      <c r="C103" s="15" t="inlineStr">
        <is>
          <t>Báo cáo nội dung</t>
        </is>
      </c>
      <c r="D103" s="15" t="inlineStr">
        <is>
          <t>Báo cáo bài với lý do hợp lệ: 201, ReportView status=open</t>
        </is>
      </c>
      <c r="E103" s="15" t="inlineStr">
        <is>
          <t>Chức năng</t>
        </is>
      </c>
      <c r="F103" s="16" t="inlineStr">
        <is>
          <t>Cao</t>
        </is>
      </c>
      <c r="G103" s="17" t="inlineStr">
        <is>
          <t>Đã hoàn thiện</t>
        </is>
      </c>
      <c r="H103" s="17" t="inlineStr">
        <is>
          <t>Có</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member2@sofinhub.test (POST /api/auth/login, lấy accessToken, gắn header Authorization: Bearer).
2. POST /api/posts/seed-post-photo-1/report
3. Đăng nhập mod, GET /api/courses/photo/reports?status=open</t>
        </is>
      </c>
      <c r="K103" s="15" t="inlineStr">
        <is>
          <t>Body: {"reason":"misinformation","detail":"Thông tin sai lệch"}</t>
        </is>
      </c>
      <c r="L103" s="15" t="inlineStr">
        <is>
          <t>201; data.status="open", targetType="post", targetId=seed-post-photo-1, reason="misinformation", targetExcerpt là trích đoạn nội dung; hàng đợi mod có thêm báo cáo này (cùng báo cáo seed-report-photo-open của member3).</t>
        </is>
      </c>
      <c r="M103" s="15" t="inlineStr"/>
      <c r="N103" s="18" t="inlineStr">
        <is>
          <t>Chưa test</t>
        </is>
      </c>
      <c r="O103" s="15" t="inlineStr"/>
      <c r="P103" s="15" t="inlineStr"/>
      <c r="Q103" s="18" t="inlineStr">
        <is>
          <t>Chưa test</t>
        </is>
      </c>
      <c r="R103" s="15" t="inlineStr"/>
    </row>
    <row r="104" ht="30" customHeight="1">
      <c r="A104" s="14" t="inlineStr">
        <is>
          <t>TC-FEED-103</t>
        </is>
      </c>
      <c r="B104" s="15" t="inlineStr">
        <is>
          <t>Bảng tin &amp; Tương tác cộng đồng</t>
        </is>
      </c>
      <c r="C104" s="15" t="inlineStr">
        <is>
          <t>Báo cáo nội dung</t>
        </is>
      </c>
      <c r="D104" s="15" t="inlineStr">
        <is>
          <t>Báo cáo bài với đủ 5 lý do: spam, harassment, inappropriate, misinformation, other</t>
        </is>
      </c>
      <c r="E104" s="15" t="inlineStr">
        <is>
          <t>Chức năng</t>
        </is>
      </c>
      <c r="F104" s="20" t="inlineStr">
        <is>
          <t>Trung bình</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member1..member3, mod, cadmin lần lượt báo cáo cùng bài seed-post-photo-2 với 5 lý do khác nhau</t>
        </is>
      </c>
      <c r="K104" s="15" t="inlineStr">
        <is>
          <t>reason: spam | harassment | inappropriate | misinformation | other</t>
        </is>
      </c>
      <c r="L104" s="15" t="inlineStr">
        <is>
          <t>Cả 5 lần 201, mỗi lần một Report riêng (mỗi người chỉ được báo cáo 1 lần).</t>
        </is>
      </c>
      <c r="M104" s="15" t="inlineStr"/>
      <c r="N104" s="18" t="inlineStr">
        <is>
          <t>Chưa test</t>
        </is>
      </c>
      <c r="O104" s="15" t="inlineStr"/>
      <c r="P104" s="15" t="inlineStr"/>
      <c r="Q104" s="18" t="inlineStr">
        <is>
          <t>Chưa test</t>
        </is>
      </c>
      <c r="R104" s="15" t="inlineStr"/>
    </row>
    <row r="105" ht="75" customHeight="1">
      <c r="A105" s="14" t="inlineStr">
        <is>
          <t>TC-FEED-104</t>
        </is>
      </c>
      <c r="B105" s="15" t="inlineStr">
        <is>
          <t>Bảng tin &amp; Tương tác cộng đồng</t>
        </is>
      </c>
      <c r="C105" s="15" t="inlineStr">
        <is>
          <t>Báo cáo nội dung</t>
        </is>
      </c>
      <c r="D105" s="15" t="inlineStr">
        <is>
          <t>Lý do không hợp lệ hoặc thiếu, chi tiết &gt; 1000 ký tự bị 400</t>
        </is>
      </c>
      <c r="E105" s="15" t="inlineStr">
        <is>
          <t>Chức năng</t>
        </is>
      </c>
      <c r="F105" s="20" t="inlineStr">
        <is>
          <t>Trung bình</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POST report với reason="ghét"
3. POST report thiếu reason
4. POST report detail 1001 ký tự
5. POST report detail đúng 1000 ký tự</t>
        </is>
      </c>
      <c r="K105" s="15" t="inlineStr">
        <is>
          <t>reason: "ghét" | thiếu | detail 1001/1000</t>
        </is>
      </c>
      <c r="L105" s="15" t="inlineStr">
        <is>
          <t>3 lần đầu: 400 VALIDATION_ERROR, message "Tham số không hợp lệ" (chi tiết lỗi từng trường nằm trong error.details) ("Lý do báo cáo không hợp lệ" cho reason). Detail 1000 ký tự: 201.</t>
        </is>
      </c>
      <c r="M105" s="15" t="inlineStr"/>
      <c r="N105" s="18" t="inlineStr">
        <is>
          <t>Chưa test</t>
        </is>
      </c>
      <c r="O105" s="15" t="inlineStr"/>
      <c r="P105" s="15" t="inlineStr"/>
      <c r="Q105" s="18" t="inlineStr">
        <is>
          <t>Chưa test</t>
        </is>
      </c>
      <c r="R105" s="15" t="inlineStr"/>
    </row>
    <row r="106" ht="30" customHeight="1">
      <c r="A106" s="14" t="inlineStr">
        <is>
          <t>TC-FEED-105</t>
        </is>
      </c>
      <c r="B106" s="15" t="inlineStr">
        <is>
          <t>Bảng tin &amp; Tương tác cộng đồng</t>
        </is>
      </c>
      <c r="C106" s="15" t="inlineStr">
        <is>
          <t>Báo cáo nội dung</t>
        </is>
      </c>
      <c r="D106" s="15" t="inlineStr">
        <is>
          <t>Báo cáo trùng cùng bài/cùng người: 409 "Bạn đã báo cáo mục này rồi"</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member3@sofinhub.test (POST /api/auth/login, lấy accessToken, gắn header Authorization: Bearer).
2. POST /api/posts/seed-post-photo-m1-image/report (member3 đã báo cáo ở seed)</t>
        </is>
      </c>
      <c r="K106" s="15" t="inlineStr">
        <is>
          <t>Body: {"reason":"spam"}</t>
        </is>
      </c>
      <c r="L106" s="15" t="inlineStr">
        <is>
          <t>409 CONFLICT, message "Bạn đã báo cáo mục này rồi"; số báo cáo của bài không tăng.</t>
        </is>
      </c>
      <c r="M106" s="15" t="inlineStr"/>
      <c r="N106" s="18" t="inlineStr">
        <is>
          <t>Chưa test</t>
        </is>
      </c>
      <c r="O106" s="15" t="inlineStr"/>
      <c r="P106" s="15" t="inlineStr"/>
      <c r="Q106" s="18" t="inlineStr">
        <is>
          <t>Chưa test</t>
        </is>
      </c>
      <c r="R106" s="15" t="inlineStr"/>
    </row>
    <row r="107" ht="30" customHeight="1">
      <c r="A107" s="14" t="inlineStr">
        <is>
          <t>TC-FEED-106</t>
        </is>
      </c>
      <c r="B107" s="15" t="inlineStr">
        <is>
          <t>Bảng tin &amp; Tương tác cộng đồng</t>
        </is>
      </c>
      <c r="C107" s="15" t="inlineStr">
        <is>
          <t>Báo cáo nội dung</t>
        </is>
      </c>
      <c r="D107" s="15" t="inlineStr">
        <is>
          <t>Hai request báo cáo song song cùng (người, bài): đúng 1 thành công, 1 bị 409</t>
        </is>
      </c>
      <c r="E107" s="15" t="inlineStr">
        <is>
          <t>Tích hợp</t>
        </is>
      </c>
      <c r="F107" s="20" t="inlineStr">
        <is>
          <t>Trung bình</t>
        </is>
      </c>
      <c r="G107" s="17" t="inlineStr">
        <is>
          <t>Đã hoàn thiện</t>
        </is>
      </c>
      <c r="H107" s="20" t="inlineStr">
        <is>
          <t>Một phần</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Gửi song song 2 POST /api/posts/seed-post-photo-3/report cùng body</t>
        </is>
      </c>
      <c r="K107" s="15" t="inlineStr">
        <is>
          <t>Body: {"reason":"spam"}</t>
        </is>
      </c>
      <c r="L107" s="15" t="inlineStr">
        <is>
          <t>Một 201, một 409 "Bạn đã báo cáo mục này rồi" (unique index chặn ở DB); chỉ 1 bản ghi Report.</t>
        </is>
      </c>
      <c r="M107" s="15" t="inlineStr"/>
      <c r="N107" s="18" t="inlineStr">
        <is>
          <t>Chưa test</t>
        </is>
      </c>
      <c r="O107" s="15" t="inlineStr"/>
      <c r="P107" s="15" t="inlineStr"/>
      <c r="Q107" s="18" t="inlineStr">
        <is>
          <t>Chưa test</t>
        </is>
      </c>
      <c r="R107" s="15" t="inlineStr"/>
    </row>
    <row r="108" ht="60" customHeight="1">
      <c r="A108" s="14" t="inlineStr">
        <is>
          <t>TC-FEED-107</t>
        </is>
      </c>
      <c r="B108" s="15" t="inlineStr">
        <is>
          <t>Bảng tin &amp; Tương tác cộng đồng</t>
        </is>
      </c>
      <c r="C108" s="15" t="inlineStr">
        <is>
          <t>Báo cáo nội dung</t>
        </is>
      </c>
      <c r="D108" s="15" t="inlineStr">
        <is>
          <t>Tự báo cáo bài/bình luận của mình bị 400</t>
        </is>
      </c>
      <c r="E108" s="15" t="inlineStr">
        <is>
          <t>Chức năng</t>
        </is>
      </c>
      <c r="F108" s="16" t="inlineStr">
        <is>
          <t>Cao</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108" s="15" t="inlineStr">
        <is>
          <t>Body: {"reason":"spam"}</t>
        </is>
      </c>
      <c r="L108" s="15" t="inlineStr">
        <is>
          <t>Cả hai: 400 BAD_REQUEST, message "Bạn không thể báo cáo chính mình hoặc nội dung của mình".</t>
        </is>
      </c>
      <c r="M108" s="15" t="inlineStr"/>
      <c r="N108" s="18" t="inlineStr">
        <is>
          <t>Chưa test</t>
        </is>
      </c>
      <c r="O108" s="15" t="inlineStr"/>
      <c r="P108" s="15" t="inlineStr"/>
      <c r="Q108" s="18" t="inlineStr">
        <is>
          <t>Chưa test</t>
        </is>
      </c>
      <c r="R108" s="15" t="inlineStr"/>
    </row>
    <row r="109" ht="45" customHeight="1">
      <c r="A109" s="14" t="inlineStr">
        <is>
          <t>TC-FEED-108</t>
        </is>
      </c>
      <c r="B109" s="15" t="inlineStr">
        <is>
          <t>Bảng tin &amp; Tương tác cộng đồng</t>
        </is>
      </c>
      <c r="C109" s="15" t="inlineStr">
        <is>
          <t>Báo cáo nội dung</t>
        </is>
      </c>
      <c r="D109" s="15" t="inlineStr">
        <is>
          <t>Báo cáo bình luận: 201 và người xử lý nhận đúng targetType=comment</t>
        </is>
      </c>
      <c r="E109" s="15" t="inlineStr">
        <is>
          <t>Chức năng</t>
        </is>
      </c>
      <c r="F109" s="16" t="inlineStr">
        <is>
          <t>Cao</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member3@sofinhub.test (POST /api/auth/login, lấy accessToken, gắn header Authorization: Bearer).
2. POST /api/comments/seed-comment-photo-demo-on-m1-image/report {"reason":"spam"}
3. mod GET /api/courses/photo/reports?status=open</t>
        </is>
      </c>
      <c r="K109" s="15" t="inlineStr">
        <is>
          <t>-</t>
        </is>
      </c>
      <c r="L109" s="15" t="inlineStr">
        <is>
          <t>201; targetType="comment", targetExcerpt="Cảm ơn bạn đã chia sẻ, rất hữu ích!". Hàng đợi hiển thị báo cáo bình luận (không có link tới bài chứa — giới hạn đã biết).</t>
        </is>
      </c>
      <c r="M109" s="15" t="inlineStr"/>
      <c r="N109" s="18" t="inlineStr">
        <is>
          <t>Chưa test</t>
        </is>
      </c>
      <c r="O109" s="15" t="inlineStr"/>
      <c r="P109" s="15" t="inlineStr"/>
      <c r="Q109" s="18" t="inlineStr">
        <is>
          <t>Chưa test</t>
        </is>
      </c>
      <c r="R109" s="15" t="inlineStr"/>
    </row>
    <row r="110" ht="45" customHeight="1">
      <c r="A110" s="14" t="inlineStr">
        <is>
          <t>TC-FEED-109</t>
        </is>
      </c>
      <c r="B110" s="15" t="inlineStr">
        <is>
          <t>Bảng tin &amp; Tương tác cộng đồng</t>
        </is>
      </c>
      <c r="C110" s="15" t="inlineStr">
        <is>
          <t>Báo cáo nội dung</t>
        </is>
      </c>
      <c r="D110" s="15" t="inlineStr">
        <is>
          <t>Người ngoài cộng đồng, banned, khách không báo cáo được</t>
        </is>
      </c>
      <c r="E110" s="15" t="inlineStr">
        <is>
          <t>Bảo mật</t>
        </is>
      </c>
      <c r="F110" s="16" t="inlineStr">
        <is>
          <t>Cao</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newbie POST /api/posts/seed-post-photo-1/report
2. banned POST cùng
3. không token POST cùng</t>
        </is>
      </c>
      <c r="K110" s="15" t="inlineStr">
        <is>
          <t>Body: {"reason":"spam"}</t>
        </is>
      </c>
      <c r="L110" s="15" t="inlineStr">
        <is>
          <t>newbie, banned: 403 FORBIDDEN, message "Bạn cần tham gia cộng đồng này trước". Không token: 401 UNAUTHORIZED, message "Vui lòng đăng nhập để tiếp tục".</t>
        </is>
      </c>
      <c r="M110" s="15" t="inlineStr"/>
      <c r="N110" s="18" t="inlineStr">
        <is>
          <t>Chưa test</t>
        </is>
      </c>
      <c r="O110" s="15" t="inlineStr"/>
      <c r="P110" s="15" t="inlineStr"/>
      <c r="Q110" s="18" t="inlineStr">
        <is>
          <t>Chưa test</t>
        </is>
      </c>
      <c r="R110" s="15" t="inlineStr"/>
    </row>
    <row r="111" ht="45" customHeight="1">
      <c r="A111" s="14" t="inlineStr">
        <is>
          <t>TC-FEED-110</t>
        </is>
      </c>
      <c r="B111" s="15" t="inlineStr">
        <is>
          <t>Bảng tin &amp; Tương tác cộng đồng</t>
        </is>
      </c>
      <c r="C111" s="15" t="inlineStr">
        <is>
          <t>Báo cáo nội dung</t>
        </is>
      </c>
      <c r="D111" s="15" t="inlineStr">
        <is>
          <t>Báo cáo bài đã xóa hoặc không tồn tại trả 404</t>
        </is>
      </c>
      <c r="E111" s="15" t="inlineStr">
        <is>
          <t>Chức năng</t>
        </is>
      </c>
      <c r="F111" s="17" t="inlineStr">
        <is>
          <t>Thấp</t>
        </is>
      </c>
      <c r="G111" s="17" t="inlineStr">
        <is>
          <t>Đã hoàn thiện</t>
        </is>
      </c>
      <c r="H111" s="17" t="inlineStr">
        <is>
          <t>Có</t>
        </is>
      </c>
      <c r="I111" s="15" t="inlineStr">
        <is>
          <t>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POST /api/posts/khong-co/report
3. POST /api/comments/khong-co/report</t>
        </is>
      </c>
      <c r="K111" s="15" t="inlineStr">
        <is>
          <t>Body: {"reason":"spam"}</t>
        </is>
      </c>
      <c r="L111" s="15" t="inlineStr">
        <is>
          <t>Bài: 404 "Không tìm thấy bài viết". Bình luận: 404 "Không tìm thấy bình luận".</t>
        </is>
      </c>
      <c r="M111" s="15" t="inlineStr"/>
      <c r="N111" s="18" t="inlineStr">
        <is>
          <t>Chưa test</t>
        </is>
      </c>
      <c r="O111" s="15" t="inlineStr"/>
      <c r="P111" s="15" t="inlineStr"/>
      <c r="Q111" s="18" t="inlineStr">
        <is>
          <t>Chưa test</t>
        </is>
      </c>
      <c r="R111" s="15" t="inlineStr"/>
    </row>
    <row r="112" ht="45" customHeight="1">
      <c r="A112" s="14" t="inlineStr">
        <is>
          <t>TC-FEED-111</t>
        </is>
      </c>
      <c r="B112" s="15" t="inlineStr">
        <is>
          <t>Bảng tin &amp; Tương tác cộng đồng</t>
        </is>
      </c>
      <c r="C112" s="15" t="inlineStr">
        <is>
          <t>Báo cáo nội dung</t>
        </is>
      </c>
      <c r="D112" s="15" t="inlineStr">
        <is>
          <t>UI: hộp thoại "Báo cáo bài viết" chọn lý do, gửi và toast; báo lần 2 hiện lỗi đỏ</t>
        </is>
      </c>
      <c r="E112" s="15" t="inlineStr">
        <is>
          <t>Giao diện</t>
        </is>
      </c>
      <c r="F112" s="16" t="inlineStr">
        <is>
          <t>Cao</t>
        </is>
      </c>
      <c r="G112" s="17" t="inlineStr">
        <is>
          <t>Đã hoàn thiện</t>
        </is>
      </c>
      <c r="H112" s="17" t="inlineStr">
        <is>
          <t>Có</t>
        </is>
      </c>
      <c r="I11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2" s="15" t="inlineStr">
        <is>
          <t>1. Đăng nhập member2, mở menu "…" của seed-post-photo-2 &gt; "Báo cáo"
2. Chọn radio "spam" (nhãn tiếng Việt), nhập chi tiết, bấm gửi
3. Lặp lại báo cáo cùng bài</t>
        </is>
      </c>
      <c r="K112" s="15" t="inlineStr">
        <is>
          <t>Chi tiết: Nội dung quảng cáo</t>
        </is>
      </c>
      <c r="L112" s="15" t="inlineStr">
        <is>
          <t>Lần 1: toast "Đã gửi báo cáo, quản trị viên sẽ xem xét", hộp thoại đóng. Lần 2: chữ đỏ "Bạn đã báo cáo mục này rồi" trong hộp thoại, không đóng.</t>
        </is>
      </c>
      <c r="M112" s="15" t="inlineStr"/>
      <c r="N112" s="18" t="inlineStr">
        <is>
          <t>Chưa test</t>
        </is>
      </c>
      <c r="O112" s="15" t="inlineStr"/>
      <c r="P112" s="15" t="inlineStr"/>
      <c r="Q112" s="18" t="inlineStr">
        <is>
          <t>Chưa test</t>
        </is>
      </c>
      <c r="R112" s="15" t="inlineStr"/>
    </row>
    <row r="113" ht="90" customHeight="1">
      <c r="A113" s="14" t="inlineStr">
        <is>
          <t>TC-FEED-112</t>
        </is>
      </c>
      <c r="B113" s="15" t="inlineStr">
        <is>
          <t>Bảng tin &amp; Tương tác cộng đồng</t>
        </is>
      </c>
      <c r="C113" s="15" t="inlineStr">
        <is>
          <t>Báo cáo nội dung</t>
        </is>
      </c>
      <c r="D113" s="15" t="inlineStr">
        <is>
          <t>Xử lý báo cáo seed 'open' bằng ẩn nội dung: bài ẩn, người báo cáo nhận report_resolved</t>
        </is>
      </c>
      <c r="E113" s="15" t="inlineStr">
        <is>
          <t>Tích hợp</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113" s="15" t="inlineStr">
        <is>
          <t>-</t>
        </is>
      </c>
      <c r="L113"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113" s="15" t="inlineStr"/>
      <c r="N113" s="18" t="inlineStr">
        <is>
          <t>Chưa test</t>
        </is>
      </c>
      <c r="O113" s="15" t="inlineStr"/>
      <c r="P113" s="15" t="inlineStr"/>
      <c r="Q113" s="18" t="inlineStr">
        <is>
          <t>Chưa test</t>
        </is>
      </c>
      <c r="R113" s="15" t="inlineStr"/>
    </row>
    <row r="114" ht="30" customHeight="1">
      <c r="A114" s="14" t="inlineStr">
        <is>
          <t>TC-FEED-113</t>
        </is>
      </c>
      <c r="B114" s="15" t="inlineStr">
        <is>
          <t>Bảng tin &amp; Tương tác cộng đồng</t>
        </is>
      </c>
      <c r="C114" s="15" t="inlineStr">
        <is>
          <t>Chia sẻ bài viết</t>
        </is>
      </c>
      <c r="D114" s="15" t="inlineStr">
        <is>
          <t>GET /share trả url, title, excerpt đúng định dạng</t>
        </is>
      </c>
      <c r="E114" s="15" t="inlineStr">
        <is>
          <t>Chức năng</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member2@sofinhub.test (POST /api/auth/login, lấy accessToken, gắn header Authorization: Bearer).
2. GET /api/posts/seed-post-photo-m1-image/share</t>
        </is>
      </c>
      <c r="K114" s="15" t="inlineStr">
        <is>
          <t>-</t>
        </is>
      </c>
      <c r="L114" s="15" t="inlineStr">
        <is>
          <t>200; url="/courses/photo/community?post=seed-post-photo-m1-image", title="Minh Member1 — Case study", excerpt là toàn bộ nội dung (dưới 140 ký tự).</t>
        </is>
      </c>
      <c r="M114" s="15" t="inlineStr"/>
      <c r="N114" s="18" t="inlineStr">
        <is>
          <t>Chưa test</t>
        </is>
      </c>
      <c r="O114" s="15" t="inlineStr"/>
      <c r="P114" s="15" t="inlineStr"/>
      <c r="Q114" s="18" t="inlineStr">
        <is>
          <t>Chưa test</t>
        </is>
      </c>
      <c r="R114" s="15" t="inlineStr"/>
    </row>
    <row r="115" ht="45" customHeight="1">
      <c r="A115" s="14" t="inlineStr">
        <is>
          <t>TC-FEED-114</t>
        </is>
      </c>
      <c r="B115" s="15" t="inlineStr">
        <is>
          <t>Bảng tin &amp; Tương tác cộng đồng</t>
        </is>
      </c>
      <c r="C115" s="15" t="inlineStr">
        <is>
          <t>Chia sẻ bài viết</t>
        </is>
      </c>
      <c r="D115" s="15" t="inlineStr">
        <is>
          <t>Excerpt cắt tại 140 ký tự và thêm dấu … với bài dài</t>
        </is>
      </c>
      <c r="E115" s="15" t="inlineStr">
        <is>
          <t>Chức năng</t>
        </is>
      </c>
      <c r="F115" s="17" t="inlineStr">
        <is>
          <t>Thấp</t>
        </is>
      </c>
      <c r="G115" s="17" t="inlineStr">
        <is>
          <t>Đã hoàn thiện</t>
        </is>
      </c>
      <c r="H115" s="17" t="inlineStr">
        <is>
          <t>Có</t>
        </is>
      </c>
      <c r="I115" s="15" t="inlineStr">
        <is>
          <t>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Tạo bài 500 ký tự
3. GET /share</t>
        </is>
      </c>
      <c r="K115" s="15" t="inlineStr">
        <is>
          <t>content: 'x' * 500</t>
        </is>
      </c>
      <c r="L115" s="15" t="inlineStr">
        <is>
          <t>excerpt có 140 ký tự, ký tự cuối là "…" (139 ký tự đầu + …).</t>
        </is>
      </c>
      <c r="M115" s="15" t="inlineStr"/>
      <c r="N115" s="18" t="inlineStr">
        <is>
          <t>Chưa test</t>
        </is>
      </c>
      <c r="O115" s="15" t="inlineStr"/>
      <c r="P115" s="15" t="inlineStr"/>
      <c r="Q115" s="18" t="inlineStr">
        <is>
          <t>Chưa test</t>
        </is>
      </c>
      <c r="R115" s="15" t="inlineStr"/>
    </row>
    <row r="116" ht="30" customHeight="1">
      <c r="A116" s="14" t="inlineStr">
        <is>
          <t>TC-FEED-115</t>
        </is>
      </c>
      <c r="B116" s="15" t="inlineStr">
        <is>
          <t>Bảng tin &amp; Tương tác cộng đồng</t>
        </is>
      </c>
      <c r="C116" s="15" t="inlineStr">
        <is>
          <t>Chia sẻ bài viết</t>
        </is>
      </c>
      <c r="D116" s="15" t="inlineStr">
        <is>
          <t>Mở link chia sẻ bằng thành viên: cuộn tới bài, hiện khối "Bài viết được chia sẻ với bạn" nếu ngoài trang đầu</t>
        </is>
      </c>
      <c r="E116" s="15" t="inlineStr">
        <is>
          <t>Giao diện</t>
        </is>
      </c>
      <c r="F116" s="16" t="inlineStr">
        <is>
          <t>Cao</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member3, mở /courses/photo/community?post=seed-post-photo-3
2. Tạo trước 12 bài mới bằng API để bài seed nằm ngoài trang đầu, tải lại link</t>
        </is>
      </c>
      <c r="K116" s="15" t="inlineStr">
        <is>
          <t>-</t>
        </is>
      </c>
      <c r="L116" s="15" t="inlineStr">
        <is>
          <t>Trang cuộn tới bài và viền cam nổi bật; nếu không ở trang đầu, khối "Bài viết được chia sẻ với bạn" ở đầu (tải bằng GET /api/posts/:id) có nút "Đóng" bỏ tham số ?post.</t>
        </is>
      </c>
      <c r="M116" s="15" t="inlineStr"/>
      <c r="N116" s="18" t="inlineStr">
        <is>
          <t>Chưa test</t>
        </is>
      </c>
      <c r="O116" s="15" t="inlineStr"/>
      <c r="P116" s="15" t="inlineStr"/>
      <c r="Q116" s="18" t="inlineStr">
        <is>
          <t>Chưa test</t>
        </is>
      </c>
      <c r="R116" s="15" t="inlineStr"/>
    </row>
    <row r="117" ht="30" customHeight="1">
      <c r="A117" s="14" t="inlineStr">
        <is>
          <t>TC-FEED-116</t>
        </is>
      </c>
      <c r="B117" s="15" t="inlineStr">
        <is>
          <t>Bảng tin &amp; Tương tác cộng đồng</t>
        </is>
      </c>
      <c r="C117" s="15" t="inlineStr">
        <is>
          <t>Chia sẻ bài viết</t>
        </is>
      </c>
      <c r="D117" s="15" t="inlineStr">
        <is>
          <t>Link chia sẻ tới bài đã xóa/đã ẩn (với người thường): báo không mở được</t>
        </is>
      </c>
      <c r="E117" s="15" t="inlineStr">
        <is>
          <t>Giao diện</t>
        </is>
      </c>
      <c r="F117" s="20" t="inlineStr">
        <is>
          <t>Trung bình</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Đăng nhập member2, mở /courses/photo/community?post=seed-post-photo-m1-hidden
2. Mở /courses/photo/community?post=khong-co</t>
        </is>
      </c>
      <c r="K117" s="15" t="inlineStr">
        <is>
          <t>-</t>
        </is>
      </c>
      <c r="L117" s="15" t="inlineStr">
        <is>
          <t>Hiện thông báo "Không mở được bài viết này…"; API trả 404; không lộ nội dung bài ẩn.</t>
        </is>
      </c>
      <c r="M117" s="15" t="inlineStr"/>
      <c r="N117" s="18" t="inlineStr">
        <is>
          <t>Chưa test</t>
        </is>
      </c>
      <c r="O117" s="15" t="inlineStr"/>
      <c r="P117" s="15" t="inlineStr"/>
      <c r="Q117" s="18" t="inlineStr">
        <is>
          <t>Chưa test</t>
        </is>
      </c>
      <c r="R117" s="15" t="inlineStr"/>
    </row>
    <row r="118" ht="45" customHeight="1">
      <c r="A118" s="14" t="inlineStr">
        <is>
          <t>TC-FEED-117</t>
        </is>
      </c>
      <c r="B118" s="15" t="inlineStr">
        <is>
          <t>Bảng tin &amp; Tương tác cộng đồng</t>
        </is>
      </c>
      <c r="C118" s="15" t="inlineStr">
        <is>
          <t>Chia sẻ bài viết</t>
        </is>
      </c>
      <c r="D118" s="15" t="inlineStr">
        <is>
          <t>Người ngoài cộng đồng mở link chia sẻ: 403, không xem được nội dung</t>
        </is>
      </c>
      <c r="E118" s="15" t="inlineStr">
        <is>
          <t>Bảo mật</t>
        </is>
      </c>
      <c r="F118" s="16" t="inlineStr">
        <is>
          <t>Cao</t>
        </is>
      </c>
      <c r="G118" s="17" t="inlineStr">
        <is>
          <t>Đã hoàn thiện</t>
        </is>
      </c>
      <c r="H118" s="17" t="inlineStr">
        <is>
          <t>Có</t>
        </is>
      </c>
      <c r="I11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8" s="15" t="inlineStr">
        <is>
          <t>1. newbie GET /api/posts/seed-post-photo-1
2. newbie GET /api/posts/seed-post-photo-1/share
3. Khách (chưa đăng nhập) mở /courses/photo/community?post=seed-post-photo-1</t>
        </is>
      </c>
      <c r="K118" s="15" t="inlineStr">
        <is>
          <t>-</t>
        </is>
      </c>
      <c r="L118" s="15" t="inlineStr">
        <is>
          <t>API: 403 FORBIDDEN, message "Bạn cần tham gia cộng đồng này trước" cho hai request đầu. Khách: chuyển tới đăng nhập/không thấy nội dung bài.</t>
        </is>
      </c>
      <c r="M118" s="15" t="inlineStr"/>
      <c r="N118" s="18" t="inlineStr">
        <is>
          <t>Chưa test</t>
        </is>
      </c>
      <c r="O118" s="15" t="inlineStr"/>
      <c r="P118" s="15" t="inlineStr"/>
      <c r="Q118" s="18" t="inlineStr">
        <is>
          <t>Chưa test</t>
        </is>
      </c>
      <c r="R118" s="15" t="inlineStr"/>
    </row>
    <row r="119" ht="45" customHeight="1">
      <c r="A119" s="14" t="inlineStr">
        <is>
          <t>TC-FEED-118</t>
        </is>
      </c>
      <c r="B119" s="15" t="inlineStr">
        <is>
          <t>Bảng tin &amp; Tương tác cộng đồng</t>
        </is>
      </c>
      <c r="C119" s="15" t="inlineStr">
        <is>
          <t>Chia sẻ bài viết</t>
        </is>
      </c>
      <c r="D119" s="15" t="inlineStr">
        <is>
          <t>UI: nút Chia sẻ sao chép liên kết và toast</t>
        </is>
      </c>
      <c r="E119" s="15" t="inlineStr">
        <is>
          <t>Giao diện</t>
        </is>
      </c>
      <c r="F119" s="20" t="inlineStr">
        <is>
          <t>Trung bình</t>
        </is>
      </c>
      <c r="G119" s="17" t="inlineStr">
        <is>
          <t>Đã hoàn thiện</t>
        </is>
      </c>
      <c r="H119" s="20" t="inlineStr">
        <is>
          <t>Một phần</t>
        </is>
      </c>
      <c r="I11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9" s="15" t="inlineStr">
        <is>
          <t>1. Đăng nhập member2, mở bài bất kỳ
2. Bấm "Chia sẻ"
3. Dán clipboard vào thanh địa chỉ tab mới</t>
        </is>
      </c>
      <c r="K119" s="15" t="inlineStr">
        <is>
          <t>-</t>
        </is>
      </c>
      <c r="L119" s="15" t="inlineStr">
        <is>
          <t>Toast "Đã sao chép liên kết bài viết"; link dạng http://localhost:5173/courses/photo/community?post=&lt;id&gt; mở đúng bài.</t>
        </is>
      </c>
      <c r="M119" s="15" t="inlineStr"/>
      <c r="N119" s="18" t="inlineStr">
        <is>
          <t>Chưa test</t>
        </is>
      </c>
      <c r="O119" s="15" t="inlineStr"/>
      <c r="P119" s="15" t="inlineStr"/>
      <c r="Q119" s="18" t="inlineStr">
        <is>
          <t>Chưa test</t>
        </is>
      </c>
      <c r="R119" s="15" t="inlineStr"/>
    </row>
    <row r="120" ht="30" customHeight="1">
      <c r="A120" s="14" t="inlineStr">
        <is>
          <t>TC-FEED-119</t>
        </is>
      </c>
      <c r="B120" s="15" t="inlineStr">
        <is>
          <t>Bảng tin &amp; Tương tác cộng đồng</t>
        </is>
      </c>
      <c r="C120" s="15" t="inlineStr">
        <is>
          <t>Lọc &amp; sắp xếp</t>
        </is>
      </c>
      <c r="D120" s="15" t="inlineStr">
        <is>
          <t>Danh sách mặc định (latest): bài ghim trước, sau đó mới nhất; tổng 7 với member thường</t>
        </is>
      </c>
      <c r="E120" s="15" t="inlineStr">
        <is>
          <t>Chức năng</t>
        </is>
      </c>
      <c r="F120" s="16" t="inlineStr">
        <is>
          <t>Cao</t>
        </is>
      </c>
      <c r="G120" s="17" t="inlineStr">
        <is>
          <t>Đã hoàn thiện</t>
        </is>
      </c>
      <c r="H120" s="17" t="inlineStr">
        <is>
          <t>Có</t>
        </is>
      </c>
      <c r="I12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GET /api/courses/photo/posts</t>
        </is>
      </c>
      <c r="K120" s="15" t="inlineStr">
        <is>
          <t>-</t>
        </is>
      </c>
      <c r="L120" s="15" t="inlineStr">
        <is>
          <t>200; meta {page:1, limit:10, total:7, totalPages:1}; thứ tự: seed-post-photo-0 (ghim), seed-post-photo-owner-pinned (ghim), m1-poll, m1-image, seed-post-photo-1, seed-post-photo-2, seed-post-photo-3.</t>
        </is>
      </c>
      <c r="M120" s="15" t="inlineStr"/>
      <c r="N120" s="18" t="inlineStr">
        <is>
          <t>Chưa test</t>
        </is>
      </c>
      <c r="O120" s="15" t="inlineStr"/>
      <c r="P120" s="15" t="inlineStr"/>
      <c r="Q120" s="18" t="inlineStr">
        <is>
          <t>Chưa test</t>
        </is>
      </c>
      <c r="R120" s="15" t="inlineStr"/>
    </row>
    <row r="121" ht="30" customHeight="1">
      <c r="A121" s="14" t="inlineStr">
        <is>
          <t>TC-FEED-120</t>
        </is>
      </c>
      <c r="B121" s="15" t="inlineStr">
        <is>
          <t>Bảng tin &amp; Tương tác cộng đồng</t>
        </is>
      </c>
      <c r="C121" s="15" t="inlineStr">
        <is>
          <t>Lọc &amp; sắp xếp</t>
        </is>
      </c>
      <c r="D121" s="15" t="inlineStr">
        <is>
          <t>Sắp xếp popular: ghim trước rồi theo số like giảm dần</t>
        </is>
      </c>
      <c r="E121" s="15" t="inlineStr">
        <is>
          <t>Chức năng</t>
        </is>
      </c>
      <c r="F121" s="16" t="inlineStr">
        <is>
          <t>Cao</t>
        </is>
      </c>
      <c r="G121" s="17" t="inlineStr">
        <is>
          <t>Đã hoàn thiện</t>
        </is>
      </c>
      <c r="H121" s="17" t="inlineStr">
        <is>
          <t>Có</t>
        </is>
      </c>
      <c r="I12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GET /api/courses/photo/posts?sort=popular</t>
        </is>
      </c>
      <c r="K121" s="15" t="inlineStr">
        <is>
          <t>-</t>
        </is>
      </c>
      <c r="L121" s="15" t="inlineStr">
        <is>
          <t>Thứ tự: photo-0 (24), owner-pinned (2) [nhóm ghim], photo-1 (15), photo-3 (9), photo-2 (6), m1-image (5), m1-poll (0).</t>
        </is>
      </c>
      <c r="M121" s="15" t="inlineStr"/>
      <c r="N121" s="18" t="inlineStr">
        <is>
          <t>Chưa test</t>
        </is>
      </c>
      <c r="O121" s="15" t="inlineStr"/>
      <c r="P121" s="15" t="inlineStr"/>
      <c r="Q121" s="18" t="inlineStr">
        <is>
          <t>Chưa test</t>
        </is>
      </c>
      <c r="R121" s="15" t="inlineStr"/>
    </row>
    <row r="122" ht="60" customHeight="1">
      <c r="A122" s="14" t="inlineStr">
        <is>
          <t>TC-FEED-121</t>
        </is>
      </c>
      <c r="B122" s="15" t="inlineStr">
        <is>
          <t>Bảng tin &amp; Tương tác cộng đồng</t>
        </is>
      </c>
      <c r="C122" s="15" t="inlineStr">
        <is>
          <t>Lọc &amp; sắp xếp</t>
        </is>
      </c>
      <c r="D122" s="15" t="inlineStr">
        <is>
          <t>Lọc theo category: Hỏi đáp, Thông báo; category sai bị 400</t>
        </is>
      </c>
      <c r="E122" s="15" t="inlineStr">
        <is>
          <t>Chức năng</t>
        </is>
      </c>
      <c r="F122" s="16" t="inlineStr">
        <is>
          <t>Cao</t>
        </is>
      </c>
      <c r="G122" s="17" t="inlineStr">
        <is>
          <t>Đã hoàn thiện</t>
        </is>
      </c>
      <c r="H122" s="17" t="inlineStr">
        <is>
          <t>Có</t>
        </is>
      </c>
      <c r="I12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?category=Hỏi đáp (URL-encode)
3. GET ?category=Thông báo
4. GET ?category=Khac</t>
        </is>
      </c>
      <c r="K122" s="15" t="inlineStr">
        <is>
          <t>-</t>
        </is>
      </c>
      <c r="L122" s="15" t="inlineStr">
        <is>
          <t>Hỏi đáp: 1 bài (seed-post-photo-2), total=1. Thông báo: 2 bài (photo-0, owner-pinned). category=Khac: 400 VALIDATION_ERROR, message "Tham số không hợp lệ" (chi tiết lỗi từng trường nằm trong error.details).</t>
        </is>
      </c>
      <c r="M122" s="15" t="inlineStr"/>
      <c r="N122" s="18" t="inlineStr">
        <is>
          <t>Chưa test</t>
        </is>
      </c>
      <c r="O122" s="15" t="inlineStr"/>
      <c r="P122" s="15" t="inlineStr"/>
      <c r="Q122" s="18" t="inlineStr">
        <is>
          <t>Chưa test</t>
        </is>
      </c>
      <c r="R122" s="15" t="inlineStr"/>
    </row>
    <row r="123" ht="75" customHeight="1">
      <c r="A123" s="14" t="inlineStr">
        <is>
          <t>TC-FEED-122</t>
        </is>
      </c>
      <c r="B123" s="15" t="inlineStr">
        <is>
          <t>Bảng tin &amp; Tương tác cộng đồng</t>
        </is>
      </c>
      <c r="C123" s="15" t="inlineStr">
        <is>
          <t>Lọc &amp; sắp xếp</t>
        </is>
      </c>
      <c r="D123" s="15" t="inlineStr">
        <is>
          <t>Lọc theo thẻ không phân biệt hoa/thường và bỏ dấu #</t>
        </is>
      </c>
      <c r="E123" s="15" t="inlineStr">
        <is>
          <t>Chức năng</t>
        </is>
      </c>
      <c r="F123" s="16" t="inlineStr">
        <is>
          <t>Cao</t>
        </is>
      </c>
      <c r="G123" s="17" t="inlineStr">
        <is>
          <t>Đã hoàn thiện</t>
        </is>
      </c>
      <c r="H123" s="17" t="inlineStr">
        <is>
          <t>Có</t>
        </is>
      </c>
      <c r="I12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3" s="15" t="inlineStr">
        <is>
          <t>1. Đăng nhập member2@sofinhub.test (POST /api/auth/login, lấy accessToken, gắn header Authorization: Bearer).
2. GET ?tag=Portrait
3. GET ?tag=portrait
4. GET ?tag=%23PORTRAIT
5. GET ?tag=Networking</t>
        </is>
      </c>
      <c r="K123" s="15" t="inlineStr">
        <is>
          <t>-</t>
        </is>
      </c>
      <c r="L123" s="15" t="inlineStr">
        <is>
          <t>Ba lần đầu cùng kết quả: đúng 1 bài seed-post-photo-m1-image. Networking: 2 bài (m1-poll, seed-post-photo-3) sắp mới nhất trước.</t>
        </is>
      </c>
      <c r="M123" s="15" t="inlineStr"/>
      <c r="N123" s="18" t="inlineStr">
        <is>
          <t>Chưa test</t>
        </is>
      </c>
      <c r="O123" s="15" t="inlineStr"/>
      <c r="P123" s="15" t="inlineStr"/>
      <c r="Q123" s="18" t="inlineStr">
        <is>
          <t>Chưa test</t>
        </is>
      </c>
      <c r="R123" s="15" t="inlineStr"/>
    </row>
    <row r="124" ht="45" customHeight="1">
      <c r="A124" s="14" t="inlineStr">
        <is>
          <t>TC-FEED-123</t>
        </is>
      </c>
      <c r="B124" s="15" t="inlineStr">
        <is>
          <t>Bảng tin &amp; Tương tác cộng đồng</t>
        </is>
      </c>
      <c r="C124" s="15" t="inlineStr">
        <is>
          <t>Lọc &amp; sắp xếp</t>
        </is>
      </c>
      <c r="D124" s="15" t="inlineStr">
        <is>
          <t>Kết hợp tag + category + sort + phân trang</t>
        </is>
      </c>
      <c r="E124" s="15" t="inlineStr">
        <is>
          <t>Chức năng</t>
        </is>
      </c>
      <c r="F124" s="20" t="inlineStr">
        <is>
          <t>Trung bình</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4" s="15" t="inlineStr">
        <is>
          <t>1. Đăng nhập member2@sofinhub.test (POST /api/auth/login, lấy accessToken, gắn header Authorization: Bearer).
2. GET ?tag=ChiaSẻ&amp;category=Case study&amp;sort=popular&amp;limit=1&amp;page=1
3. GET tương tự page=2</t>
        </is>
      </c>
      <c r="K124" s="15" t="inlineStr">
        <is>
          <t>-</t>
        </is>
      </c>
      <c r="L124" s="15" t="inlineStr">
        <is>
          <t>total=2 (seed-post-photo-1 có #KếtQuả/#ChiaSẻ và m1-image có #ChiaSẻ; cả hai Case study), popular: photo-1 (15) rồi m1-image (5); page 1 chứa 1 bài, page 2 bài còn lại, totalPages=2.</t>
        </is>
      </c>
      <c r="M124" s="15" t="inlineStr"/>
      <c r="N124" s="18" t="inlineStr">
        <is>
          <t>Chưa test</t>
        </is>
      </c>
      <c r="O124" s="15" t="inlineStr"/>
      <c r="P124" s="15" t="inlineStr"/>
      <c r="Q124" s="18" t="inlineStr">
        <is>
          <t>Chưa test</t>
        </is>
      </c>
      <c r="R124" s="15" t="inlineStr"/>
    </row>
    <row r="125" ht="60" customHeight="1">
      <c r="A125" s="14" t="inlineStr">
        <is>
          <t>TC-FEED-124</t>
        </is>
      </c>
      <c r="B125" s="15" t="inlineStr">
        <is>
          <t>Bảng tin &amp; Tương tác cộng đồng</t>
        </is>
      </c>
      <c r="C125" s="15" t="inlineStr">
        <is>
          <t>Lọc &amp; sắp xếp</t>
        </is>
      </c>
      <c r="D125" s="15" t="inlineStr">
        <is>
          <t>Tag không tồn tại / tag rỗng / tag dài 31 ký tự</t>
        </is>
      </c>
      <c r="E125" s="15" t="inlineStr">
        <is>
          <t>Chức năng</t>
        </is>
      </c>
      <c r="F125" s="20" t="inlineStr">
        <is>
          <t>Trung bình</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member2@sofinhub.test (POST /api/auth/login, lấy accessToken, gắn header Authorization: Bearer).
2. GET ?tag=khongcoai
3. GET ?tag=
4. GET ?tag=&lt;31 ký tự&gt;</t>
        </is>
      </c>
      <c r="K125" s="15" t="inlineStr">
        <is>
          <t>-</t>
        </is>
      </c>
      <c r="L125"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25" s="15" t="inlineStr"/>
      <c r="N125" s="18" t="inlineStr">
        <is>
          <t>Chưa test</t>
        </is>
      </c>
      <c r="O125" s="15" t="inlineStr"/>
      <c r="P125" s="15" t="inlineStr"/>
      <c r="Q125" s="18" t="inlineStr">
        <is>
          <t>Chưa test</t>
        </is>
      </c>
      <c r="R125" s="15" t="inlineStr"/>
    </row>
    <row r="126" ht="45" customHeight="1">
      <c r="A126" s="14" t="inlineStr">
        <is>
          <t>TC-FEED-125</t>
        </is>
      </c>
      <c r="B126" s="15" t="inlineStr">
        <is>
          <t>Bảng tin &amp; Tương tác cộng đồng</t>
        </is>
      </c>
      <c r="C126" s="15" t="inlineStr">
        <is>
          <t>Lọc &amp; sắp xếp</t>
        </is>
      </c>
      <c r="D126" s="15" t="inlineStr">
        <is>
          <t>Bài ẩn không xuất hiện trong lọc thẻ của member thường nhưng có với tác giả/mod</t>
        </is>
      </c>
      <c r="E126" s="15" t="inlineStr">
        <is>
          <t>Chức năng</t>
        </is>
      </c>
      <c r="F126" s="20" t="inlineStr">
        <is>
          <t>Trung bình</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member2 GET ?tag=QuảngCáo
2. member1 (tác giả) GET ?tag=QuảngCáo
3. mod GET ?tag=QuảngCáo</t>
        </is>
      </c>
      <c r="K126" s="15" t="inlineStr">
        <is>
          <t>-</t>
        </is>
      </c>
      <c r="L126" s="15" t="inlineStr">
        <is>
          <t>member2: total=0. member1 và mod: total=1 (seed-post-photo-m1-hidden, hidden:true).</t>
        </is>
      </c>
      <c r="M126" s="15" t="inlineStr"/>
      <c r="N126" s="18" t="inlineStr">
        <is>
          <t>Chưa test</t>
        </is>
      </c>
      <c r="O126" s="15" t="inlineStr"/>
      <c r="P126" s="15" t="inlineStr"/>
      <c r="Q126" s="18" t="inlineStr">
        <is>
          <t>Chưa test</t>
        </is>
      </c>
      <c r="R126" s="15" t="inlineStr"/>
    </row>
    <row r="127" ht="30" customHeight="1">
      <c r="A127" s="14" t="inlineStr">
        <is>
          <t>TC-FEED-126</t>
        </is>
      </c>
      <c r="B127" s="15" t="inlineStr">
        <is>
          <t>Bảng tin &amp; Tương tác cộng đồng</t>
        </is>
      </c>
      <c r="C127" s="15" t="inlineStr">
        <is>
          <t>Lọc &amp; sắp xếp</t>
        </is>
      </c>
      <c r="D127" s="15" t="inlineStr">
        <is>
          <t>Thẻ phổ biến GET /tags: chỉ tính bài không ẩn, mỗi bài 1 lần, sắp theo số bài giảm dần</t>
        </is>
      </c>
      <c r="E127" s="15" t="inlineStr">
        <is>
          <t>Chức năng</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member2@sofinhub.test (POST /api/auth/login, lấy accessToken, gắn header Authorization: Bearer).
2. GET /api/courses/photo/tags</t>
        </is>
      </c>
      <c r="K127" s="15" t="inlineStr">
        <is>
          <t>-</t>
        </is>
      </c>
      <c r="L127" s="15" t="inlineStr">
        <is>
          <t>200; ChiaSẻ và Networking đứng đầu (count 2 mỗi thẻ, sắp theo tên khi hòa), các thẻ còn lại count 1; không có #QuảngCáo (bài ẩn); tối đa 20 thẻ. Newbie gọi -&gt; 403; không token -&gt; 401.</t>
        </is>
      </c>
      <c r="M127" s="15" t="inlineStr"/>
      <c r="N127" s="18" t="inlineStr">
        <is>
          <t>Chưa test</t>
        </is>
      </c>
      <c r="O127" s="15" t="inlineStr"/>
      <c r="P127" s="15" t="inlineStr"/>
      <c r="Q127" s="18" t="inlineStr">
        <is>
          <t>Chưa test</t>
        </is>
      </c>
      <c r="R127" s="15" t="inlineStr"/>
    </row>
    <row r="128" ht="45" customHeight="1">
      <c r="A128" s="14" t="inlineStr">
        <is>
          <t>TC-FEED-127</t>
        </is>
      </c>
      <c r="B128" s="15" t="inlineStr">
        <is>
          <t>Bảng tin &amp; Tương tác cộng đồng</t>
        </is>
      </c>
      <c r="C128" s="15" t="inlineStr">
        <is>
          <t>Lọc &amp; sắp xếp</t>
        </is>
      </c>
      <c r="D128" s="15" t="inlineStr">
        <is>
          <t>Thẻ lặp/khác hoa thường trong cùng bài chỉ tính 1 lần</t>
        </is>
      </c>
      <c r="E128" s="15" t="inlineStr">
        <is>
          <t>Chức năng</t>
        </is>
      </c>
      <c r="F128" s="17" t="inlineStr">
        <is>
          <t>Thấp</t>
        </is>
      </c>
      <c r="G128" s="17" t="inlineStr">
        <is>
          <t>Đã hoàn thiện</t>
        </is>
      </c>
      <c r="H128" s="17" t="inlineStr">
        <is>
          <t>Có</t>
        </is>
      </c>
      <c r="I128" s="15" t="inlineStr">
        <is>
          <t>Tài khoản seed @sofinhub.test / Passw0rd!x: owner, cadmin (admin photo), mod, member1, member2, member3 (member photo), newbie (chưa ở cộng đồng nào), banned (bị cấm khỏi photo), admin (Platform Admin, KHÔNG ghi danh photo).</t>
        </is>
      </c>
      <c r="J128" s="15" t="inlineStr">
        <is>
          <t>1. Đăng nhập member2@sofinhub.test (POST /api/auth/login, lấy accessToken, gắn header Authorization: Bearer).
2. Tạo bài tags ["#Lặp","lặp","LẶP"]
3. GET /tags</t>
        </is>
      </c>
      <c r="K128" s="15" t="inlineStr">
        <is>
          <t>-</t>
        </is>
      </c>
      <c r="L128" s="15" t="inlineStr">
        <is>
          <t>Thẻ "Lặp" (dạng của bài mới nhất) có count=1 cho bài này.</t>
        </is>
      </c>
      <c r="M128" s="15" t="inlineStr"/>
      <c r="N128" s="18" t="inlineStr">
        <is>
          <t>Chưa test</t>
        </is>
      </c>
      <c r="O128" s="15" t="inlineStr"/>
      <c r="P128" s="15" t="inlineStr"/>
      <c r="Q128" s="18" t="inlineStr">
        <is>
          <t>Chưa test</t>
        </is>
      </c>
      <c r="R128" s="15" t="inlineStr"/>
    </row>
    <row r="129" ht="60" customHeight="1">
      <c r="A129" s="14" t="inlineStr">
        <is>
          <t>TC-FEED-128</t>
        </is>
      </c>
      <c r="B129" s="15" t="inlineStr">
        <is>
          <t>Bảng tin &amp; Tương tác cộng đồng</t>
        </is>
      </c>
      <c r="C129" s="15" t="inlineStr">
        <is>
          <t>Lọc &amp; sắp xếp</t>
        </is>
      </c>
      <c r="D129" s="15" t="inlineStr">
        <is>
          <t>UI: chip lọc chuyên mục, "Đang thịnh hành" và chip lọc thẻ có nút bỏ lọc</t>
        </is>
      </c>
      <c r="E129" s="15" t="inlineStr">
        <is>
          <t>Giao diện</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member2, mở /courses/photo/community
2. Bấm chip "Hỏi đáp", rồi "Đang thịnh hành", rồi "Tất cả"
3. Bấm chip thẻ #Portrait trên bài m1-image
4. Bấm ✕ "Bỏ lọc thẻ"</t>
        </is>
      </c>
      <c r="K129" s="15" t="inlineStr">
        <is>
          <t>-</t>
        </is>
      </c>
      <c r="L129" s="15" t="inlineStr">
        <is>
          <t>Hỏi đáp chỉ 1 bài. Thịnh hành: sắp popular. Chip thẻ: URL thêm ?tag=Portrait, chỉ 1 bài, có chip "Đang lọc theo thẻ #Portrait"; ✕ bỏ lọc trả toàn bộ.</t>
        </is>
      </c>
      <c r="M129" s="15" t="inlineStr"/>
      <c r="N129" s="18" t="inlineStr">
        <is>
          <t>Chưa test</t>
        </is>
      </c>
      <c r="O129" s="15" t="inlineStr"/>
      <c r="P129" s="15" t="inlineStr"/>
      <c r="Q129" s="18" t="inlineStr">
        <is>
          <t>Chưa test</t>
        </is>
      </c>
      <c r="R129" s="15" t="inlineStr"/>
    </row>
    <row r="130" ht="30" customHeight="1">
      <c r="A130" s="14" t="inlineStr">
        <is>
          <t>TC-FEED-129</t>
        </is>
      </c>
      <c r="B130" s="15" t="inlineStr">
        <is>
          <t>Bảng tin &amp; Tương tác cộng đồng</t>
        </is>
      </c>
      <c r="C130" s="15" t="inlineStr">
        <is>
          <t>Lọc &amp; sắp xếp</t>
        </is>
      </c>
      <c r="D130" s="15" t="inlineStr">
        <is>
          <t>UI: trạng thái rỗng khi không có bài khớp</t>
        </is>
      </c>
      <c r="E130" s="15" t="inlineStr">
        <is>
          <t>Giao diện</t>
        </is>
      </c>
      <c r="F130" s="20" t="inlineStr">
        <is>
          <t>Trung bình</t>
        </is>
      </c>
      <c r="G130" s="17" t="inlineStr">
        <is>
          <t>Đã hoàn thiện</t>
        </is>
      </c>
      <c r="H130" s="17" t="inlineStr">
        <is>
          <t>Có</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member2, mở /courses/photo/community?tag=khongcoai
2. Trong cộng đồng mới (owner tạo cộng đồng mới), mở bảng tin khi chưa có bài</t>
        </is>
      </c>
      <c r="K130" s="15" t="inlineStr">
        <is>
          <t>-</t>
        </is>
      </c>
      <c r="L130" s="15" t="inlineStr">
        <is>
          <t>Thẻ không có bài: "Chưa có bài viết nào gắn thẻ #khongcoai.". Cộng đồng chưa có bài: "Chưa có bài viết nào. Hãy là người đăng đầu tiên!".</t>
        </is>
      </c>
      <c r="M130" s="15" t="inlineStr"/>
      <c r="N130" s="18" t="inlineStr">
        <is>
          <t>Chưa test</t>
        </is>
      </c>
      <c r="O130" s="15" t="inlineStr"/>
      <c r="P130" s="15" t="inlineStr"/>
      <c r="Q130" s="18" t="inlineStr">
        <is>
          <t>Chưa test</t>
        </is>
      </c>
      <c r="R130" s="15" t="inlineStr"/>
    </row>
    <row r="131" ht="105" customHeight="1">
      <c r="A131" s="14" t="inlineStr">
        <is>
          <t>TC-FEED-130</t>
        </is>
      </c>
      <c r="B131" s="15" t="inlineStr">
        <is>
          <t>Bảng tin &amp; Tương tác cộng đồng</t>
        </is>
      </c>
      <c r="C131" s="15" t="inlineStr">
        <is>
          <t>Phân trang</t>
        </is>
      </c>
      <c r="D131" s="15" t="inlineStr">
        <is>
          <t>limit/page: page=2&amp;limit=3, page vượt tổng, page=0, limit=51, limit=0</t>
        </is>
      </c>
      <c r="E131" s="15" t="inlineStr">
        <is>
          <t>Chức năng</t>
        </is>
      </c>
      <c r="F131" s="16" t="inlineStr">
        <is>
          <t>Cao</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?limit=3&amp;page=2
3. GET ?limit=3&amp;page=99
4. GET ?page=0
5. GET ?limit=51
6. GET ?limit=0
7. GET ?limit=50</t>
        </is>
      </c>
      <c r="K131" s="15" t="inlineStr">
        <is>
          <t>-</t>
        </is>
      </c>
      <c r="L131" s="15" t="inlineStr">
        <is>
          <t>page=2&amp;limit=3: 3 bài (thứ 4-6), meta {page:2, limit:3, total:7, totalPages:3}. page=99: data=[], total=7. page=0, limit=51, limit=0: 400 VALIDATION_ERROR, message "Tham số không hợp lệ" (chi tiết lỗi từng trường nằm trong error.details). limit=50: 200.</t>
        </is>
      </c>
      <c r="M131" s="15" t="inlineStr"/>
      <c r="N131" s="18" t="inlineStr">
        <is>
          <t>Chưa test</t>
        </is>
      </c>
      <c r="O131" s="15" t="inlineStr"/>
      <c r="P131" s="15" t="inlineStr"/>
      <c r="Q131" s="18" t="inlineStr">
        <is>
          <t>Chưa test</t>
        </is>
      </c>
      <c r="R131" s="15" t="inlineStr"/>
    </row>
    <row r="132" ht="60" customHeight="1">
      <c r="A132" s="14" t="inlineStr">
        <is>
          <t>TC-FEED-131</t>
        </is>
      </c>
      <c r="B132" s="15" t="inlineStr">
        <is>
          <t>Bảng tin &amp; Tương tác cộng đồng</t>
        </is>
      </c>
      <c r="C132" s="15" t="inlineStr">
        <is>
          <t>Phân trang</t>
        </is>
      </c>
      <c r="D132" s="15" t="inlineStr">
        <is>
          <t>Phân trang ổn định: duyệt hết các trang không trùng, không sót bài</t>
        </is>
      </c>
      <c r="E132" s="15" t="inlineStr">
        <is>
          <t>Chức năng</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member1@sofinhub.test (POST /api/auth/login, lấy accessToken, gắn header Authorization: Bearer).
2. Tạo 25 bài
3. Duyệt page=1..N với limit=10
4. Gộp id và kiểm tra trùng</t>
        </is>
      </c>
      <c r="K132" s="15" t="inlineStr">
        <is>
          <t>-</t>
        </is>
      </c>
      <c r="L132" s="15" t="inlineStr">
        <is>
          <t>Không id nào lặp; tổng số bài duyệt bằng meta.total (33 với member1 thấy cả bài ẩn của mình); totalPages = ceil(total/10).</t>
        </is>
      </c>
      <c r="M132" s="15" t="inlineStr"/>
      <c r="N132" s="18" t="inlineStr">
        <is>
          <t>Chưa test</t>
        </is>
      </c>
      <c r="O132" s="15" t="inlineStr"/>
      <c r="P132" s="15" t="inlineStr"/>
      <c r="Q132" s="18" t="inlineStr">
        <is>
          <t>Chưa test</t>
        </is>
      </c>
      <c r="R132" s="15" t="inlineStr"/>
    </row>
    <row r="133" ht="60" customHeight="1">
      <c r="A133" s="14" t="inlineStr">
        <is>
          <t>TC-FEED-132</t>
        </is>
      </c>
      <c r="B133" s="15" t="inlineStr">
        <is>
          <t>Bảng tin &amp; Tương tác cộng đồng</t>
        </is>
      </c>
      <c r="C133" s="15" t="inlineStr">
        <is>
          <t>Phân trang</t>
        </is>
      </c>
      <c r="D133" s="15" t="inlineStr">
        <is>
          <t>UI: nút "Tải thêm bài viết (đã hiện/tổng)" tải 10 bài mỗi lần và biến mất khi hết</t>
        </is>
      </c>
      <c r="E133" s="15" t="inlineStr">
        <is>
          <t>Giao diện</t>
        </is>
      </c>
      <c r="F133" s="16" t="inlineStr">
        <is>
          <t>Cao</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Dùng API tạo thêm 8 bài để tổng = 15
2. Đăng nhập member2, mở /courses/photo/community
3. Quan sát nút cuối trang, bấm nút
4. Đổi chip chuyên mục</t>
        </is>
      </c>
      <c r="K133" s="15" t="inlineStr">
        <is>
          <t>-</t>
        </is>
      </c>
      <c r="L133" s="15" t="inlineStr">
        <is>
          <t>Hiển thị 10 bài và nút "Tải thêm bài viết (10/15)". Bấm: hiện đủ 15, nút biến mất. Đổi chuyên mục: tải lại từ trang 1.</t>
        </is>
      </c>
      <c r="M133" s="15" t="inlineStr"/>
      <c r="N133" s="18" t="inlineStr">
        <is>
          <t>Chưa test</t>
        </is>
      </c>
      <c r="O133" s="15" t="inlineStr"/>
      <c r="P133" s="15" t="inlineStr"/>
      <c r="Q133" s="18" t="inlineStr">
        <is>
          <t>Chưa test</t>
        </is>
      </c>
      <c r="R133" s="15" t="inlineStr"/>
    </row>
    <row r="134" ht="30" customHeight="1">
      <c r="A134" s="14" t="inlineStr">
        <is>
          <t>TC-FEED-133</t>
        </is>
      </c>
      <c r="B134" s="15" t="inlineStr">
        <is>
          <t>Bảng tin &amp; Tương tác cộng đồng</t>
        </is>
      </c>
      <c r="C134" s="15" t="inlineStr">
        <is>
          <t>Phân trang</t>
        </is>
      </c>
      <c r="D134" s="15" t="inlineStr">
        <is>
          <t>Hiệu năng: GET danh sách 50 bài &lt; 500ms (server local), số truy vấn không tăng theo số bài</t>
        </is>
      </c>
      <c r="E134" s="15" t="inlineStr">
        <is>
          <t>Hiệu năng</t>
        </is>
      </c>
      <c r="F134" s="20" t="inlineStr">
        <is>
          <t>Trung bình</t>
        </is>
      </c>
      <c r="G134" s="17" t="inlineStr">
        <is>
          <t>Đã hoàn thiện</t>
        </is>
      </c>
      <c r="H134" s="16" t="inlineStr">
        <is>
          <t>Không</t>
        </is>
      </c>
      <c r="I134"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34" s="15" t="inlineStr">
        <is>
          <t>1. Đăng nhập member2@sofinhub.test (POST /api/auth/login, lấy accessToken, gắn header Authorization: Bearer).
2. Đo thời gian GET ?limit=50 (5 lần, lấy trung vị)</t>
        </is>
      </c>
      <c r="K134" s="15" t="inlineStr">
        <is>
          <t>limit=50</t>
        </is>
      </c>
      <c r="L134" s="15" t="inlineStr">
        <is>
          <t>Trung vị &lt; 500ms (giá trị tạm); thời gian với limit=10 và limit=50 không chênh tuyến tính (toViews gom truy vấn theo lô).</t>
        </is>
      </c>
      <c r="M134" s="15" t="inlineStr"/>
      <c r="N134" s="18" t="inlineStr">
        <is>
          <t>Chưa test</t>
        </is>
      </c>
      <c r="O134" s="15" t="inlineStr"/>
      <c r="P134" s="15" t="inlineStr"/>
      <c r="Q134" s="18" t="inlineStr">
        <is>
          <t>Chưa test</t>
        </is>
      </c>
      <c r="R134" s="15" t="inlineStr"/>
    </row>
    <row r="135" ht="60" customHeight="1">
      <c r="A135" s="14" t="inlineStr">
        <is>
          <t>TC-FEED-134</t>
        </is>
      </c>
      <c r="B135" s="15" t="inlineStr">
        <is>
          <t>Bảng tin &amp; Tương tác cộng đồng</t>
        </is>
      </c>
      <c r="C135" s="15" t="inlineStr">
        <is>
          <t>Bảo mật nội dung</t>
        </is>
      </c>
      <c r="D135" s="15" t="inlineStr">
        <is>
          <t>XSS trong nội dung bài: script/onerror được hiển thị thành chữ, không thực thi</t>
        </is>
      </c>
      <c r="E135" s="15" t="inlineStr">
        <is>
          <t>Bảo mật</t>
        </is>
      </c>
      <c r="F135" s="16" t="inlineStr">
        <is>
          <t>Cao</t>
        </is>
      </c>
      <c r="G135" s="17" t="inlineStr">
        <is>
          <t>Đã hoàn thiện</t>
        </is>
      </c>
      <c r="H135" s="17" t="inlineStr">
        <is>
          <t>Có</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Đăng nhập member2@sofinhub.test (POST /api/auth/login, lấy accessToken, gắn header Authorization: Bearer).
2. Bắt sự kiện dialog của trình duyệt
3. POST bài với payload XSS
4. Mở /courses/photo/community và tải lại</t>
        </is>
      </c>
      <c r="K135" s="15" t="inlineStr">
        <is>
          <t>content: "&lt;script&gt;alert(1)&lt;/script&gt;&lt;img src=x onerror=alert(2)&gt;"</t>
        </is>
      </c>
      <c r="L135" s="15" t="inlineStr">
        <is>
          <t>API lưu nguyên văn (201); trang hiển thị chuỗi thành văn bản thuần; không có hộp thoại alert; DOM không sinh thẻ &lt;script&gt;/&lt;img onerror&gt; từ nội dung.</t>
        </is>
      </c>
      <c r="M135" s="15" t="inlineStr"/>
      <c r="N135" s="18" t="inlineStr">
        <is>
          <t>Chưa test</t>
        </is>
      </c>
      <c r="O135" s="15" t="inlineStr"/>
      <c r="P135" s="15" t="inlineStr"/>
      <c r="Q135" s="18" t="inlineStr">
        <is>
          <t>Chưa test</t>
        </is>
      </c>
      <c r="R135" s="15" t="inlineStr"/>
    </row>
    <row r="136" ht="60" customHeight="1">
      <c r="A136" s="14" t="inlineStr">
        <is>
          <t>TC-FEED-135</t>
        </is>
      </c>
      <c r="B136" s="15" t="inlineStr">
        <is>
          <t>Bảng tin &amp; Tương tác cộng đồng</t>
        </is>
      </c>
      <c r="C136" s="15" t="inlineStr">
        <is>
          <t>Bảo mật nội dung</t>
        </is>
      </c>
      <c r="D136" s="15" t="inlineStr">
        <is>
          <t>XSS trong bình luận và trong thẻ (tag)</t>
        </is>
      </c>
      <c r="E136" s="15" t="inlineStr">
        <is>
          <t>Bảo mật</t>
        </is>
      </c>
      <c r="F136" s="16" t="inlineStr">
        <is>
          <t>Cao</t>
        </is>
      </c>
      <c r="G136" s="17" t="inlineStr">
        <is>
          <t>Đã hoàn thiện</t>
        </is>
      </c>
      <c r="H136" s="17" t="inlineStr">
        <is>
          <t>Có</t>
        </is>
      </c>
      <c r="I136" s="15" t="inlineStr">
        <is>
          <t>Tài khoản seed @sofinhub.test / Passw0rd!x: owner, cadmin (admin photo), mod, member1, member2, member3 (member photo), newbie (chưa ở cộng đồng nào), banned (bị cấm khỏi photo), admin (Platform Admin, KHÔNG ghi danh photo).</t>
        </is>
      </c>
      <c r="J136" s="15" t="inlineStr">
        <is>
          <t>1. Đăng nhập member2@sofinhub.test (POST /api/auth/login, lấy accessToken, gắn header Authorization: Bearer).
2. POST bình luận '"&gt;&lt;svg onload=alert(1)&gt;'
3. POST bài với tags ["&lt;b&gt;x&lt;/b&gt;"]
4. Mở trang xem bình luận và chip thẻ</t>
        </is>
      </c>
      <c r="K136" s="15" t="inlineStr">
        <is>
          <t>comment: "\"&gt;&lt;svg onload=alert(1)&gt;" ; tag: "&lt;b&gt;x&lt;/b&gt;"</t>
        </is>
      </c>
      <c r="L136" s="15" t="inlineStr">
        <is>
          <t>Bình luận và chip thẻ hiển thị dạng chữ (thấy nguyên ký tự &lt; &gt;); không thực thi script; không bị in đậm.</t>
        </is>
      </c>
      <c r="M136" s="15" t="inlineStr"/>
      <c r="N136" s="18" t="inlineStr">
        <is>
          <t>Chưa test</t>
        </is>
      </c>
      <c r="O136" s="15" t="inlineStr"/>
      <c r="P136" s="15" t="inlineStr"/>
      <c r="Q136" s="18" t="inlineStr">
        <is>
          <t>Chưa test</t>
        </is>
      </c>
      <c r="R136" s="15" t="inlineStr"/>
    </row>
    <row r="137" ht="45" customHeight="1">
      <c r="A137" s="14" t="inlineStr">
        <is>
          <t>TC-FEED-136</t>
        </is>
      </c>
      <c r="B137" s="15" t="inlineStr">
        <is>
          <t>Bảng tin &amp; Tương tác cộng đồng</t>
        </is>
      </c>
      <c r="C137" s="15" t="inlineStr">
        <is>
          <t>Bảo mật nội dung</t>
        </is>
      </c>
      <c r="D137" s="15" t="inlineStr">
        <is>
          <t>imageUrl dạng javascript: hoặc data: bị BE từ chối 400</t>
        </is>
      </c>
      <c r="E137" s="15" t="inlineStr">
        <is>
          <t>Bảo mật</t>
        </is>
      </c>
      <c r="F137" s="16" t="inlineStr">
        <is>
          <t>Cao</t>
        </is>
      </c>
      <c r="G137" s="17" t="inlineStr">
        <is>
          <t>Đã hoàn thiện</t>
        </is>
      </c>
      <c r="H137" s="17" t="inlineStr">
        <is>
          <t>Có</t>
        </is>
      </c>
      <c r="I137" s="15" t="inlineStr">
        <is>
          <t>Tài khoản seed @sofinhub.test / Passw0rd!x: owner, cadmin (admin photo), mod, member1, member2, member3 (member photo), newbie (chưa ở cộng đồng nào), banned (bị cấm khỏi photo), admin (Platform Admin, KHÔNG ghi danh photo).</t>
        </is>
      </c>
      <c r="J137" s="15" t="inlineStr">
        <is>
          <t>1. Đăng nhập member2@sofinhub.test (POST /api/auth/login, lấy accessToken, gắn header Authorization: Bearer).
2. POST bài với imageUrl="javascript:alert(1)" (và một lần data:text/html,...)
3. Mở bảng tin</t>
        </is>
      </c>
      <c r="K137" s="15" t="inlineStr">
        <is>
          <t>imageUrl: "javascript:alert(1)"</t>
        </is>
      </c>
      <c r="L137"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37" s="15" t="inlineStr"/>
      <c r="N137" s="18" t="inlineStr">
        <is>
          <t>Chưa test</t>
        </is>
      </c>
      <c r="O137" s="15" t="inlineStr"/>
      <c r="P137" s="15" t="inlineStr"/>
      <c r="Q137" s="18" t="inlineStr">
        <is>
          <t>Chưa test</t>
        </is>
      </c>
      <c r="R137" s="15" t="inlineStr"/>
    </row>
    <row r="138" ht="60" customHeight="1">
      <c r="A138" s="14" t="inlineStr">
        <is>
          <t>TC-FEED-137</t>
        </is>
      </c>
      <c r="B138" s="15" t="inlineStr">
        <is>
          <t>Bảng tin &amp; Tương tác cộng đồng</t>
        </is>
      </c>
      <c r="C138" s="15" t="inlineStr">
        <is>
          <t>Bảo mật nội dung</t>
        </is>
      </c>
      <c r="D138" s="15" t="inlineStr">
        <is>
          <t>Payload SQL injection trong tag, content, tham số category/sort/tag không làm hỏng truy vấn</t>
        </is>
      </c>
      <c r="E138" s="15" t="inlineStr">
        <is>
          <t>Bảo mật</t>
        </is>
      </c>
      <c r="F138" s="16" t="inlineStr">
        <is>
          <t>Cao</t>
        </is>
      </c>
      <c r="G138" s="17" t="inlineStr">
        <is>
          <t>Đã hoàn thiện</t>
        </is>
      </c>
      <c r="H138" s="17" t="inlineStr">
        <is>
          <t>Có</t>
        </is>
      </c>
      <c r="I138" s="15" t="inlineStr">
        <is>
          <t>Tài khoản seed @sofinhub.test / Passw0rd!x: owner, cadmin (admin photo), mod, member1, member2, member3 (member photo), newbie (chưa ở cộng đồng nào), banned (bị cấm khỏi photo), admin (Platform Admin, KHÔNG ghi danh photo).</t>
        </is>
      </c>
      <c r="J138" s="15" t="inlineStr">
        <is>
          <t>1. Đăng nhập member2@sofinhub.test (POST /api/auth/login, lấy accessToken, gắn header Authorization: Bearer).
2. GET ?tag=' OR 1=1 --
3. GET ?sort=popular;DROP TABLE "Post"
4. POST bài content "'; DROP TABLE "Post"; --" và tags ["x' OR '1'='1"]</t>
        </is>
      </c>
      <c r="K138" s="15" t="inlineStr">
        <is>
          <t>-</t>
        </is>
      </c>
      <c r="L138"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38" s="15" t="inlineStr"/>
      <c r="N138" s="18" t="inlineStr">
        <is>
          <t>Chưa test</t>
        </is>
      </c>
      <c r="O138" s="15" t="inlineStr"/>
      <c r="P138" s="15" t="inlineStr"/>
      <c r="Q138" s="18" t="inlineStr">
        <is>
          <t>Chưa test</t>
        </is>
      </c>
      <c r="R138" s="15" t="inlineStr"/>
    </row>
    <row r="139" ht="30" customHeight="1">
      <c r="A139" s="14" t="inlineStr">
        <is>
          <t>TC-FEED-138</t>
        </is>
      </c>
      <c r="B139" s="15" t="inlineStr">
        <is>
          <t>Bảng tin &amp; Tương tác cộng đồng</t>
        </is>
      </c>
      <c r="C139" s="15" t="inlineStr">
        <is>
          <t>Bảo mật nội dung</t>
        </is>
      </c>
      <c r="D139" s="15" t="inlineStr">
        <is>
          <t>Tên hiển thị tác giả có ký tự HTML vẫn được escape</t>
        </is>
      </c>
      <c r="E139" s="15" t="inlineStr">
        <is>
          <t>Bảo mật</t>
        </is>
      </c>
      <c r="F139" s="20" t="inlineStr">
        <is>
          <t>Trung bình</t>
        </is>
      </c>
      <c r="G139" s="17" t="inlineStr">
        <is>
          <t>Đã hoàn thiện</t>
        </is>
      </c>
      <c r="H139" s="17" t="inlineStr">
        <is>
          <t>Có</t>
        </is>
      </c>
      <c r="I139" s="15" t="inlineStr">
        <is>
          <t>Tài khoản seed @sofinhub.test / Passw0rd!x: owner, cadmin (admin photo), mod, member1, member2, member3 (member photo), newbie (chưa ở cộng đồng nào), banned (bị cấm khỏi photo), admin (Platform Admin, KHÔNG ghi danh photo).</t>
        </is>
      </c>
      <c r="J139" s="15" t="inlineStr">
        <is>
          <t>1. Đăng nhập member1, đổi tên hồ sơ thành &lt;i&gt;Minh&lt;/i&gt; (PATCH /api/me nếu có)
2. Xem bài và bình luận của member1 trong bảng tin</t>
        </is>
      </c>
      <c r="K139" s="15" t="inlineStr">
        <is>
          <t>firstName: &lt;i&gt;Minh&lt;/i&gt;</t>
        </is>
      </c>
      <c r="L139" s="15" t="inlineStr">
        <is>
          <t>Tên hiển thị thành chữ có ký tự &lt; &gt;, không in nghiêng; sau test khôi phục tên gốc "Minh".</t>
        </is>
      </c>
      <c r="M139" s="15" t="inlineStr"/>
      <c r="N139" s="18" t="inlineStr">
        <is>
          <t>Chưa test</t>
        </is>
      </c>
      <c r="O139" s="15" t="inlineStr"/>
      <c r="P139" s="15" t="inlineStr"/>
      <c r="Q139" s="18" t="inlineStr">
        <is>
          <t>Chưa test</t>
        </is>
      </c>
      <c r="R139" s="15" t="inlineStr"/>
    </row>
    <row r="140" ht="30" customHeight="1">
      <c r="A140" s="14" t="inlineStr">
        <is>
          <t>TC-FEED-139</t>
        </is>
      </c>
      <c r="B140" s="15" t="inlineStr">
        <is>
          <t>Bảng tin &amp; Tương tác cộng đồng</t>
        </is>
      </c>
      <c r="C140" s="15" t="inlineStr">
        <is>
          <t>Phân quyền truy cập</t>
        </is>
      </c>
      <c r="D140" s="15" t="inlineStr">
        <is>
          <t>Không token: mọi route bảng tin trả 401</t>
        </is>
      </c>
      <c r="E140" s="15" t="inlineStr">
        <is>
          <t>Bảo mật</t>
        </is>
      </c>
      <c r="F140" s="16" t="inlineStr">
        <is>
          <t>Cao</t>
        </is>
      </c>
      <c r="G140" s="17" t="inlineStr">
        <is>
          <t>Đã hoàn thiện</t>
        </is>
      </c>
      <c r="H140" s="17" t="inlineStr">
        <is>
          <t>Có</t>
        </is>
      </c>
      <c r="I14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40" s="15" t="inlineStr">
        <is>
          <t>1. Không gửi Authorization, gọi lần lượt: GET /courses/photo/posts, POST /courses/photo/posts, GET /posts/seed-post-photo-1, PATCH, DELETE, POST like/pin/hide/poll/vote, GET/POST comments, GET /courses/photo/tags</t>
        </is>
      </c>
      <c r="K140" s="15" t="inlineStr">
        <is>
          <t>-</t>
        </is>
      </c>
      <c r="L140" s="15" t="inlineStr">
        <is>
          <t>Mọi request: 401 UNAUTHORIZED, message "Vui lòng đăng nhập để tiếp tục"; token sai/hết hạn cùng kết quả.</t>
        </is>
      </c>
      <c r="M140" s="15" t="inlineStr"/>
      <c r="N140" s="18" t="inlineStr">
        <is>
          <t>Chưa test</t>
        </is>
      </c>
      <c r="O140" s="15" t="inlineStr"/>
      <c r="P140" s="15" t="inlineStr"/>
      <c r="Q140" s="18" t="inlineStr">
        <is>
          <t>Chưa test</t>
        </is>
      </c>
      <c r="R140" s="15" t="inlineStr"/>
    </row>
    <row r="141" ht="75" customHeight="1">
      <c r="A141" s="14" t="inlineStr">
        <is>
          <t>TC-FEED-140</t>
        </is>
      </c>
      <c r="B141" s="15" t="inlineStr">
        <is>
          <t>Bảng tin &amp; Tương tác cộng đồng</t>
        </is>
      </c>
      <c r="C141" s="15" t="inlineStr">
        <is>
          <t>Phân quyền truy cập</t>
        </is>
      </c>
      <c r="D141" s="15" t="inlineStr">
        <is>
          <t>Newbie (chưa tham gia) không đọc/đăng/like được bảng tin photo</t>
        </is>
      </c>
      <c r="E141" s="15" t="inlineStr">
        <is>
          <t>Bảo mật</t>
        </is>
      </c>
      <c r="F141" s="16" t="inlineStr">
        <is>
          <t>Cao</t>
        </is>
      </c>
      <c r="G141" s="17" t="inlineStr">
        <is>
          <t>Đã hoàn thiện</t>
        </is>
      </c>
      <c r="H141" s="17" t="inlineStr">
        <is>
          <t>Có</t>
        </is>
      </c>
      <c r="I14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1" s="15" t="inlineStr">
        <is>
          <t>1. Đăng nhập newbie@sofinhub.test (POST /api/auth/login, lấy accessToken, gắn header Authorization: Bearer).
2. GET /api/courses/photo/posts
3. POST /api/courses/photo/posts
4. GET /api/posts/seed-post-photo-1
5. GET /api/courses/photo/tags</t>
        </is>
      </c>
      <c r="K141" s="15" t="inlineStr">
        <is>
          <t>Body: {"content":"x"}</t>
        </is>
      </c>
      <c r="L141" s="15" t="inlineStr">
        <is>
          <t>Cả bốn: 403 FORBIDDEN, message "Bạn cần tham gia cộng đồng này trước". Không có bản ghi mới.</t>
        </is>
      </c>
      <c r="M141" s="15" t="inlineStr"/>
      <c r="N141" s="18" t="inlineStr">
        <is>
          <t>Chưa test</t>
        </is>
      </c>
      <c r="O141" s="15" t="inlineStr"/>
      <c r="P141" s="15" t="inlineStr"/>
      <c r="Q141" s="18" t="inlineStr">
        <is>
          <t>Chưa test</t>
        </is>
      </c>
      <c r="R141" s="15" t="inlineStr"/>
    </row>
    <row r="142" ht="75" customHeight="1">
      <c r="A142" s="14" t="inlineStr">
        <is>
          <t>TC-FEED-141</t>
        </is>
      </c>
      <c r="B142" s="15" t="inlineStr">
        <is>
          <t>Bảng tin &amp; Tương tác cộng đồng</t>
        </is>
      </c>
      <c r="C142" s="15" t="inlineStr">
        <is>
          <t>Phân quyền truy cập</t>
        </is>
      </c>
      <c r="D142" s="15" t="inlineStr">
        <is>
          <t>Banned (bị cấm khỏi photo) bị chặn mọi hành động bảng tin</t>
        </is>
      </c>
      <c r="E142" s="15" t="inlineStr">
        <is>
          <t>Bảo mật</t>
        </is>
      </c>
      <c r="F142" s="16" t="inlineStr">
        <is>
          <t>Cao</t>
        </is>
      </c>
      <c r="G142" s="17" t="inlineStr">
        <is>
          <t>Đã hoàn thiện</t>
        </is>
      </c>
      <c r="H142" s="17" t="inlineStr">
        <is>
          <t>Có</t>
        </is>
      </c>
      <c r="I14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2" s="15" t="inlineStr">
        <is>
          <t>1. Đăng nhập banned@sofinhub.test (POST /api/auth/login, lấy accessToken, gắn header Authorization: Bearer).
2. GET /api/courses/photo/posts
3. POST bài
4. POST like
5. POST comments</t>
        </is>
      </c>
      <c r="K142" s="15" t="inlineStr">
        <is>
          <t>Body: {"content":"x"}</t>
        </is>
      </c>
      <c r="L142" s="15" t="inlineStr">
        <is>
          <t>Cả bốn: 403 FORBIDDEN, message "Bạn cần tham gia cộng đồng này trước" (banned không tính là thành viên). Bài đã đăng trước khi bị cấm (nếu có) không hiện ở bảng xếp hạng.</t>
        </is>
      </c>
      <c r="M142" s="15" t="inlineStr"/>
      <c r="N142" s="18" t="inlineStr">
        <is>
          <t>Chưa test</t>
        </is>
      </c>
      <c r="O142" s="15" t="inlineStr"/>
      <c r="P142" s="15" t="inlineStr"/>
      <c r="Q142" s="18" t="inlineStr">
        <is>
          <t>Chưa test</t>
        </is>
      </c>
      <c r="R142" s="15" t="inlineStr"/>
    </row>
    <row r="143" ht="45" customHeight="1">
      <c r="A143" s="14" t="inlineStr">
        <is>
          <t>TC-FEED-142</t>
        </is>
      </c>
      <c r="B143" s="15" t="inlineStr">
        <is>
          <t>Bảng tin &amp; Tương tác cộng đồng</t>
        </is>
      </c>
      <c r="C143" s="15" t="inlineStr">
        <is>
          <t>Phân quyền truy cập</t>
        </is>
      </c>
      <c r="D143" s="15" t="inlineStr">
        <is>
          <t>Platform Admin (admin) chưa ghi danh photo vẫn đọc bảng tin và ghim bài được</t>
        </is>
      </c>
      <c r="E143" s="15" t="inlineStr">
        <is>
          <t>Bảo mật</t>
        </is>
      </c>
      <c r="F143" s="20" t="inlineStr">
        <is>
          <t>Trung bình</t>
        </is>
      </c>
      <c r="G143" s="17" t="inlineStr">
        <is>
          <t>Đã hoàn thiện</t>
        </is>
      </c>
      <c r="H143" s="17" t="inlineStr">
        <is>
          <t>Có</t>
        </is>
      </c>
      <c r="I1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3" s="15" t="inlineStr">
        <is>
          <t>1. Đăng nhập admin@sofinhub.test (POST /api/auth/login, lấy accessToken, gắn header Authorization: Bearer).
2. GET /api/courses/photo/posts
3. POST /api/posts/seed-post-photo-1/pin (gọi lần 2 để bỏ ghim)</t>
        </is>
      </c>
      <c r="K143" s="15" t="inlineStr">
        <is>
          <t>-</t>
        </is>
      </c>
      <c r="L143" s="15" t="inlineStr">
        <is>
          <t>GET posts 200 {data,meta}; pin 200 {pinned:true} (đã sửa: requireMembership cho qua Platform Admin, trước đây 403 'Bạn cần tham gia cộng đồng này trước'). GET /api/admin/reports vẫn 200. Admin không bị thêm vào danh sách thành viên.</t>
        </is>
      </c>
      <c r="M143" s="15" t="inlineStr"/>
      <c r="N143" s="18" t="inlineStr">
        <is>
          <t>Chưa test</t>
        </is>
      </c>
      <c r="O143" s="15" t="inlineStr"/>
      <c r="P143" s="15" t="inlineStr"/>
      <c r="Q143" s="18" t="inlineStr">
        <is>
          <t>Chưa test</t>
        </is>
      </c>
      <c r="R143" s="15" t="inlineStr"/>
    </row>
    <row r="144" ht="30" customHeight="1">
      <c r="A144" s="14" t="inlineStr">
        <is>
          <t>TC-FEED-143</t>
        </is>
      </c>
      <c r="B144" s="15" t="inlineStr">
        <is>
          <t>Bảng tin &amp; Tương tác cộng đồng</t>
        </is>
      </c>
      <c r="C144" s="15" t="inlineStr">
        <is>
          <t>Phân quyền truy cập</t>
        </is>
      </c>
      <c r="D144" s="15" t="inlineStr">
        <is>
          <t>Member yt (khác cộng đồng) không thao tác được bài của photo (IDOR chéo cộng đồng)</t>
        </is>
      </c>
      <c r="E144" s="15" t="inlineStr">
        <is>
          <t>Bảo mật</t>
        </is>
      </c>
      <c r="F144" s="16" t="inlineStr">
        <is>
          <t>Cao</t>
        </is>
      </c>
      <c r="G144" s="17" t="inlineStr">
        <is>
          <t>Đã hoàn thiện</t>
        </is>
      </c>
      <c r="H144" s="17" t="inlineStr">
        <is>
          <t>Có</t>
        </is>
      </c>
      <c r="I1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44" s="15" t="inlineStr">
        <is>
          <t>1. Dùng tài khoản chỉ thuộc cộng đồng yt (không thuộc photo) gọi PATCH/DELETE /api/posts/seed-post-photo-1
2. Gọi POST /api/courses/photo/posts</t>
        </is>
      </c>
      <c r="K144" s="15" t="inlineStr">
        <is>
          <t>-</t>
        </is>
      </c>
      <c r="L144" s="15" t="inlineStr">
        <is>
          <t>403 FORBIDDEN, message "Bạn cần tham gia cộng đồng này trước"; bài không đổi.</t>
        </is>
      </c>
      <c r="M144" s="15" t="inlineStr"/>
      <c r="N144" s="18" t="inlineStr">
        <is>
          <t>Chưa test</t>
        </is>
      </c>
      <c r="O144" s="15" t="inlineStr"/>
      <c r="P144" s="15" t="inlineStr"/>
      <c r="Q144" s="18" t="inlineStr">
        <is>
          <t>Chưa test</t>
        </is>
      </c>
      <c r="R144" s="15" t="inlineStr"/>
    </row>
    <row r="145" ht="105" customHeight="1">
      <c r="A145" s="14" t="inlineStr">
        <is>
          <t>TC-FEED-144</t>
        </is>
      </c>
      <c r="B145" s="15" t="inlineStr">
        <is>
          <t>Bảng tin &amp; Tương tác cộng đồng</t>
        </is>
      </c>
      <c r="C145" s="15" t="inlineStr">
        <is>
          <t>Phân quyền truy cập</t>
        </is>
      </c>
      <c r="D145" s="15" t="inlineStr">
        <is>
          <t>Cộng đồng bị khóa: thành viên thường 403 COMMUNITY_LOCKED ở mọi route bài; Platform Admin vẫn xem được</t>
        </is>
      </c>
      <c r="E145" s="15" t="inlineStr">
        <is>
          <t>Bảo mật</t>
        </is>
      </c>
      <c r="F145" s="16" t="inlineStr">
        <is>
          <t>Cao</t>
        </is>
      </c>
      <c r="G145" s="17" t="inlineStr">
        <is>
          <t>Đã hoàn thiện</t>
        </is>
      </c>
      <c r="H145" s="17" t="inlineStr">
        <is>
          <t>Có</t>
        </is>
      </c>
      <c r="I1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5"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45" s="15" t="inlineStr">
        <is>
          <t>reason: "Kiểm thử khóa"</t>
        </is>
      </c>
      <c r="L145" s="15" t="inlineStr">
        <is>
          <t>member1: 403 code="COMMUNITY_LOCKED", message "Cộng đồng này đang bị khóa" cho mọi request. Platform Admin: không bị chặn bởi khóa và cũng không cần ghi danh (200). Sau mở khóa member1 dùng lại bình thường.</t>
        </is>
      </c>
      <c r="M145" s="15" t="inlineStr"/>
      <c r="N145" s="18" t="inlineStr">
        <is>
          <t>Chưa test</t>
        </is>
      </c>
      <c r="O145" s="15" t="inlineStr"/>
      <c r="P145" s="15" t="inlineStr"/>
      <c r="Q145" s="18" t="inlineStr">
        <is>
          <t>Chưa test</t>
        </is>
      </c>
      <c r="R145" s="15" t="inlineStr"/>
    </row>
    <row r="146" ht="45" customHeight="1">
      <c r="A146" s="14" t="inlineStr">
        <is>
          <t>TC-FEED-145</t>
        </is>
      </c>
      <c r="B146" s="15" t="inlineStr">
        <is>
          <t>Bảng tin &amp; Tương tác cộng đồng</t>
        </is>
      </c>
      <c r="C146" s="15" t="inlineStr">
        <is>
          <t>Phân quyền truy cập</t>
        </is>
      </c>
      <c r="D146" s="15" t="inlineStr">
        <is>
          <t>Thành viên vừa bị cấm/kicked: token cũ không truy cập lại được bảng tin</t>
        </is>
      </c>
      <c r="E146" s="15" t="inlineStr">
        <is>
          <t>Bảo mật</t>
        </is>
      </c>
      <c r="F146" s="20" t="inlineStr">
        <is>
          <t>Trung bình</t>
        </is>
      </c>
      <c r="G146" s="17" t="inlineStr">
        <is>
          <t>Đã hoàn thiện</t>
        </is>
      </c>
      <c r="H146" s="20" t="inlineStr">
        <is>
          <t>Một phần</t>
        </is>
      </c>
      <c r="I14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6"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46" s="15" t="inlineStr">
        <is>
          <t>-</t>
        </is>
      </c>
      <c r="L146" s="15" t="inlineStr">
        <is>
          <t>403 FORBIDDEN, message "Bạn cần tham gia cộng đồng này trước"; khôi phục dữ liệu seed sau test (unban + ghi danh lại).</t>
        </is>
      </c>
      <c r="M146" s="15" t="inlineStr"/>
      <c r="N146" s="18" t="inlineStr">
        <is>
          <t>Chưa test</t>
        </is>
      </c>
      <c r="O146" s="15" t="inlineStr"/>
      <c r="P146" s="15" t="inlineStr"/>
      <c r="Q146" s="18" t="inlineStr">
        <is>
          <t>Chưa test</t>
        </is>
      </c>
      <c r="R146" s="15" t="inlineStr"/>
    </row>
    <row r="147" ht="30" customHeight="1">
      <c r="A147" s="14" t="inlineStr">
        <is>
          <t>TC-FEED-146</t>
        </is>
      </c>
      <c r="B147" s="15" t="inlineStr">
        <is>
          <t>Bảng tin &amp; Tương tác cộng đồng</t>
        </is>
      </c>
      <c r="C147" s="15" t="inlineStr">
        <is>
          <t>Dữ liệu seed bảng tin</t>
        </is>
      </c>
      <c r="D147" s="15" t="inlineStr">
        <is>
          <t>Hiển thị bài seed m1-image: ảnh, 3 thẻ, 5 like, 2 bình luận, tác giả member1</t>
        </is>
      </c>
      <c r="E147" s="15" t="inlineStr">
        <is>
          <t>Chức năng</t>
        </is>
      </c>
      <c r="F147" s="20" t="inlineStr">
        <is>
          <t>Trung bình</t>
        </is>
      </c>
      <c r="G147" s="17" t="inlineStr">
        <is>
          <t>Đã hoàn thiện</t>
        </is>
      </c>
      <c r="H147" s="17" t="inlineStr">
        <is>
          <t>Có</t>
        </is>
      </c>
      <c r="I1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7" s="15" t="inlineStr">
        <is>
          <t>1. Đăng nhập member2@sofinhub.test (POST /api/auth/login, lấy accessToken, gắn header Authorization: Bearer).
2. GET /api/posts/seed-post-photo-m1-image</t>
        </is>
      </c>
      <c r="K147" s="15" t="inlineStr">
        <is>
          <t>-</t>
        </is>
      </c>
      <c r="L147" s="15" t="inlineStr">
        <is>
          <t>category="Case study", tags ["#HoàngHôn","#Portrait","#ChiaSẻ"], imageUrl là URL unsplash trong seed, likesCount=5, commentsCount=2, viewerLiked=true (member2 đã like), author.name="Minh Member1".</t>
        </is>
      </c>
      <c r="M147" s="15" t="inlineStr"/>
      <c r="N147" s="18" t="inlineStr">
        <is>
          <t>Chưa test</t>
        </is>
      </c>
      <c r="O147" s="15" t="inlineStr"/>
      <c r="P147" s="15" t="inlineStr"/>
      <c r="Q147" s="18" t="inlineStr">
        <is>
          <t>Chưa test</t>
        </is>
      </c>
      <c r="R147" s="15" t="inlineStr"/>
    </row>
    <row r="148" ht="30" customHeight="1">
      <c r="A148" s="14" t="inlineStr">
        <is>
          <t>TC-FEED-147</t>
        </is>
      </c>
      <c r="B148" s="15" t="inlineStr">
        <is>
          <t>Bảng tin &amp; Tương tác cộng đồng</t>
        </is>
      </c>
      <c r="C148" s="15" t="inlineStr">
        <is>
          <t>Dữ liệu seed bảng tin</t>
        </is>
      </c>
      <c r="D148" s="15" t="inlineStr">
        <is>
          <t>Bài ghim seed của owner và bài ghim demo hiển thị với nhãn "Đã ghim" cho mọi thành viên</t>
        </is>
      </c>
      <c r="E148" s="15" t="inlineStr">
        <is>
          <t>Giao diện</t>
        </is>
      </c>
      <c r="F148" s="20" t="inlineStr">
        <is>
          <t>Trung bình</t>
        </is>
      </c>
      <c r="G148" s="17" t="inlineStr">
        <is>
          <t>Đã hoàn thiện</t>
        </is>
      </c>
      <c r="H148" s="17" t="inlineStr">
        <is>
          <t>Có</t>
        </is>
      </c>
      <c r="I1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8" s="15" t="inlineStr">
        <is>
          <t>1. Đăng nhập member3, mở /courses/photo/community</t>
        </is>
      </c>
      <c r="K148" s="15" t="inlineStr">
        <is>
          <t>-</t>
        </is>
      </c>
      <c r="L148" s="15" t="inlineStr">
        <is>
          <t>Hai bài đầu có nhãn "Đã ghim": chào mừng (Thông báo) và "Nội quy cộng đồng Nhiếp ảnh…" (owner). Không có nút Sửa/Xóa/Ghim cho member3.</t>
        </is>
      </c>
      <c r="M148" s="15" t="inlineStr"/>
      <c r="N148" s="18" t="inlineStr">
        <is>
          <t>Chưa test</t>
        </is>
      </c>
      <c r="O148" s="15" t="inlineStr"/>
      <c r="P148" s="15" t="inlineStr"/>
      <c r="Q148" s="18" t="inlineStr">
        <is>
          <t>Chưa test</t>
        </is>
      </c>
      <c r="R148" s="15" t="inlineStr"/>
    </row>
    <row r="149" ht="45" customHeight="1">
      <c r="A149" s="14" t="inlineStr">
        <is>
          <t>TC-FEED-148</t>
        </is>
      </c>
      <c r="B149" s="15" t="inlineStr">
        <is>
          <t>Bảng tin &amp; Tương tác cộng đồng</t>
        </is>
      </c>
      <c r="C149" s="15" t="inlineStr">
        <is>
          <t>Dữ liệu seed bảng tin</t>
        </is>
      </c>
      <c r="D149" s="15" t="inlineStr">
        <is>
          <t>Bài ẩn seed + báo cáo đã xử lý: mod xem hàng đợi 'Đã xử lý' và 'Đang chờ'</t>
        </is>
      </c>
      <c r="E149" s="15" t="inlineStr">
        <is>
          <t>Chức năng</t>
        </is>
      </c>
      <c r="F149" s="20" t="inlineStr">
        <is>
          <t>Trung bình</t>
        </is>
      </c>
      <c r="G149" s="17" t="inlineStr">
        <is>
          <t>Đã hoàn thiện</t>
        </is>
      </c>
      <c r="H149" s="17" t="inlineStr">
        <is>
          <t>Có</t>
        </is>
      </c>
      <c r="I14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9" s="15" t="inlineStr">
        <is>
          <t>1. Đăng nhập mod@sofinhub.test (POST /api/auth/login, lấy accessToken, gắn header Authorization: Bearer).
2. GET /api/courses/photo/reports?status=resolved
3. GET ?status=open</t>
        </is>
      </c>
      <c r="K149" s="15" t="inlineStr">
        <is>
          <t>-</t>
        </is>
      </c>
      <c r="L149" s="15" t="inlineStr">
        <is>
          <t>resolved có seed-report-photo-resolved (reason spam, action hide_content, ghi chú "Đã ẩn bài quảng cáo."). open có seed-report-photo-open (reason inappropriate, người báo cáo Manh Member3).</t>
        </is>
      </c>
      <c r="M149" s="15" t="inlineStr"/>
      <c r="N149" s="18" t="inlineStr">
        <is>
          <t>Chưa test</t>
        </is>
      </c>
      <c r="O149" s="15" t="inlineStr"/>
      <c r="P149" s="15" t="inlineStr"/>
      <c r="Q149" s="18" t="inlineStr">
        <is>
          <t>Chưa test</t>
        </is>
      </c>
      <c r="R149" s="15" t="inlineStr"/>
    </row>
    <row r="150" ht="30" customHeight="1">
      <c r="A150" s="14" t="inlineStr">
        <is>
          <t>TC-FEED-149</t>
        </is>
      </c>
      <c r="B150" s="15" t="inlineStr">
        <is>
          <t>Bảng tin &amp; Tương tác cộng đồng</t>
        </is>
      </c>
      <c r="C150" s="15" t="inlineStr">
        <is>
          <t>Dữ liệu seed bảng tin</t>
        </is>
      </c>
      <c r="D150" s="15" t="inlineStr">
        <is>
          <t>Bài của cộng đồng khác (yt, fin) độc lập: mỗi cộng đồng có 4 bài minh họa, không lẫn sang photo</t>
        </is>
      </c>
      <c r="E150" s="15" t="inlineStr">
        <is>
          <t>Chức năng</t>
        </is>
      </c>
      <c r="F150" s="17" t="inlineStr">
        <is>
          <t>Thấp</t>
        </is>
      </c>
      <c r="G150" s="17" t="inlineStr">
        <is>
          <t>Đã hoàn thiện</t>
        </is>
      </c>
      <c r="H150" s="17" t="inlineStr">
        <is>
          <t>Có</t>
        </is>
      </c>
      <c r="I1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50" s="15" t="inlineStr">
        <is>
          <t>1. Đăng nhập member1@sofinhub.test (POST /api/auth/login, lấy accessToken, gắn header Authorization: Bearer).
2. GET /api/courses/yt/posts và /api/courses/fin/posts</t>
        </is>
      </c>
      <c r="K150" s="15" t="inlineStr">
        <is>
          <t>-</t>
        </is>
      </c>
      <c r="L150" s="15" t="inlineStr">
        <is>
          <t>Mỗi cộng đồng có bài id dạng seed-post-&lt;courseId&gt;-0..3 (bài 0 ghim); bài photo-only (m1-image...) không xuất hiện ở yt/fin.</t>
        </is>
      </c>
      <c r="M150" s="15" t="inlineStr"/>
      <c r="N150" s="18" t="inlineStr">
        <is>
          <t>Chưa test</t>
        </is>
      </c>
      <c r="O150" s="15" t="inlineStr"/>
      <c r="P150" s="15" t="inlineStr"/>
      <c r="Q150" s="18" t="inlineStr">
        <is>
          <t>Chưa test</t>
        </is>
      </c>
      <c r="R150" s="15" t="inlineStr"/>
    </row>
    <row r="151" ht="90" customHeight="1">
      <c r="A151" s="14" t="inlineStr">
        <is>
          <t>TC-FEED-150</t>
        </is>
      </c>
      <c r="B151" s="15" t="inlineStr">
        <is>
          <t>Bảng tin &amp; Tương tác cộng đồng</t>
        </is>
      </c>
      <c r="C151" s="15" t="inlineStr">
        <is>
          <t>Điểm thưởng</t>
        </is>
      </c>
      <c r="D151" s="15" t="inlineStr">
        <is>
          <t>Đăng bài +5, nhận like đầu +2; xóa bài không thu hồi điểm (hành vi hiện tại)</t>
        </is>
      </c>
      <c r="E151" s="15" t="inlineStr">
        <is>
          <t>Chức năng</t>
        </is>
      </c>
      <c r="F151" s="20" t="inlineStr">
        <is>
          <t>Trung bình</t>
        </is>
      </c>
      <c r="G151" s="17" t="inlineStr">
        <is>
          <t>Đã hoàn thiện</t>
        </is>
      </c>
      <c r="H151" s="17" t="inlineStr">
        <is>
          <t>Có</t>
        </is>
      </c>
      <c r="I151" s="15" t="inlineStr">
        <is>
          <t>Tài khoản seed @sofinhub.test / Passw0rd!x: owner, cadmin (admin photo), mod, member1, member2, member3 (member photo), newbie (chưa ở cộng đồng nào), banned (bị cấm khỏi photo), admin (Platform Admin, KHÔNG ghi danh photo).</t>
        </is>
      </c>
      <c r="J151" s="15" t="inlineStr">
        <is>
          <t>1. Đăng nhập member2@sofinhub.test (POST /api/auth/login, lấy accessToken, gắn header Authorization: Bearer).
2. Ghi điểm; tạo bài (+5)
3. Đăng nhập member3@sofinhub.test (POST /api/auth/login, lấy accessToken, gắn header Authorization: Bearer).
4. like bài đó
5. Đăng nhập member2@sofinhub.test (POST /api/auth/login, lấy accessToken, gắn header Authorization: Bearer).
6. Ghi điểm (+2); xóa bài; ghi điểm lại</t>
        </is>
      </c>
      <c r="K151" s="15" t="inlineStr">
        <is>
          <t>-</t>
        </is>
      </c>
      <c r="L151" s="15" t="inlineStr">
        <is>
          <t>Điểm member2 tăng +5 rồi +2; sau khi xóa bài điểm KHÔNG giảm (chưa chốt: có thu hồi điểm khi xóa bài hay không). Bảng xếp hạng phản ánh cùng số.</t>
        </is>
      </c>
      <c r="M151" s="15" t="inlineStr"/>
      <c r="N151" s="18" t="inlineStr">
        <is>
          <t>Chưa test</t>
        </is>
      </c>
      <c r="O151" s="15" t="inlineStr"/>
      <c r="P151" s="15" t="inlineStr"/>
      <c r="Q151" s="18" t="inlineStr">
        <is>
          <t>Chưa test</t>
        </is>
      </c>
      <c r="R151" s="15" t="inlineStr"/>
    </row>
    <row r="152" ht="45" customHeight="1">
      <c r="A152" s="14" t="inlineStr">
        <is>
          <t>TC-FEED-151</t>
        </is>
      </c>
      <c r="B152" s="15" t="inlineStr">
        <is>
          <t>Bảng tin &amp; Tương tác cộng đồng</t>
        </is>
      </c>
      <c r="C152" s="15" t="inlineStr">
        <is>
          <t>Điểm thưởng</t>
        </is>
      </c>
      <c r="D152" s="15" t="inlineStr">
        <is>
          <t>Đăng nhiều bài không bị giới hạn tốc độ/điểm mỗi ngày (ghi nhận rủi ro farm điểm)</t>
        </is>
      </c>
      <c r="E152" s="15" t="inlineStr">
        <is>
          <t>Bảo mật</t>
        </is>
      </c>
      <c r="F152" s="17" t="inlineStr">
        <is>
          <t>Thấp</t>
        </is>
      </c>
      <c r="G152" s="17" t="inlineStr">
        <is>
          <t>Đã hoàn thiện</t>
        </is>
      </c>
      <c r="H152" s="17" t="inlineStr">
        <is>
          <t>Có</t>
        </is>
      </c>
      <c r="I152" s="15" t="inlineStr">
        <is>
          <t>Tài khoản seed @sofinhub.test / Passw0rd!x: owner, cadmin (admin photo), mod, member1, member2, member3 (member photo), newbie (chưa ở cộng đồng nào), banned (bị cấm khỏi photo), admin (Platform Admin, KHÔNG ghi danh photo).</t>
        </is>
      </c>
      <c r="J152" s="15" t="inlineStr">
        <is>
          <t>1. Đăng nhập member2@sofinhub.test (POST /api/auth/login, lấy accessToken, gắn header Authorization: Bearer).
2. Tạo 20 bài liên tiếp với nội dung khác nhau
3. Đọc điểm</t>
        </is>
      </c>
      <c r="K152" s="15" t="inlineStr">
        <is>
          <t>-</t>
        </is>
      </c>
      <c r="L152" s="15" t="inlineStr">
        <is>
          <t>Điểm tăng 100 (20 x 5); không có 429 (giá trị tạm, hiện chưa có trần điểm/ngày hay rate limit đăng bài).</t>
        </is>
      </c>
      <c r="M152" s="15" t="inlineStr"/>
      <c r="N152" s="18" t="inlineStr">
        <is>
          <t>Chưa test</t>
        </is>
      </c>
      <c r="O152" s="15" t="inlineStr"/>
      <c r="P152" s="15" t="inlineStr"/>
      <c r="Q152" s="18" t="inlineStr">
        <is>
          <t>Chưa test</t>
        </is>
      </c>
      <c r="R152" s="15" t="inlineStr"/>
    </row>
    <row r="153" ht="45" customHeight="1">
      <c r="A153" s="14" t="inlineStr">
        <is>
          <t>TC-FEED-152</t>
        </is>
      </c>
      <c r="B153" s="15" t="inlineStr">
        <is>
          <t>Bảng tin &amp; Tương tác cộng đồng</t>
        </is>
      </c>
      <c r="C153" s="15" t="inlineStr">
        <is>
          <t>Tương tác thời gian thực</t>
        </is>
      </c>
      <c r="D153" s="15" t="inlineStr">
        <is>
          <t>Bài mới của một người có xuất hiện ở người khác sau khi tải lại/refetch</t>
        </is>
      </c>
      <c r="E153" s="15" t="inlineStr">
        <is>
          <t>Tích hợp</t>
        </is>
      </c>
      <c r="F153" s="17" t="inlineStr">
        <is>
          <t>Thấp</t>
        </is>
      </c>
      <c r="G153" s="17" t="inlineStr">
        <is>
          <t>Đã hoàn thiện</t>
        </is>
      </c>
      <c r="H153" s="20" t="inlineStr">
        <is>
          <t>Một phần</t>
        </is>
      </c>
      <c r="I153" s="15" t="inlineStr">
        <is>
          <t>Tài khoản seed @sofinhub.test / Passw0rd!x: owner, cadmin (admin photo), mod, member1, member2, member3 (member photo), newbie (chưa ở cộng đồng nào), banned (bị cấm khỏi photo), admin (Platform Admin, KHÔNG ghi danh photo).</t>
        </is>
      </c>
      <c r="J153" s="15" t="inlineStr">
        <is>
          <t>1. Mở /courses/photo/community bằng member3 ở tab A
2. member2 đăng bài bằng tab B
3. Ở tab A tải lại hoặc đổi chip chuyên mục</t>
        </is>
      </c>
      <c r="K153" s="15" t="inlineStr">
        <is>
          <t>-</t>
        </is>
      </c>
      <c r="L153" s="15" t="inlineStr">
        <is>
          <t>Bảng tin không có realtime cho bài (chỉ thông báo qua SSE); bài mới xuất hiện sau refetch/tải lại, đứng đầu nhóm thường.</t>
        </is>
      </c>
      <c r="M153" s="15" t="inlineStr"/>
      <c r="N153" s="18" t="inlineStr">
        <is>
          <t>Chưa test</t>
        </is>
      </c>
      <c r="O153" s="15" t="inlineStr"/>
      <c r="P153" s="15" t="inlineStr"/>
      <c r="Q153" s="18" t="inlineStr">
        <is>
          <t>Chưa test</t>
        </is>
      </c>
      <c r="R153" s="15" t="inlineStr"/>
    </row>
  </sheetData>
  <autoFilter ref="A1:R153"/>
  <conditionalFormatting sqref="N2:N1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3" showDropDown="0" showInputMessage="0" showErrorMessage="0" allowBlank="1" type="list">
      <formula1>"Chưa test,Pass,Fail,Blocked,N/A"</formula1>
    </dataValidation>
    <dataValidation sqref="Q2:Q153" showDropDown="0" showInputMessage="0" showErrorMessage="0" allowBlank="1" type="list">
      <formula1>"Chưa test,Pass,Fail,Blocked,N/A"</formula1>
    </dataValidation>
    <dataValidation sqref="F2:F153" showDropDown="0" showInputMessage="0" showErrorMessage="0" allowBlank="1" type="list">
      <formula1>"Cao,Trung bình,Thấp"</formula1>
    </dataValidation>
    <dataValidation sqref="G2:G153" showDropDown="0" showInputMessage="0" showErrorMessage="0" allowBlank="1" type="list">
      <formula1>"Đã hoàn thiện,Kế hoạch"</formula1>
    </dataValidation>
    <dataValidation sqref="H2:H153"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TC-MEMBER-001</t>
        </is>
      </c>
      <c r="B2" s="15" t="inlineStr">
        <is>
          <t>Thành viên, Hồ sơ &amp; Xếp hạng</t>
        </is>
      </c>
      <c r="C2" s="15" t="inlineStr">
        <is>
          <t>Danh sách thành viên</t>
        </is>
      </c>
      <c r="D2" s="15" t="inlineStr">
        <is>
          <t>Tìm kiếm thành viên theo tên trong cộng đồng</t>
        </is>
      </c>
      <c r="E2" s="15" t="inlineStr">
        <is>
          <t>Chức năng</t>
        </is>
      </c>
      <c r="F2" s="20" t="inlineStr">
        <is>
          <t>Trung bình</t>
        </is>
      </c>
      <c r="G2" s="17" t="inlineStr">
        <is>
          <t>Đã hoàn thiện</t>
        </is>
      </c>
      <c r="H2" s="17" t="inlineStr">
        <is>
          <t>Có</t>
        </is>
      </c>
      <c r="I2" s="15" t="inlineStr">
        <is>
          <t>Cộng đồng có nhiều thành viên</t>
        </is>
      </c>
      <c r="J2" s="15" t="inlineStr">
        <is>
          <t>1. Vào tab Thành viên
2. Nhập tên vào ô tìm kiếm</t>
        </is>
      </c>
      <c r="K2" s="15" t="inlineStr">
        <is>
          <t>Tên thành viên có thật</t>
        </is>
      </c>
      <c r="L2" s="15" t="inlineStr">
        <is>
          <t>Trả về đúng thành viên khớp tên tìm kiếm</t>
        </is>
      </c>
      <c r="M2" s="15" t="inlineStr"/>
      <c r="N2" s="18" t="inlineStr">
        <is>
          <t>Chưa test</t>
        </is>
      </c>
      <c r="O2" s="15" t="inlineStr"/>
      <c r="P2" s="15" t="inlineStr"/>
      <c r="Q2" s="18" t="inlineStr">
        <is>
          <t>Chưa test</t>
        </is>
      </c>
      <c r="R2" s="15" t="inlineStr"/>
    </row>
    <row r="3" ht="30" customHeight="1">
      <c r="A3" s="14" t="inlineStr">
        <is>
          <t>TC-MEMBER-002</t>
        </is>
      </c>
      <c r="B3" s="15" t="inlineStr">
        <is>
          <t>Thành viên, Hồ sơ &amp; Xếp hạng</t>
        </is>
      </c>
      <c r="C3" s="15" t="inlineStr">
        <is>
          <t>Danh sách thành viên</t>
        </is>
      </c>
      <c r="D3" s="15" t="inlineStr">
        <is>
          <t>Lọc danh sách thành viên theo vai trò (Owner/Admin/Member)</t>
        </is>
      </c>
      <c r="E3" s="15" t="inlineStr">
        <is>
          <t>Chức năng</t>
        </is>
      </c>
      <c r="F3" s="20" t="inlineStr">
        <is>
          <t>Trung bình</t>
        </is>
      </c>
      <c r="G3" s="17" t="inlineStr">
        <is>
          <t>Đã hoàn thiện</t>
        </is>
      </c>
      <c r="H3" s="17" t="inlineStr">
        <is>
          <t>Có</t>
        </is>
      </c>
      <c r="I3" s="15" t="inlineStr">
        <is>
          <t>Cộng đồng có thành viên ở nhiều vai trò</t>
        </is>
      </c>
      <c r="J3" s="15" t="inlineStr">
        <is>
          <t>1. Vào tab Thành viên
2. Chọn lọc theo vai trò 'Admin'</t>
        </is>
      </c>
      <c r="K3" s="15" t="inlineStr">
        <is>
          <t>-</t>
        </is>
      </c>
      <c r="L3" s="15" t="inlineStr">
        <is>
          <t>Chỉ hiển thị các thành viên có vai trò Admin trong cộng đồng đó</t>
        </is>
      </c>
      <c r="M3" s="15" t="inlineStr"/>
      <c r="N3" s="18" t="inlineStr">
        <is>
          <t>Chưa test</t>
        </is>
      </c>
      <c r="O3" s="15" t="inlineStr"/>
      <c r="P3" s="15" t="inlineStr"/>
      <c r="Q3" s="18" t="inlineStr">
        <is>
          <t>Chưa test</t>
        </is>
      </c>
      <c r="R3" s="15" t="inlineStr"/>
    </row>
    <row r="4" ht="45" customHeight="1">
      <c r="A4" s="14" t="inlineStr">
        <is>
          <t>TC-MEMBER-003</t>
        </is>
      </c>
      <c r="B4" s="15" t="inlineStr">
        <is>
          <t>Thành viên, Hồ sơ &amp; Xếp hạng</t>
        </is>
      </c>
      <c r="C4" s="15" t="inlineStr">
        <is>
          <t>Hệ thống điểm</t>
        </is>
      </c>
      <c r="D4" s="15" t="inlineStr">
        <is>
          <t>Cộng điểm khi thành viên đăng bài</t>
        </is>
      </c>
      <c r="E4" s="15" t="inlineStr">
        <is>
          <t>Chức năng</t>
        </is>
      </c>
      <c r="F4" s="20" t="inlineStr">
        <is>
          <t>Trung bình</t>
        </is>
      </c>
      <c r="G4" s="17" t="inlineStr">
        <is>
          <t>Đã hoàn thiện</t>
        </is>
      </c>
      <c r="H4" s="17" t="inlineStr">
        <is>
          <t>Có</t>
        </is>
      </c>
      <c r="I4" s="15" t="inlineStr">
        <is>
          <t>Thành viên có điểm ban đầu xác định</t>
        </is>
      </c>
      <c r="J4" s="15" t="inlineStr">
        <is>
          <t>1. Ghi nhận điểm hiện tại của thành viên
2. Thành viên đăng 1 bài viết mới
3. Kiểm tra lại điểm</t>
        </is>
      </c>
      <c r="K4" s="15" t="inlineStr">
        <is>
          <t>-</t>
        </is>
      </c>
      <c r="L4" s="15" t="inlineStr">
        <is>
          <t>Điểm tăng đúng theo quy tắc cộng điểm khi đăng bài</t>
        </is>
      </c>
      <c r="M4" s="15" t="inlineStr"/>
      <c r="N4" s="18" t="inlineStr">
        <is>
          <t>Chưa test</t>
        </is>
      </c>
      <c r="O4" s="15" t="inlineStr"/>
      <c r="P4" s="15" t="inlineStr"/>
      <c r="Q4" s="18" t="inlineStr">
        <is>
          <t>Chưa test</t>
        </is>
      </c>
      <c r="R4" s="15" t="inlineStr"/>
    </row>
    <row r="5" ht="30" customHeight="1">
      <c r="A5" s="14" t="inlineStr">
        <is>
          <t>TC-MEMBER-004</t>
        </is>
      </c>
      <c r="B5" s="15" t="inlineStr">
        <is>
          <t>Thành viên, Hồ sơ &amp; Xếp hạng</t>
        </is>
      </c>
      <c r="C5" s="15" t="inlineStr">
        <is>
          <t>Hệ thống điểm</t>
        </is>
      </c>
      <c r="D5" s="15" t="inlineStr">
        <is>
          <t>Cộng điểm khi bài viết/bình luận của thành viên được thích</t>
        </is>
      </c>
      <c r="E5" s="15" t="inlineStr">
        <is>
          <t>Chức năng</t>
        </is>
      </c>
      <c r="F5" s="20" t="inlineStr">
        <is>
          <t>Trung bình</t>
        </is>
      </c>
      <c r="G5" s="17" t="inlineStr">
        <is>
          <t>Đã hoàn thiện</t>
        </is>
      </c>
      <c r="H5" s="17" t="inlineStr">
        <is>
          <t>Có</t>
        </is>
      </c>
      <c r="I5" s="15" t="inlineStr">
        <is>
          <t>Thành viên có bài viết/bình luận</t>
        </is>
      </c>
      <c r="J5" s="15" t="inlineStr">
        <is>
          <t>1. Người khác thích bài viết/bình luận của thành viên
2. Kiểm tra điểm của thành viên đó</t>
        </is>
      </c>
      <c r="K5" s="15" t="inlineStr">
        <is>
          <t>-</t>
        </is>
      </c>
      <c r="L5" s="15" t="inlineStr">
        <is>
          <t>Điểm tăng đúng theo quy tắc khi nhận được lượt thích</t>
        </is>
      </c>
      <c r="M5" s="15" t="inlineStr"/>
      <c r="N5" s="18" t="inlineStr">
        <is>
          <t>Chưa test</t>
        </is>
      </c>
      <c r="O5" s="15" t="inlineStr"/>
      <c r="P5" s="15" t="inlineStr"/>
      <c r="Q5" s="18" t="inlineStr">
        <is>
          <t>Chưa test</t>
        </is>
      </c>
      <c r="R5" s="15" t="inlineStr"/>
    </row>
    <row r="6" ht="30" customHeight="1">
      <c r="A6" s="14" t="inlineStr">
        <is>
          <t>TC-MEMBER-005</t>
        </is>
      </c>
      <c r="B6" s="15" t="inlineStr">
        <is>
          <t>Thành viên, Hồ sơ &amp; Xếp hạng</t>
        </is>
      </c>
      <c r="C6" s="15" t="inlineStr">
        <is>
          <t>Hệ thống điểm</t>
        </is>
      </c>
      <c r="D6" s="15" t="inlineStr">
        <is>
          <t>Cộng điểm khi hoàn thành bài học</t>
        </is>
      </c>
      <c r="E6" s="15" t="inlineStr">
        <is>
          <t>Chức năng</t>
        </is>
      </c>
      <c r="F6" s="20" t="inlineStr">
        <is>
          <t>Trung bình</t>
        </is>
      </c>
      <c r="G6" s="17" t="inlineStr">
        <is>
          <t>Đã hoàn thiện</t>
        </is>
      </c>
      <c r="H6" s="17" t="inlineStr">
        <is>
          <t>Có</t>
        </is>
      </c>
      <c r="I6" s="15" t="inlineStr">
        <is>
          <t>Thành viên đang học 1 khóa học</t>
        </is>
      </c>
      <c r="J6" s="15" t="inlineStr">
        <is>
          <t>1. Thành viên đánh dấu hoàn thành 1 bài học
2. Kiểm tra điểm của thành viên</t>
        </is>
      </c>
      <c r="K6" s="15" t="inlineStr">
        <is>
          <t>-</t>
        </is>
      </c>
      <c r="L6" s="15" t="inlineStr">
        <is>
          <t>Điểm tăng đúng theo quy tắc khi hoàn thành bài học</t>
        </is>
      </c>
      <c r="M6" s="15" t="inlineStr"/>
      <c r="N6" s="18" t="inlineStr">
        <is>
          <t>Chưa test</t>
        </is>
      </c>
      <c r="O6" s="15" t="inlineStr"/>
      <c r="P6" s="15" t="inlineStr"/>
      <c r="Q6" s="18" t="inlineStr">
        <is>
          <t>Chưa test</t>
        </is>
      </c>
      <c r="R6" s="15" t="inlineStr"/>
    </row>
    <row r="7" ht="30" customHeight="1">
      <c r="A7" s="14" t="inlineStr">
        <is>
          <t>TC-MEMBER-006</t>
        </is>
      </c>
      <c r="B7" s="15" t="inlineStr">
        <is>
          <t>Thành viên, Hồ sơ &amp; Xếp hạng</t>
        </is>
      </c>
      <c r="C7" s="15" t="inlineStr">
        <is>
          <t>Bảng xếp hạng</t>
        </is>
      </c>
      <c r="D7" s="15" t="inlineStr">
        <is>
          <t>Xem bảng xếp hạng theo 7 ngày</t>
        </is>
      </c>
      <c r="E7" s="15" t="inlineStr">
        <is>
          <t>Chức năng</t>
        </is>
      </c>
      <c r="F7" s="17" t="inlineStr">
        <is>
          <t>Thấp</t>
        </is>
      </c>
      <c r="G7" s="17" t="inlineStr">
        <is>
          <t>Đã hoàn thiện</t>
        </is>
      </c>
      <c r="H7" s="17" t="inlineStr">
        <is>
          <t>Có</t>
        </is>
      </c>
      <c r="I7" s="15" t="inlineStr">
        <is>
          <t>Có hoạt động ghi nhận điểm trong 7 ngày gần nhất</t>
        </is>
      </c>
      <c r="J7" s="15" t="inlineStr">
        <is>
          <t>1. Vào bảng xếp hạng
2. Chọn khoảng thời gian '7 ngày'</t>
        </is>
      </c>
      <c r="K7" s="15" t="inlineStr">
        <is>
          <t>-</t>
        </is>
      </c>
      <c r="L7" s="15" t="inlineStr">
        <is>
          <t>Xếp hạng đúng theo tổng điểm tích lũy trong 7 ngày gần nhất, sắp xếp giảm dần</t>
        </is>
      </c>
      <c r="M7" s="15" t="inlineStr"/>
      <c r="N7" s="18" t="inlineStr">
        <is>
          <t>Chưa test</t>
        </is>
      </c>
      <c r="O7" s="15" t="inlineStr"/>
      <c r="P7" s="15" t="inlineStr"/>
      <c r="Q7" s="18" t="inlineStr">
        <is>
          <t>Chưa test</t>
        </is>
      </c>
      <c r="R7" s="15" t="inlineStr"/>
    </row>
    <row r="8" ht="30" customHeight="1">
      <c r="A8" s="14" t="inlineStr">
        <is>
          <t>TC-MEMBER-007</t>
        </is>
      </c>
      <c r="B8" s="15" t="inlineStr">
        <is>
          <t>Thành viên, Hồ sơ &amp; Xếp hạng</t>
        </is>
      </c>
      <c r="C8" s="15" t="inlineStr">
        <is>
          <t>Bảng xếp hạng</t>
        </is>
      </c>
      <c r="D8" s="15" t="inlineStr">
        <is>
          <t>Xem bảng xếp hạng theo 30 ngày</t>
        </is>
      </c>
      <c r="E8" s="15" t="inlineStr">
        <is>
          <t>Chức năng</t>
        </is>
      </c>
      <c r="F8" s="17" t="inlineStr">
        <is>
          <t>Thấp</t>
        </is>
      </c>
      <c r="G8" s="17" t="inlineStr">
        <is>
          <t>Đã hoàn thiện</t>
        </is>
      </c>
      <c r="H8" s="17" t="inlineStr">
        <is>
          <t>Có</t>
        </is>
      </c>
      <c r="I8" s="15" t="inlineStr">
        <is>
          <t>Có hoạt động ghi nhận điểm trong 30 ngày gần nhất</t>
        </is>
      </c>
      <c r="J8" s="15" t="inlineStr">
        <is>
          <t>1. Vào bảng xếp hạng
2. Chọn khoảng thời gian '30 ngày'</t>
        </is>
      </c>
      <c r="K8" s="15" t="inlineStr">
        <is>
          <t>-</t>
        </is>
      </c>
      <c r="L8" s="15" t="inlineStr">
        <is>
          <t>Xếp hạng đúng theo tổng điểm tích lũy trong 30 ngày gần nhất</t>
        </is>
      </c>
      <c r="M8" s="15" t="inlineStr"/>
      <c r="N8" s="18" t="inlineStr">
        <is>
          <t>Chưa test</t>
        </is>
      </c>
      <c r="O8" s="15" t="inlineStr"/>
      <c r="P8" s="15" t="inlineStr"/>
      <c r="Q8" s="18" t="inlineStr">
        <is>
          <t>Chưa test</t>
        </is>
      </c>
      <c r="R8" s="15" t="inlineStr"/>
    </row>
    <row r="9" ht="30" customHeight="1">
      <c r="A9" s="14" t="inlineStr">
        <is>
          <t>TC-MEMBER-008</t>
        </is>
      </c>
      <c r="B9" s="15" t="inlineStr">
        <is>
          <t>Thành viên, Hồ sơ &amp; Xếp hạng</t>
        </is>
      </c>
      <c r="C9" s="15" t="inlineStr">
        <is>
          <t>Bảng xếp hạng</t>
        </is>
      </c>
      <c r="D9" s="15" t="inlineStr">
        <is>
          <t>Xem bảng xếp hạng mọi thời điểm</t>
        </is>
      </c>
      <c r="E9" s="15" t="inlineStr">
        <is>
          <t>Chức năng</t>
        </is>
      </c>
      <c r="F9" s="17" t="inlineStr">
        <is>
          <t>Thấp</t>
        </is>
      </c>
      <c r="G9" s="17" t="inlineStr">
        <is>
          <t>Đã hoàn thiện</t>
        </is>
      </c>
      <c r="H9" s="17" t="inlineStr">
        <is>
          <t>Có</t>
        </is>
      </c>
      <c r="I9" s="15" t="inlineStr">
        <is>
          <t>Có dữ liệu điểm tích lũy</t>
        </is>
      </c>
      <c r="J9" s="15" t="inlineStr">
        <is>
          <t>1. Vào bảng xếp hạng
2. Chọn 'Mọi thời điểm'</t>
        </is>
      </c>
      <c r="K9" s="15" t="inlineStr">
        <is>
          <t>-</t>
        </is>
      </c>
      <c r="L9" s="15" t="inlineStr">
        <is>
          <t>Xếp hạng đúng theo tổng điểm từ trước tới nay, sắp xếp giảm dần</t>
        </is>
      </c>
      <c r="M9" s="15" t="inlineStr"/>
      <c r="N9" s="18" t="inlineStr">
        <is>
          <t>Chưa test</t>
        </is>
      </c>
      <c r="O9" s="15" t="inlineStr"/>
      <c r="P9" s="15" t="inlineStr"/>
      <c r="Q9" s="18" t="inlineStr">
        <is>
          <t>Chưa test</t>
        </is>
      </c>
      <c r="R9" s="15" t="inlineStr"/>
    </row>
    <row r="10" ht="30" customHeight="1">
      <c r="A10" s="14" t="inlineStr">
        <is>
          <t>TC-MEMBER-009</t>
        </is>
      </c>
      <c r="B10" s="15" t="inlineStr">
        <is>
          <t>Thành viên, Hồ sơ &amp; Xếp hạng</t>
        </is>
      </c>
      <c r="C10" s="15" t="inlineStr">
        <is>
          <t>Hệ thống điểm</t>
        </is>
      </c>
      <c r="D10" s="15" t="inlineStr">
        <is>
          <t>Điểm không bị trừ khi bỏ thích (unlike) sau khi đã thích</t>
        </is>
      </c>
      <c r="E10" s="15" t="inlineStr">
        <is>
          <t>Chức năng</t>
        </is>
      </c>
      <c r="F10" s="17" t="inlineStr">
        <is>
          <t>Thấp</t>
        </is>
      </c>
      <c r="G10" s="17" t="inlineStr">
        <is>
          <t>Đã hoàn thiện</t>
        </is>
      </c>
      <c r="H10" s="17" t="inlineStr">
        <is>
          <t>Có</t>
        </is>
      </c>
      <c r="I10" s="15" t="inlineStr">
        <is>
          <t>Thành viên đã nhận 1 lượt thích và được cộng điểm</t>
        </is>
      </c>
      <c r="J10" s="15" t="inlineStr">
        <is>
          <t>1. Người thích bỏ thích (unlike) bài viết/bình luận đó
2. Kiểm tra lại điểm của thành viên nhận thích</t>
        </is>
      </c>
      <c r="K10" s="15" t="inlineStr">
        <is>
          <t>-</t>
        </is>
      </c>
      <c r="L10" s="15" t="inlineStr">
        <is>
          <t>Cần xác nhận quy tắc với BA: điểm có bị trừ lại khi unlike hay giữ nguyên — test theo đúng quy tắc đã chốt</t>
        </is>
      </c>
      <c r="M10" s="15" t="inlineStr"/>
      <c r="N10" s="18" t="inlineStr">
        <is>
          <t>Chưa test</t>
        </is>
      </c>
      <c r="O10" s="15" t="inlineStr"/>
      <c r="P10" s="15" t="inlineStr"/>
      <c r="Q10" s="18" t="inlineStr">
        <is>
          <t>Chưa test</t>
        </is>
      </c>
      <c r="R10" s="15" t="inlineStr"/>
    </row>
    <row r="11" ht="30" customHeight="1">
      <c r="A11" s="14" t="inlineStr">
        <is>
          <t>TC-MEMBER-010</t>
        </is>
      </c>
      <c r="B11" s="15" t="inlineStr">
        <is>
          <t>Thành viên, Hồ sơ &amp; Xếp hạng</t>
        </is>
      </c>
      <c r="C11" s="15" t="inlineStr">
        <is>
          <t>Bảng xếp hạng</t>
        </is>
      </c>
      <c r="D11" s="15" t="inlineStr">
        <is>
          <t>Xử lý đồng điểm (tie-break) trên bảng xếp hạng</t>
        </is>
      </c>
      <c r="E11" s="15" t="inlineStr">
        <is>
          <t>Chức năng</t>
        </is>
      </c>
      <c r="F11" s="17" t="inlineStr">
        <is>
          <t>Thấp</t>
        </is>
      </c>
      <c r="G11" s="17" t="inlineStr">
        <is>
          <t>Đã hoàn thiện</t>
        </is>
      </c>
      <c r="H11" s="17" t="inlineStr">
        <is>
          <t>Có</t>
        </is>
      </c>
      <c r="I11" s="15" t="inlineStr">
        <is>
          <t>Có từ 2 thành viên cùng tổng điểm bằng nhau</t>
        </is>
      </c>
      <c r="J11" s="15" t="inlineStr">
        <is>
          <t>1. Tạo dữ liệu 2 thành viên có điểm bằng nhau
2. Xem bảng xếp hạng</t>
        </is>
      </c>
      <c r="K11" s="15" t="inlineStr">
        <is>
          <t>2 thành viên cùng điểm</t>
        </is>
      </c>
      <c r="L11" s="15" t="inlineStr">
        <is>
          <t>Có quy tắc xếp hạng phụ rõ ràng (VD theo thời gian đạt điểm, alphabet...), không hiển thị ngẫu nhiên/không nhất quán</t>
        </is>
      </c>
      <c r="M11" s="15" t="inlineStr"/>
      <c r="N11" s="18" t="inlineStr">
        <is>
          <t>Chưa test</t>
        </is>
      </c>
      <c r="O11" s="15" t="inlineStr"/>
      <c r="P11" s="15" t="inlineStr"/>
      <c r="Q11" s="18" t="inlineStr">
        <is>
          <t>Chưa test</t>
        </is>
      </c>
      <c r="R11" s="15" t="inlineStr"/>
    </row>
    <row r="12" ht="30" customHeight="1">
      <c r="A12" s="14" t="inlineStr">
        <is>
          <t>TC-MEMBER-011</t>
        </is>
      </c>
      <c r="B12" s="15" t="inlineStr">
        <is>
          <t>Thành viên, Hồ sơ &amp; Xếp hạng</t>
        </is>
      </c>
      <c r="C12" s="15" t="inlineStr">
        <is>
          <t>Danh sách thành viên</t>
        </is>
      </c>
      <c r="D12" s="15" t="inlineStr">
        <is>
          <t>Thành viên bị cấm không hiển thị trong danh sách thành viên/bảng xếp hạng</t>
        </is>
      </c>
      <c r="E12" s="15" t="inlineStr">
        <is>
          <t>Bảo mật</t>
        </is>
      </c>
      <c r="F12" s="20" t="inlineStr">
        <is>
          <t>Trung bình</t>
        </is>
      </c>
      <c r="G12" s="17" t="inlineStr">
        <is>
          <t>Đã hoàn thiện</t>
        </is>
      </c>
      <c r="H12" s="17" t="inlineStr">
        <is>
          <t>Có</t>
        </is>
      </c>
      <c r="I12" s="15" t="inlineStr">
        <is>
          <t>Có thành viên đã bị Platform Admin cấm</t>
        </is>
      </c>
      <c r="J12" s="15" t="inlineStr">
        <is>
          <t>1. Platform Admin cấm 1 thành viên
2. Kiểm tra danh sách thành viên và bảng xếp hạng của cộng đồng</t>
        </is>
      </c>
      <c r="K12" s="15" t="inlineStr">
        <is>
          <t>-</t>
        </is>
      </c>
      <c r="L12" s="15" t="inlineStr">
        <is>
          <t>Thành viên bị cấm không còn xuất hiện trong danh sách/bảng xếp hạng công khai</t>
        </is>
      </c>
      <c r="M12" s="15" t="inlineStr"/>
      <c r="N12" s="18" t="inlineStr">
        <is>
          <t>Chưa test</t>
        </is>
      </c>
      <c r="O12" s="15" t="inlineStr"/>
      <c r="P12" s="15" t="inlineStr"/>
      <c r="Q12" s="18" t="inlineStr">
        <is>
          <t>Chưa test</t>
        </is>
      </c>
      <c r="R12" s="15" t="inlineStr"/>
    </row>
    <row r="13" ht="30" customHeight="1">
      <c r="A13" s="14" t="inlineStr">
        <is>
          <t>TC-MEMBER-012</t>
        </is>
      </c>
      <c r="B13" s="15" t="inlineStr">
        <is>
          <t>Thành viên, Hồ sơ &amp; Xếp hạng</t>
        </is>
      </c>
      <c r="C13" s="15" t="inlineStr">
        <is>
          <t>Hồ sơ thành viên</t>
        </is>
      </c>
      <c r="D13" s="15" t="inlineStr">
        <is>
          <t>Xem hồ sơ công khai của thành viên khác</t>
        </is>
      </c>
      <c r="E13" s="15" t="inlineStr">
        <is>
          <t>Chức năng</t>
        </is>
      </c>
      <c r="F13" s="17" t="inlineStr">
        <is>
          <t>Thấp</t>
        </is>
      </c>
      <c r="G13" s="17" t="inlineStr">
        <is>
          <t>Đã hoàn thiện</t>
        </is>
      </c>
      <c r="H13" s="20" t="inlineStr">
        <is>
          <t>Một phần</t>
        </is>
      </c>
      <c r="I13" s="15" t="inlineStr">
        <is>
          <t>Có 2 thành viên trong cùng cộng đồng</t>
        </is>
      </c>
      <c r="J13" s="15" t="inlineStr">
        <is>
          <t>1. Mở danh sách thành viên
2. Bấm vào 1 thành viên để xem hồ sơ</t>
        </is>
      </c>
      <c r="K13" s="15" t="inlineStr">
        <is>
          <t>-</t>
        </is>
      </c>
      <c r="L13" s="15" t="inlineStr">
        <is>
          <t>Hiển thị đúng thông tin công khai, không lộ thông tin riêng tư (email, lịch sử thanh toán...)</t>
        </is>
      </c>
      <c r="M13" s="15" t="inlineStr"/>
      <c r="N13" s="18" t="inlineStr">
        <is>
          <t>Chưa test</t>
        </is>
      </c>
      <c r="O13" s="15" t="inlineStr"/>
      <c r="P13" s="15" t="inlineStr"/>
      <c r="Q13" s="18" t="inlineStr">
        <is>
          <t>Chưa test</t>
        </is>
      </c>
      <c r="R13" s="15" t="inlineStr"/>
    </row>
    <row r="14" ht="30" customHeight="1">
      <c r="A14" s="14" t="inlineStr">
        <is>
          <t>TC-MEMBER-013</t>
        </is>
      </c>
      <c r="B14" s="15" t="inlineStr">
        <is>
          <t>Thành viên, Hồ sơ &amp; Xếp hạng</t>
        </is>
      </c>
      <c r="C14" s="15" t="inlineStr">
        <is>
          <t>Danh sách thành viên</t>
        </is>
      </c>
      <c r="D14" s="15" t="inlineStr">
        <is>
          <t>Mặc định photo: tổng 66 thành viên, 7 trang, thống kê counts</t>
        </is>
      </c>
      <c r="E14" s="15" t="inlineStr">
        <is>
          <t>Chức năng</t>
        </is>
      </c>
      <c r="F14" s="16" t="inlineStr">
        <is>
          <t>Cao</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14" s="15" t="inlineStr">
        <is>
          <t>1. GET /api/courses/photo/members
2. Mở /courses/photo/community/thanh-vien</t>
        </is>
      </c>
      <c r="K14" s="15" t="inlineStr">
        <is>
          <t>-</t>
        </is>
      </c>
      <c r="L14" s="15" t="inlineStr">
        <is>
          <t>200; meta={page:1,limit:10,total:66,totalPages:7}; data 10 dòng, mỗi dòng có {id,name,handle,role,roleDetail,enrolledAt,lastActiveAt,online}; counts.all=66, counts.admins=4 (owner, cadmin, mod, demo-photo-0 admin), counts.online &gt;= 7 (7 thành viên minh họa đầu luôn online; có thể cộng thêm tài khoản thật vừa hoạt động trong 5 phút); banned@ không xuất hiện</t>
        </is>
      </c>
      <c r="M14" s="15" t="inlineStr"/>
      <c r="N14" s="18" t="inlineStr">
        <is>
          <t>Chưa test</t>
        </is>
      </c>
      <c r="O14" s="15" t="inlineStr"/>
      <c r="P14" s="15" t="inlineStr"/>
      <c r="Q14" s="18" t="inlineStr">
        <is>
          <t>Chưa test</t>
        </is>
      </c>
      <c r="R14" s="15" t="inlineStr"/>
    </row>
    <row r="15" ht="60" customHeight="1">
      <c r="A15" s="14" t="inlineStr">
        <is>
          <t>TC-MEMBER-014</t>
        </is>
      </c>
      <c r="B15" s="15" t="inlineStr">
        <is>
          <t>Thành viên, Hồ sơ &amp; Xếp hạng</t>
        </is>
      </c>
      <c r="C15" s="15" t="inlineStr">
        <is>
          <t>Danh sách thành viên</t>
        </is>
      </c>
      <c r="D15" s="15" t="inlineStr">
        <is>
          <t>Trang cuối (page=7) chỉ còn 6 dòng; vượt trang trả mảng rỗng</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15" s="15" t="inlineStr">
        <is>
          <t>1. GET ?page=7
2. GET ?page=8
3. GET ?page=1&amp;limit=50
4. GET ?limit=25&amp;page=3</t>
        </is>
      </c>
      <c r="K15" s="15" t="inlineStr">
        <is>
          <t>-</t>
        </is>
      </c>
      <c r="L15" s="15" t="inlineStr">
        <is>
          <t>page=7: 6 dòng; page=8: data=[] với meta.total=66; limit=50 trang 1: 50 dòng, totalPages=2; limit=25 page=3: 16 dòng</t>
        </is>
      </c>
      <c r="M15" s="15" t="inlineStr"/>
      <c r="N15" s="18" t="inlineStr">
        <is>
          <t>Chưa test</t>
        </is>
      </c>
      <c r="O15" s="15" t="inlineStr"/>
      <c r="P15" s="15" t="inlineStr"/>
      <c r="Q15" s="18" t="inlineStr">
        <is>
          <t>Chưa test</t>
        </is>
      </c>
      <c r="R15" s="15" t="inlineStr"/>
    </row>
    <row r="16" ht="90" customHeight="1">
      <c r="A16" s="14" t="inlineStr">
        <is>
          <t>TC-MEMBER-015</t>
        </is>
      </c>
      <c r="B16" s="15" t="inlineStr">
        <is>
          <t>Thành viên, Hồ sơ &amp; Xếp hạng</t>
        </is>
      </c>
      <c r="C16" s="15" t="inlineStr">
        <is>
          <t>Danh sách thành viên</t>
        </is>
      </c>
      <c r="D16" s="15" t="inlineStr">
        <is>
          <t>Tham số phân trang/lọc không hợp lệ bị từ chối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16" s="15" t="inlineStr">
        <is>
          <t>1. GET ?page=0
2. GET ?limit=51
3. GET ?limit=abc
4. GET ?filter=owner
5. GET ?sort=name
6. GET ?q=aaaaaaaaaaaaaaaaaaaaaaaaaaaaaaaaaaaaaaaaaaaaaaaaaaaaaaaaaaaaaaaaaaaaaaaaaaaaaaaaaaaaaaaaaaaaaaaaaaaaa</t>
        </is>
      </c>
      <c r="K16" s="15" t="inlineStr">
        <is>
          <t>-</t>
        </is>
      </c>
      <c r="L16" s="15" t="inlineStr">
        <is>
          <t>Tất cả 400 VALIDATION_ERROR 'Tham số không hợp lệ' (page&gt;=1, limit 1..50, filter all|online|admin, sort active|joined, q tối đa 100 ký tự)</t>
        </is>
      </c>
      <c r="M16" s="15" t="inlineStr"/>
      <c r="N16" s="18" t="inlineStr">
        <is>
          <t>Chưa test</t>
        </is>
      </c>
      <c r="O16" s="15" t="inlineStr"/>
      <c r="P16" s="15" t="inlineStr"/>
      <c r="Q16" s="18" t="inlineStr">
        <is>
          <t>Chưa test</t>
        </is>
      </c>
      <c r="R16" s="15" t="inlineStr"/>
    </row>
    <row r="17" ht="45" customHeight="1">
      <c r="A17" s="14" t="inlineStr">
        <is>
          <t>TC-MEMBER-016</t>
        </is>
      </c>
      <c r="B17" s="15" t="inlineStr">
        <is>
          <t>Thành viên, Hồ sơ &amp; Xếp hạng</t>
        </is>
      </c>
      <c r="C17" s="15" t="inlineStr">
        <is>
          <t>Danh sách thành viên</t>
        </is>
      </c>
      <c r="D17" s="15" t="inlineStr">
        <is>
          <t>Tìm theo tên không phân biệt hoa thường: q=tom</t>
        </is>
      </c>
      <c r="E17" s="15" t="inlineStr">
        <is>
          <t>Chức năng</t>
        </is>
      </c>
      <c r="F17" s="16" t="inlineStr">
        <is>
          <t>Cao</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17" s="15" t="inlineStr">
        <is>
          <t>1. GET ?q=tom
2. GET ?q=TOM
3. Trên FE gõ 'tom' vào ô tìm kiếm tab Thành viên</t>
        </is>
      </c>
      <c r="K17" s="15" t="inlineStr">
        <is>
          <t>q='tom'</t>
        </is>
      </c>
      <c r="L17" s="15" t="inlineStr">
        <is>
          <t>Cả hai API trả cùng kết quả gồm 'Tom Be' (id demo-photo-0); meta.total khớp số dòng; FE hiển thị đúng dòng đó</t>
        </is>
      </c>
      <c r="M17" s="15" t="inlineStr"/>
      <c r="N17" s="18" t="inlineStr">
        <is>
          <t>Chưa test</t>
        </is>
      </c>
      <c r="O17" s="15" t="inlineStr"/>
      <c r="P17" s="15" t="inlineStr"/>
      <c r="Q17" s="18" t="inlineStr">
        <is>
          <t>Chưa test</t>
        </is>
      </c>
      <c r="R17" s="15" t="inlineStr"/>
    </row>
    <row r="18" ht="30" customHeight="1">
      <c r="A18" s="14" t="inlineStr">
        <is>
          <t>TC-MEMBER-017</t>
        </is>
      </c>
      <c r="B18" s="15" t="inlineStr">
        <is>
          <t>Thành viên, Hồ sơ &amp; Xếp hạng</t>
        </is>
      </c>
      <c r="C18" s="15" t="inlineStr">
        <is>
          <t>Danh sách thành viên</t>
        </is>
      </c>
      <c r="D18" s="15" t="inlineStr">
        <is>
          <t>Tìm theo handle: q=tom-be-3538</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 handle của demo-photo-0 (Tom Be) là 'tom-be-3538' (slug tên + 1000 + hash id % 9000)</t>
        </is>
      </c>
      <c r="J18" s="15" t="inlineStr">
        <is>
          <t>1. GET ?q=tom-be-3538
2. GET ?q=3538</t>
        </is>
      </c>
      <c r="K18" s="15" t="inlineStr">
        <is>
          <t>q</t>
        </is>
      </c>
      <c r="L18" s="15" t="inlineStr">
        <is>
          <t>Cả hai trả về dòng 'Tom Be' với handle 'tom-be-3538' (tìm cả tên lẫn handle)</t>
        </is>
      </c>
      <c r="M18" s="15" t="inlineStr"/>
      <c r="N18" s="18" t="inlineStr">
        <is>
          <t>Chưa test</t>
        </is>
      </c>
      <c r="O18" s="15" t="inlineStr"/>
      <c r="P18" s="15" t="inlineStr"/>
      <c r="Q18" s="18" t="inlineStr">
        <is>
          <t>Chưa test</t>
        </is>
      </c>
      <c r="R18" s="15" t="inlineStr"/>
    </row>
    <row r="19" ht="30" customHeight="1">
      <c r="A19" s="14" t="inlineStr">
        <is>
          <t>TC-MEMBER-018</t>
        </is>
      </c>
      <c r="B19" s="15" t="inlineStr">
        <is>
          <t>Thành viên, Hồ sơ &amp; Xếp hạng</t>
        </is>
      </c>
      <c r="C19" s="15" t="inlineStr">
        <is>
          <t>Danh sách thành viên</t>
        </is>
      </c>
      <c r="D19" s="15" t="inlineStr">
        <is>
          <t>Tìm không có kết quả: data rỗng, total 0, totalPages 1</t>
        </is>
      </c>
      <c r="E19" s="15" t="inlineStr">
        <is>
          <t>Chức năng</t>
        </is>
      </c>
      <c r="F19" s="20" t="inlineStr">
        <is>
          <t>Trung bình</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19" s="15" t="inlineStr">
        <is>
          <t>1. GET ?q=zzzzkhongco
2. FE nhập từ khóa này</t>
        </is>
      </c>
      <c r="K19" s="15" t="inlineStr">
        <is>
          <t>q='zzzzkhongco'</t>
        </is>
      </c>
      <c r="L19" s="15" t="inlineStr">
        <is>
          <t>200 data=[], meta={page:1,limit:10,total:0,totalPages:1}, counts vẫn 66/…; FE hiện trạng thái rỗng, không lỗi</t>
        </is>
      </c>
      <c r="M19" s="15" t="inlineStr"/>
      <c r="N19" s="18" t="inlineStr">
        <is>
          <t>Chưa test</t>
        </is>
      </c>
      <c r="O19" s="15" t="inlineStr"/>
      <c r="P19" s="15" t="inlineStr"/>
      <c r="Q19" s="18" t="inlineStr">
        <is>
          <t>Chưa test</t>
        </is>
      </c>
      <c r="R19" s="15" t="inlineStr"/>
    </row>
    <row r="20" ht="30" customHeight="1">
      <c r="A20" s="14" t="inlineStr">
        <is>
          <t>TC-MEMBER-019</t>
        </is>
      </c>
      <c r="B20" s="15" t="inlineStr">
        <is>
          <t>Thành viên, Hồ sơ &amp; Xếp hạng</t>
        </is>
      </c>
      <c r="C20" s="15" t="inlineStr">
        <is>
          <t>Danh sách thành viên</t>
        </is>
      </c>
      <c r="D20" s="15" t="inlineStr">
        <is>
          <t>Tìm có dấu tiếng Việt: khớp đúng dấu, không tự bỏ dấu</t>
        </is>
      </c>
      <c r="E20" s="15" t="inlineStr">
        <is>
          <t>Chức năng</t>
        </is>
      </c>
      <c r="F20" s="20" t="inlineStr">
        <is>
          <t>Trung bình</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 thành viên minh họa 'Linh Trần' (demo-photo-3) và 'Tran Trong' (demo-photo-2)</t>
        </is>
      </c>
      <c r="J20" s="15" t="inlineStr">
        <is>
          <t>1. GET ?q=Trần
2. GET ?q=tran</t>
        </is>
      </c>
      <c r="K20" s="15" t="inlineStr">
        <is>
          <t>q='Trần' / 'tran'</t>
        </is>
      </c>
      <c r="L20" s="15" t="inlineStr">
        <is>
          <t>q=Trần trả 'Linh Trần' (không trả 'Tran Trong'); q=tran trả 'Tran Trong' nhưng KHÔNG trả 'Linh Trần' (giá trị hiện tại: so khớp chuỗi thường, không chuẩn hóa dấu; nếu muốn tìm không dấu cần cải tiến)</t>
        </is>
      </c>
      <c r="M20" s="15" t="inlineStr"/>
      <c r="N20" s="18" t="inlineStr">
        <is>
          <t>Chưa test</t>
        </is>
      </c>
      <c r="O20" s="15" t="inlineStr"/>
      <c r="P20" s="15" t="inlineStr"/>
      <c r="Q20" s="18" t="inlineStr">
        <is>
          <t>Chưa test</t>
        </is>
      </c>
      <c r="R20" s="15" t="inlineStr"/>
    </row>
    <row r="21" ht="30" customHeight="1">
      <c r="A21" s="14" t="inlineStr">
        <is>
          <t>TC-MEMBER-020</t>
        </is>
      </c>
      <c r="B21" s="15" t="inlineStr">
        <is>
          <t>Thành viên, Hồ sơ &amp; Xếp hạng</t>
        </is>
      </c>
      <c r="C21" s="15" t="inlineStr">
        <is>
          <t>Danh sách thành viên</t>
        </is>
      </c>
      <c r="D21" s="15" t="inlineStr">
        <is>
          <t>Lọc filter=admin gồm Owner, Admin, Mod (mod hiển thị role 'admin')</t>
        </is>
      </c>
      <c r="E21" s="15" t="inlineStr">
        <is>
          <t>Chức năng</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21" s="15" t="inlineStr">
        <is>
          <t>1. GET ?filter=admin&amp;limit=50
2. So sánh role và roleDetail từng dòng</t>
        </is>
      </c>
      <c r="K21" s="15" t="inlineStr">
        <is>
          <t>-</t>
        </is>
      </c>
      <c r="L21" s="15" t="inlineStr">
        <is>
          <t>meta.total=4 gồm owner@ (roleDetail 'owner'), cadmin@ ('admin'), mod@ ('mod'), demo-photo-0 'Tom Be' ('admin'); mọi dòng có role='admin' (FE chỉ phân biệt admin/member); không có member1..3</t>
        </is>
      </c>
      <c r="M21" s="15" t="inlineStr"/>
      <c r="N21" s="18" t="inlineStr">
        <is>
          <t>Chưa test</t>
        </is>
      </c>
      <c r="O21" s="15" t="inlineStr"/>
      <c r="P21" s="15" t="inlineStr"/>
      <c r="Q21" s="18" t="inlineStr">
        <is>
          <t>Chưa test</t>
        </is>
      </c>
      <c r="R21" s="15" t="inlineStr"/>
    </row>
    <row r="22" ht="30" customHeight="1">
      <c r="A22" s="14" t="inlineStr">
        <is>
          <t>TC-MEMBER-021</t>
        </is>
      </c>
      <c r="B22" s="15" t="inlineStr">
        <is>
          <t>Thành viên, Hồ sơ &amp; Xếp hạng</t>
        </is>
      </c>
      <c r="C22" s="15" t="inlineStr">
        <is>
          <t>Danh sách thành viên</t>
        </is>
      </c>
      <c r="D22" s="15" t="inlineStr">
        <is>
          <t>Lọc filter=online chỉ trả người hoạt động trong 5 phút gần nhất</t>
        </is>
      </c>
      <c r="E22" s="15" t="inlineStr">
        <is>
          <t>Chức năng</t>
        </is>
      </c>
      <c r="F22" s="20" t="inlineStr">
        <is>
          <t>Trung bình</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 (vừa gọi API nên lastActiveAt = bây giờ)</t>
        </is>
      </c>
      <c r="J22" s="15" t="inlineStr">
        <is>
          <t>1. GET ?filter=online&amp;limit=50
2. So sánh với counts.online</t>
        </is>
      </c>
      <c r="K22" s="15" t="inlineStr">
        <is>
          <t>-</t>
        </is>
      </c>
      <c r="L22" s="15" t="inlineStr">
        <is>
          <t>meta.total = counts.online; gồm 7 thành viên minh họa đầu (Tom Be … Nguyen Nam, hoạt động 20s-170s trước) và member1@; mọi dòng online=true; thành viên minh họa từ vị trí 8 trở đi (&gt;= 45 phút) không xuất hiện</t>
        </is>
      </c>
      <c r="M22" s="15" t="inlineStr"/>
      <c r="N22" s="18" t="inlineStr">
        <is>
          <t>Chưa test</t>
        </is>
      </c>
      <c r="O22" s="15" t="inlineStr"/>
      <c r="P22" s="15" t="inlineStr"/>
      <c r="Q22" s="18" t="inlineStr">
        <is>
          <t>Chưa test</t>
        </is>
      </c>
      <c r="R22" s="15" t="inlineStr"/>
    </row>
    <row r="23" ht="30" customHeight="1">
      <c r="A23" s="14" t="inlineStr">
        <is>
          <t>TC-MEMBER-022</t>
        </is>
      </c>
      <c r="B23" s="15" t="inlineStr">
        <is>
          <t>Thành viên, Hồ sơ &amp; Xếp hạng</t>
        </is>
      </c>
      <c r="C23" s="15" t="inlineStr">
        <is>
          <t>Danh sách thành viên</t>
        </is>
      </c>
      <c r="D23" s="15" t="inlineStr">
        <is>
          <t>Sắp xếp sort=active và sort=joined</t>
        </is>
      </c>
      <c r="E23" s="15" t="inlineStr">
        <is>
          <t>Chức năng</t>
        </is>
      </c>
      <c r="F23" s="20" t="inlineStr">
        <is>
          <t>Trung bình</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23" s="15" t="inlineStr">
        <is>
          <t>1. GET ?sort=active&amp;limit=5
2. GET ?sort=joined&amp;limit=5</t>
        </is>
      </c>
      <c r="K23" s="15" t="inlineStr">
        <is>
          <t>-</t>
        </is>
      </c>
      <c r="L23" s="15" t="inlineStr">
        <is>
          <t>active: lastActiveAt giảm dần (người vừa gọi API ở đầu); joined: enrolledAt giảm dần (tài khoản seed vừa ghi danh ở đầu); hai danh sách khác nhau; hòa xếp theo userId tăng dần</t>
        </is>
      </c>
      <c r="M23" s="15" t="inlineStr"/>
      <c r="N23" s="18" t="inlineStr">
        <is>
          <t>Chưa test</t>
        </is>
      </c>
      <c r="O23" s="15" t="inlineStr"/>
      <c r="P23" s="15" t="inlineStr"/>
      <c r="Q23" s="18" t="inlineStr">
        <is>
          <t>Chưa test</t>
        </is>
      </c>
      <c r="R23" s="15" t="inlineStr"/>
    </row>
    <row r="24" ht="30" customHeight="1">
      <c r="A24" s="14" t="inlineStr">
        <is>
          <t>TC-MEMBER-023</t>
        </is>
      </c>
      <c r="B24" s="15" t="inlineStr">
        <is>
          <t>Thành viên, Hồ sơ &amp; Xếp hạng</t>
        </is>
      </c>
      <c r="C24" s="15" t="inlineStr">
        <is>
          <t>Danh sách thành viên</t>
        </is>
      </c>
      <c r="D24" s="15" t="inlineStr">
        <is>
          <t>Kết hợp q + filter + phân trang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24" s="15" t="inlineStr">
        <is>
          <t>1. GET ?q=a&amp;filter=online&amp;limit=3&amp;page=1
2. GET ?q=a&amp;filter=online&amp;limit=3&amp;page=2</t>
        </is>
      </c>
      <c r="K24" s="15" t="inlineStr">
        <is>
          <t>-</t>
        </is>
      </c>
      <c r="L24" s="15" t="inlineStr">
        <is>
          <t>meta.total là số khớp SAU khi lọc cả q và filter; hai trang không trùng dòng; totalPages = ceil(total/3)</t>
        </is>
      </c>
      <c r="M24" s="15" t="inlineStr"/>
      <c r="N24" s="18" t="inlineStr">
        <is>
          <t>Chưa test</t>
        </is>
      </c>
      <c r="O24" s="15" t="inlineStr"/>
      <c r="P24" s="15" t="inlineStr"/>
      <c r="Q24" s="18" t="inlineStr">
        <is>
          <t>Chưa test</t>
        </is>
      </c>
      <c r="R24" s="15" t="inlineStr"/>
    </row>
    <row r="25" ht="45" customHeight="1">
      <c r="A25" s="14" t="inlineStr">
        <is>
          <t>TC-MEMBER-024</t>
        </is>
      </c>
      <c r="B25" s="15" t="inlineStr">
        <is>
          <t>Thành viên, Hồ sơ &amp; Xếp hạng</t>
        </is>
      </c>
      <c r="C25" s="15" t="inlineStr">
        <is>
          <t>Danh sách thành viên</t>
        </is>
      </c>
      <c r="D25" s="15" t="inlineStr">
        <is>
          <t>Danh sách thành viên yêu cầu đăng nhập và ghi danh</t>
        </is>
      </c>
      <c r="E25" s="15" t="inlineStr">
        <is>
          <t>Bảo mật</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25" s="15" t="inlineStr">
        <is>
          <t>1. GET /api/courses/photo/members không token
2. newbie@ GET cùng URL
3. GET /api/courses/khong-co/members bằng member1@</t>
        </is>
      </c>
      <c r="K25" s="15" t="inlineStr">
        <is>
          <t>-</t>
        </is>
      </c>
      <c r="L25" s="15" t="inlineStr">
        <is>
          <t>Khách 401 UNAUTHORIZED, message 'Vui lòng đăng nhập để tiếp tục'; newbie@ 403 FORBIDDEN, message 'Bạn cần tham gia cộng đồng này trước'; cộng đồng lạ 404 NOT_FOUND, message 'Không tìm thấy khóa học'</t>
        </is>
      </c>
      <c r="M25" s="15" t="inlineStr"/>
      <c r="N25" s="18" t="inlineStr">
        <is>
          <t>Chưa test</t>
        </is>
      </c>
      <c r="O25" s="15" t="inlineStr"/>
      <c r="P25" s="15" t="inlineStr"/>
      <c r="Q25" s="18" t="inlineStr">
        <is>
          <t>Chưa test</t>
        </is>
      </c>
      <c r="R25" s="15" t="inlineStr"/>
    </row>
    <row r="26" ht="60" customHeight="1">
      <c r="A26" s="14" t="inlineStr">
        <is>
          <t>TC-MEMBER-025</t>
        </is>
      </c>
      <c r="B26" s="15" t="inlineStr">
        <is>
          <t>Thành viên, Hồ sơ &amp; Xếp hạng</t>
        </is>
      </c>
      <c r="C26" s="15" t="inlineStr">
        <is>
          <t>Danh sách thành viên</t>
        </is>
      </c>
      <c r="D26" s="15" t="inlineStr">
        <is>
          <t>Thành viên bị cấm không hiện trong danh sách và không tính vào counts</t>
        </is>
      </c>
      <c r="E26" s="15" t="inlineStr">
        <is>
          <t>Bảo mật</t>
        </is>
      </c>
      <c r="F26" s="16" t="inlineStr">
        <is>
          <t>Cao</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26" s="15" t="inlineStr">
        <is>
          <t>1. GET members ghi lại counts.all
2. owner@ cấm member3@
3. GET members lại
4. Bỏ cấm</t>
        </is>
      </c>
      <c r="K26" s="15" t="inlineStr">
        <is>
          <t>-</t>
        </is>
      </c>
      <c r="L26" s="15" t="inlineStr">
        <is>
          <t>Sau cấm counts.all giảm 1, member3@ biến khỏi data (kể cả q=Member3); sau bỏ cấm member3@ phải /enroll lại mới xuất hiện</t>
        </is>
      </c>
      <c r="M26" s="15" t="inlineStr"/>
      <c r="N26" s="18" t="inlineStr">
        <is>
          <t>Chưa test</t>
        </is>
      </c>
      <c r="O26" s="15" t="inlineStr"/>
      <c r="P26" s="15" t="inlineStr"/>
      <c r="Q26" s="18" t="inlineStr">
        <is>
          <t>Chưa test</t>
        </is>
      </c>
      <c r="R26" s="15" t="inlineStr"/>
    </row>
    <row r="27" ht="45" customHeight="1">
      <c r="A27" s="14" t="inlineStr">
        <is>
          <t>TC-MEMBER-026</t>
        </is>
      </c>
      <c r="B27" s="15" t="inlineStr">
        <is>
          <t>Thành viên, Hồ sơ &amp; Xếp hạng</t>
        </is>
      </c>
      <c r="C27" s="15" t="inlineStr">
        <is>
          <t>Danh sách thành viên</t>
        </is>
      </c>
      <c r="D27" s="15" t="inlineStr">
        <is>
          <t>Kick thành viên: danh sách và counts.all giảm ngay</t>
        </is>
      </c>
      <c r="E27" s="15" t="inlineStr">
        <is>
          <t>Chức năng</t>
        </is>
      </c>
      <c r="F27" s="20" t="inlineStr">
        <is>
          <t>Trung bình</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GET members lấy total
2. member1@ (Admin) kick member3@
3. GET members lại</t>
        </is>
      </c>
      <c r="K27" s="15" t="inlineStr">
        <is>
          <t>-</t>
        </is>
      </c>
      <c r="L27" s="15" t="inlineStr">
        <is>
          <t>meta.total và counts.all giảm 1; member3@ không còn trong data</t>
        </is>
      </c>
      <c r="M27" s="15" t="inlineStr"/>
      <c r="N27" s="18" t="inlineStr">
        <is>
          <t>Chưa test</t>
        </is>
      </c>
      <c r="O27" s="15" t="inlineStr"/>
      <c r="P27" s="15" t="inlineStr"/>
      <c r="Q27" s="18" t="inlineStr">
        <is>
          <t>Chưa test</t>
        </is>
      </c>
      <c r="R27" s="15" t="inlineStr"/>
    </row>
    <row r="28" ht="30" customHeight="1">
      <c r="A28" s="14" t="inlineStr">
        <is>
          <t>TC-MEMBER-027</t>
        </is>
      </c>
      <c r="B28" s="15" t="inlineStr">
        <is>
          <t>Thành viên, Hồ sơ &amp; Xếp hạng</t>
        </is>
      </c>
      <c r="C28" s="15" t="inlineStr">
        <is>
          <t>Danh sách thành viên</t>
        </is>
      </c>
      <c r="D28" s="15" t="inlineStr">
        <is>
          <t>Thành viên minh họa hiển thị chung với thành viên thật, không lộ email</t>
        </is>
      </c>
      <c r="E28" s="15" t="inlineStr">
        <is>
          <t>Bảo mật</t>
        </is>
      </c>
      <c r="F28" s="20" t="inlineStr">
        <is>
          <t>Trung bình</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28" s="15" t="inlineStr">
        <is>
          <t>1. GET ?limit=50
2. Kiểm tra toàn bộ khóa JSON của từng dòng</t>
        </is>
      </c>
      <c r="K28" s="15" t="inlineStr">
        <is>
          <t>-</t>
        </is>
      </c>
      <c r="L28" s="15" t="inlineStr">
        <is>
          <t>Mỗi dòng chỉ có id,name,handle,role,roleDetail,enrolledAt,lastActiveAt,online (không có email/passwordHash/isDemo); id minh họa dạng 'demo-photo-&lt;i&gt;' với i=0..59; chỉ demo-photo-0 có roleDetail='admin', còn lại 'member'</t>
        </is>
      </c>
      <c r="M28" s="15" t="inlineStr"/>
      <c r="N28" s="18" t="inlineStr">
        <is>
          <t>Chưa test</t>
        </is>
      </c>
      <c r="O28" s="15" t="inlineStr"/>
      <c r="P28" s="15" t="inlineStr"/>
      <c r="Q28" s="18" t="inlineStr">
        <is>
          <t>Chưa test</t>
        </is>
      </c>
      <c r="R28" s="15" t="inlineStr"/>
    </row>
    <row r="29" ht="30" customHeight="1">
      <c r="A29" s="14" t="inlineStr">
        <is>
          <t>TC-MEMBER-028</t>
        </is>
      </c>
      <c r="B29" s="15" t="inlineStr">
        <is>
          <t>Thành viên, Hồ sơ &amp; Xếp hạng</t>
        </is>
      </c>
      <c r="C29" s="15" t="inlineStr">
        <is>
          <t>Danh sách thành viên</t>
        </is>
      </c>
      <c r="D29" s="15" t="inlineStr">
        <is>
          <t>FE tab Thành viên: nhãn Owner/Admin/Mod và số liệu thẻ thông tin</t>
        </is>
      </c>
      <c r="E29" s="15" t="inlineStr">
        <is>
          <t>Giao diện</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29" s="15" t="inlineStr">
        <is>
          <t>1. Mở /courses/photo/community/thanh-vien
2. Đối chiếu nhãn cạnh tên owner@, cadmin@, mod@ và thẻ thông tin bên phải</t>
        </is>
      </c>
      <c r="K29" s="15" t="inlineStr">
        <is>
          <t>-</t>
        </is>
      </c>
      <c r="L29" s="15" t="inlineStr">
        <is>
          <t>owner@ nhãn 'Owner', cadmin@ 'Admin', mod@ 'Mod'; thẻ hiển thị số thành viên = 66, online khớp counts.online; Member không thấy nút Cài đặt</t>
        </is>
      </c>
      <c r="M29" s="15" t="inlineStr"/>
      <c r="N29" s="18" t="inlineStr">
        <is>
          <t>Chưa test</t>
        </is>
      </c>
      <c r="O29" s="15" t="inlineStr"/>
      <c r="P29" s="15" t="inlineStr"/>
      <c r="Q29" s="18" t="inlineStr">
        <is>
          <t>Chưa test</t>
        </is>
      </c>
      <c r="R29" s="15" t="inlineStr"/>
    </row>
    <row r="30" ht="30" customHeight="1">
      <c r="A30" s="14" t="inlineStr">
        <is>
          <t>TC-MEMBER-029</t>
        </is>
      </c>
      <c r="B30" s="15" t="inlineStr">
        <is>
          <t>Thành viên, Hồ sơ &amp; Xếp hạng</t>
        </is>
      </c>
      <c r="C30" s="15" t="inlineStr">
        <is>
          <t>Hồ sơ &amp; chi tiết thành viên</t>
        </is>
      </c>
      <c r="D30" s="15" t="inlineStr">
        <is>
          <t>Chi tiết thành viên trong cộng đồng: đủ trường, không lộ email</t>
        </is>
      </c>
      <c r="E30" s="15" t="inlineStr">
        <is>
          <t>Bảo mật</t>
        </is>
      </c>
      <c r="F30" s="16" t="inlineStr">
        <is>
          <t>Cao</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0" s="15" t="inlineStr">
        <is>
          <t>1. GET /api/courses/photo/members/&lt;id member2&gt;
2. Kiểm tra khóa JSON</t>
        </is>
      </c>
      <c r="K30" s="15" t="inlineStr">
        <is>
          <t>-</t>
        </is>
      </c>
      <c r="L30" s="15" t="inlineStr">
        <is>
          <t>200 data gồm id,name ('Mai Member2'),handle,role='member',roleDetail='member',enrolledAt,lastActiveAt,online; KHÔNG có email hay thông tin thanh toán</t>
        </is>
      </c>
      <c r="M30" s="15" t="inlineStr"/>
      <c r="N30" s="18" t="inlineStr">
        <is>
          <t>Chưa test</t>
        </is>
      </c>
      <c r="O30" s="15" t="inlineStr"/>
      <c r="P30" s="15" t="inlineStr"/>
      <c r="Q30" s="18" t="inlineStr">
        <is>
          <t>Chưa test</t>
        </is>
      </c>
      <c r="R30" s="15" t="inlineStr"/>
    </row>
    <row r="31" ht="45" customHeight="1">
      <c r="A31" s="14" t="inlineStr">
        <is>
          <t>TC-MEMBER-030</t>
        </is>
      </c>
      <c r="B31" s="15" t="inlineStr">
        <is>
          <t>Thành viên, Hồ sơ &amp; Xếp hạng</t>
        </is>
      </c>
      <c r="C31" s="15" t="inlineStr">
        <is>
          <t>Hồ sơ &amp; chi tiết thành viên</t>
        </is>
      </c>
      <c r="D31" s="15" t="inlineStr">
        <is>
          <t>Chi tiết thành viên: người không thuộc cộng đồng hoặc bị cấm trả 404</t>
        </is>
      </c>
      <c r="E31" s="15" t="inlineStr">
        <is>
          <t>Chức năng</t>
        </is>
      </c>
      <c r="F31" s="20" t="inlineStr">
        <is>
          <t>Trung bình</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1" s="15" t="inlineStr">
        <is>
          <t>1. GET /api/courses/photo/members/&lt;id newbie&gt;
2. GET /api/courses/photo/members/&lt;id banned&gt;
3. GET /api/courses/photo/members/khong-co</t>
        </is>
      </c>
      <c r="K31" s="15" t="inlineStr">
        <is>
          <t>-</t>
        </is>
      </c>
      <c r="L31" s="15" t="inlineStr">
        <is>
          <t>Cả ba 404 NOT_FOUND 'Không tìm thấy thành viên'</t>
        </is>
      </c>
      <c r="M31" s="15" t="inlineStr"/>
      <c r="N31" s="18" t="inlineStr">
        <is>
          <t>Chưa test</t>
        </is>
      </c>
      <c r="O31" s="15" t="inlineStr"/>
      <c r="P31" s="15" t="inlineStr"/>
      <c r="Q31" s="18" t="inlineStr">
        <is>
          <t>Chưa test</t>
        </is>
      </c>
      <c r="R31" s="15" t="inlineStr"/>
    </row>
    <row r="32" ht="30" customHeight="1">
      <c r="A32" s="14" t="inlineStr">
        <is>
          <t>TC-MEMBER-031</t>
        </is>
      </c>
      <c r="B32" s="15" t="inlineStr">
        <is>
          <t>Thành viên, Hồ sơ &amp; Xếp hạng</t>
        </is>
      </c>
      <c r="C32" s="15" t="inlineStr">
        <is>
          <t>Hồ sơ &amp; chi tiết thành viên</t>
        </is>
      </c>
      <c r="D32" s="15" t="inlineStr">
        <is>
          <t>Chi tiết thành viên yêu cầu là thành viên; xem được thành viên minh họa</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newbie@ GET /api/courses/photo/members/&lt;id member1&gt;
2. member1@ GET /api/courses/photo/members/demo-photo-0</t>
        </is>
      </c>
      <c r="K32" s="15" t="inlineStr">
        <is>
          <t>-</t>
        </is>
      </c>
      <c r="L32" s="15" t="inlineStr">
        <is>
          <t>Yêu cầu 1: 403 FORBIDDEN, message 'Bạn cần tham gia cộng đồng này trước'; yêu cầu 2: 200 name='Tom Be', handle='tom-be-3538', roleDetail='admin' (thành viên minh họa vẫn xem chi tiết được)</t>
        </is>
      </c>
      <c r="M32" s="15" t="inlineStr"/>
      <c r="N32" s="18" t="inlineStr">
        <is>
          <t>Chưa test</t>
        </is>
      </c>
      <c r="O32" s="15" t="inlineStr"/>
      <c r="P32" s="15" t="inlineStr"/>
      <c r="Q32" s="18" t="inlineStr">
        <is>
          <t>Chưa test</t>
        </is>
      </c>
      <c r="R32" s="15" t="inlineStr"/>
    </row>
    <row r="33" ht="30" customHeight="1">
      <c r="A33" s="14" t="inlineStr">
        <is>
          <t>TC-MEMBER-032</t>
        </is>
      </c>
      <c r="B33" s="15" t="inlineStr">
        <is>
          <t>Thành viên, Hồ sơ &amp; Xếp hạng</t>
        </is>
      </c>
      <c r="C33" s="15" t="inlineStr">
        <is>
          <t>Hồ sơ &amp; chi tiết thành viên</t>
        </is>
      </c>
      <c r="D33" s="15" t="inlineStr">
        <is>
          <t>Trường online của chi tiết thành viên theo cửa sổ 5 phút</t>
        </is>
      </c>
      <c r="E33" s="15" t="inlineStr">
        <is>
          <t>Chức năng</t>
        </is>
      </c>
      <c r="F33" s="17" t="inlineStr">
        <is>
          <t>Thấp</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33" s="15" t="inlineStr">
        <is>
          <t>1. GET members/demo-photo-0 (hoạt động ~20s trước)
2. GET members/demo-photo-7 (hoạt động &gt;= 45 phút trước)</t>
        </is>
      </c>
      <c r="K33" s="15" t="inlineStr">
        <is>
          <t>-</t>
        </is>
      </c>
      <c r="L33" s="15" t="inlineStr">
        <is>
          <t>demo-photo-0: online=true; demo-photo-7 và các id &gt;= 7: online=false; lastActiveAt là ISO 8601</t>
        </is>
      </c>
      <c r="M33" s="15" t="inlineStr"/>
      <c r="N33" s="18" t="inlineStr">
        <is>
          <t>Chưa test</t>
        </is>
      </c>
      <c r="O33" s="15" t="inlineStr"/>
      <c r="P33" s="15" t="inlineStr"/>
      <c r="Q33" s="18" t="inlineStr">
        <is>
          <t>Chưa test</t>
        </is>
      </c>
      <c r="R33" s="15" t="inlineStr"/>
    </row>
    <row r="34" ht="30" customHeight="1">
      <c r="A34" s="14" t="inlineStr">
        <is>
          <t>TC-MEMBER-033</t>
        </is>
      </c>
      <c r="B34" s="15" t="inlineStr">
        <is>
          <t>Thành viên, Hồ sơ &amp; Xếp hạng</t>
        </is>
      </c>
      <c r="C34" s="15" t="inlineStr">
        <is>
          <t>Hồ sơ &amp; chi tiết thành viên</t>
        </is>
      </c>
      <c r="D34" s="15" t="inlineStr">
        <is>
          <t>Hồ sơ công khai /api/users/:id không có email và chỉ liệt kê cộng đồng công khai</t>
        </is>
      </c>
      <c r="E34" s="15" t="inlineStr">
        <is>
          <t>Bảo mật</t>
        </is>
      </c>
      <c r="F34" s="16" t="inlineStr">
        <is>
          <t>Cao</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34" s="15" t="inlineStr">
        <is>
          <t>1. GET /api/users/&lt;id member1&gt;
2. Mở /users/&lt;id member1&gt; trên FE</t>
        </is>
      </c>
      <c r="K34" s="15" t="inlineStr">
        <is>
          <t>-</t>
        </is>
      </c>
      <c r="L34" s="15" t="inlineStr">
        <is>
          <t>200 data={id,name:'Minh Member1',bio,location,website,avatarUrl,joinedAt,communities,totalPoints}; KHÔNG có email/phone; communities chỉ gồm photo và yt (fin riêng tư bị ẩn) với role 'member'; totalPoints=110</t>
        </is>
      </c>
      <c r="M34" s="15" t="inlineStr"/>
      <c r="N34" s="18" t="inlineStr">
        <is>
          <t>Chưa test</t>
        </is>
      </c>
      <c r="O34" s="15" t="inlineStr"/>
      <c r="P34" s="15" t="inlineStr"/>
      <c r="Q34" s="18" t="inlineStr">
        <is>
          <t>Chưa test</t>
        </is>
      </c>
      <c r="R34" s="15" t="inlineStr"/>
    </row>
    <row r="35" ht="30" customHeight="1">
      <c r="A35" s="14" t="inlineStr">
        <is>
          <t>TC-MEMBER-034</t>
        </is>
      </c>
      <c r="B35" s="15" t="inlineStr">
        <is>
          <t>Thành viên, Hồ sơ &amp; Xếp hạng</t>
        </is>
      </c>
      <c r="C35" s="15" t="inlineStr">
        <is>
          <t>Hồ sơ &amp; chi tiết thành viên</t>
        </is>
      </c>
      <c r="D35" s="15" t="inlineStr">
        <is>
          <t>Hồ sơ công khai yêu cầu đăng nhập (khác với mô tả 'công khai')</t>
        </is>
      </c>
      <c r="E35" s="15" t="inlineStr">
        <is>
          <t>Bảo mật</t>
        </is>
      </c>
      <c r="F35" s="20" t="inlineStr">
        <is>
          <t>Trung bình</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t>
        </is>
      </c>
      <c r="J35" s="15" t="inlineStr">
        <is>
          <t>1. GET /api/users/&lt;id member1&gt; không token</t>
        </is>
      </c>
      <c r="K35" s="15" t="inlineStr">
        <is>
          <t>-</t>
        </is>
      </c>
      <c r="L35" s="15" t="inlineStr">
        <is>
          <t>401 UNAUTHORIZED, message 'Vui lòng đăng nhập để tiếp tục' (route có requireAuth; thuật ngữ 'hồ sơ công khai' nghĩa là không lộ dữ liệu riêng, không phải xem không cần đăng nhập)</t>
        </is>
      </c>
      <c r="M35" s="15" t="inlineStr"/>
      <c r="N35" s="18" t="inlineStr">
        <is>
          <t>Chưa test</t>
        </is>
      </c>
      <c r="O35" s="15" t="inlineStr"/>
      <c r="P35" s="15" t="inlineStr"/>
      <c r="Q35" s="18" t="inlineStr">
        <is>
          <t>Chưa test</t>
        </is>
      </c>
      <c r="R35" s="15" t="inlineStr"/>
    </row>
    <row r="36" ht="30" customHeight="1">
      <c r="A36" s="14" t="inlineStr">
        <is>
          <t>TC-MEMBER-035</t>
        </is>
      </c>
      <c r="B36" s="15" t="inlineStr">
        <is>
          <t>Thành viên, Hồ sơ &amp; Xếp hạng</t>
        </is>
      </c>
      <c r="C36" s="15" t="inlineStr">
        <is>
          <t>Hồ sơ &amp; chi tiết thành viên</t>
        </is>
      </c>
      <c r="D36" s="15" t="inlineStr">
        <is>
          <t>Hồ sơ người dùng không tồn tại hoặc đã xóa: 404</t>
        </is>
      </c>
      <c r="E36" s="15" t="inlineStr">
        <is>
          <t>Chức năng</t>
        </is>
      </c>
      <c r="F36" s="17" t="inlineStr">
        <is>
          <t>Thấp</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t>
        </is>
      </c>
      <c r="J36" s="15" t="inlineStr">
        <is>
          <t>1. member1@ GET /api/users/khong-co
2. Xóa tài khoản một user thử rồi GET /api/users/&lt;id đó&gt;</t>
        </is>
      </c>
      <c r="K36" s="15" t="inlineStr">
        <is>
          <t>-</t>
        </is>
      </c>
      <c r="L36" s="15" t="inlineStr">
        <is>
          <t>404 NOT_FOUND 'Không tìm thấy người dùng'</t>
        </is>
      </c>
      <c r="M36" s="15" t="inlineStr"/>
      <c r="N36" s="18" t="inlineStr">
        <is>
          <t>Chưa test</t>
        </is>
      </c>
      <c r="O36" s="15" t="inlineStr"/>
      <c r="P36" s="15" t="inlineStr"/>
      <c r="Q36" s="18" t="inlineStr">
        <is>
          <t>Chưa test</t>
        </is>
      </c>
      <c r="R36" s="15" t="inlineStr"/>
    </row>
    <row r="37" ht="30" customHeight="1">
      <c r="A37" s="14" t="inlineStr">
        <is>
          <t>TC-MEMBER-036</t>
        </is>
      </c>
      <c r="B37" s="15" t="inlineStr">
        <is>
          <t>Thành viên, Hồ sơ &amp; Xếp hạng</t>
        </is>
      </c>
      <c r="C37" s="15" t="inlineStr">
        <is>
          <t>Hồ sơ &amp; chi tiết thành viên</t>
        </is>
      </c>
      <c r="D37" s="15" t="inlineStr">
        <is>
          <t>Hồ sơ của người bị cấm không liệt kê cộng đồng đã bị cấm</t>
        </is>
      </c>
      <c r="E37" s="15" t="inlineStr">
        <is>
          <t>Chức năng</t>
        </is>
      </c>
      <c r="F37" s="17" t="inlineStr">
        <is>
          <t>Thấp</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37" s="15" t="inlineStr">
        <is>
          <t>1. member1@ GET /api/users/&lt;id banned&gt;</t>
        </is>
      </c>
      <c r="K37" s="15" t="inlineStr">
        <is>
          <t>-</t>
        </is>
      </c>
      <c r="L37" s="15" t="inlineStr">
        <is>
          <t>200; communities không chứa photo (listByUser loại người bị cấm); totalPoints=0</t>
        </is>
      </c>
      <c r="M37" s="15" t="inlineStr"/>
      <c r="N37" s="18" t="inlineStr">
        <is>
          <t>Chưa test</t>
        </is>
      </c>
      <c r="O37" s="15" t="inlineStr"/>
      <c r="P37" s="15" t="inlineStr"/>
      <c r="Q37" s="18" t="inlineStr">
        <is>
          <t>Chưa test</t>
        </is>
      </c>
      <c r="R37" s="15" t="inlineStr"/>
    </row>
    <row r="38" ht="30" customHeight="1">
      <c r="A38" s="14" t="inlineStr">
        <is>
          <t>TC-MEMBER-037</t>
        </is>
      </c>
      <c r="B38" s="15" t="inlineStr">
        <is>
          <t>Thành viên, Hồ sơ &amp; Xếp hạng</t>
        </is>
      </c>
      <c r="C38" s="15" t="inlineStr">
        <is>
          <t>Hồ sơ &amp; chi tiết thành viên</t>
        </is>
      </c>
      <c r="D38" s="15" t="inlineStr">
        <is>
          <t>Hồ sơ thành viên minh họa xem được với tổng điểm khớp seed</t>
        </is>
      </c>
      <c r="E38" s="15" t="inlineStr">
        <is>
          <t>Chức năng</t>
        </is>
      </c>
      <c r="F38" s="17" t="inlineStr">
        <is>
          <t>Thấp</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38" s="15" t="inlineStr">
        <is>
          <t>1. member1@ GET /api/users/demo-photo-0</t>
        </is>
      </c>
      <c r="K38" s="15" t="inlineStr">
        <is>
          <t>-</t>
        </is>
      </c>
      <c r="L38" s="15" t="inlineStr">
        <is>
          <t>200 name='Tom Be'; totalPoints là tổng điểm PointEvent của demo-photo-0 trên MỌI cộng đồng (mỗi cộng đồng sinh điểm riêng; ở photo = 286); không có email</t>
        </is>
      </c>
      <c r="M38" s="15" t="inlineStr"/>
      <c r="N38" s="18" t="inlineStr">
        <is>
          <t>Chưa test</t>
        </is>
      </c>
      <c r="O38" s="15" t="inlineStr"/>
      <c r="P38" s="15" t="inlineStr"/>
      <c r="Q38" s="18" t="inlineStr">
        <is>
          <t>Chưa test</t>
        </is>
      </c>
      <c r="R38" s="15" t="inlineStr"/>
    </row>
    <row r="39" ht="30" customHeight="1">
      <c r="A39" s="14" t="inlineStr">
        <is>
          <t>TC-MEMBER-038</t>
        </is>
      </c>
      <c r="B39" s="15" t="inlineStr">
        <is>
          <t>Thành viên, Hồ sơ &amp; Xếp hạng</t>
        </is>
      </c>
      <c r="C39" s="15" t="inlineStr">
        <is>
          <t>Bảng xếp hạng</t>
        </is>
      </c>
      <c r="D39" s="15" t="inlineStr">
        <is>
          <t>Bảng xếp hạng 7 ngày: member1 đứng đầu với 35 điểm</t>
        </is>
      </c>
      <c r="E39" s="15" t="inlineStr">
        <is>
          <t>Chức năng</t>
        </is>
      </c>
      <c r="F39" s="16" t="inlineStr">
        <is>
          <t>Cao</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member1@ có 3 sự kiện điểm ở photo: 35 (post, 1 ngày trước), 30 (like_received, 12 ngày), 45 (lesson_complete, 50 ngày)</t>
        </is>
      </c>
      <c r="J39" s="15" t="inlineStr">
        <is>
          <t>1. Đăng nhập member2@
2. GET /api/courses/photo/leaderboard?window=7d</t>
        </is>
      </c>
      <c r="K39" s="15" t="inlineStr">
        <is>
          <t>window=7d</t>
        </is>
      </c>
      <c r="L39"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39" s="15" t="inlineStr"/>
      <c r="N39" s="18" t="inlineStr">
        <is>
          <t>Chưa test</t>
        </is>
      </c>
      <c r="O39" s="15" t="inlineStr"/>
      <c r="P39" s="15" t="inlineStr"/>
      <c r="Q39" s="18" t="inlineStr">
        <is>
          <t>Chưa test</t>
        </is>
      </c>
      <c r="R39" s="15" t="inlineStr"/>
    </row>
    <row r="40" ht="30" customHeight="1">
      <c r="A40" s="14" t="inlineStr">
        <is>
          <t>TC-MEMBER-039</t>
        </is>
      </c>
      <c r="B40" s="15" t="inlineStr">
        <is>
          <t>Thành viên, Hồ sơ &amp; Xếp hạng</t>
        </is>
      </c>
      <c r="C40" s="15" t="inlineStr">
        <is>
          <t>Bảng xếp hạng</t>
        </is>
      </c>
      <c r="D40" s="15" t="inlineStr">
        <is>
          <t>Bảng xếp hạng 30 ngày: member1 65, member2 30 đứng hạng 1 và 2</t>
        </is>
      </c>
      <c r="E40" s="15" t="inlineStr">
        <is>
          <t>Chức năng</t>
        </is>
      </c>
      <c r="F40" s="16" t="inlineStr">
        <is>
          <t>Cao</t>
        </is>
      </c>
      <c r="G40" s="17" t="inlineStr">
        <is>
          <t>Đã hoàn thiện</t>
        </is>
      </c>
      <c r="H40" s="17" t="inlineStr">
        <is>
          <t>Có</t>
        </is>
      </c>
      <c r="I40"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0" s="15" t="inlineStr">
        <is>
          <t>1. Đăng nhập member1@
2. GET ?window=30d</t>
        </is>
      </c>
      <c r="K40" s="15" t="inlineStr">
        <is>
          <t>window=30d</t>
        </is>
      </c>
      <c r="L40" s="15" t="inlineStr">
        <is>
          <t>rank 1 'Minh Member1' 65 điểm (35+30, sự kiện 50 ngày trước không tính); rank 2 'Mai Member2' 30 điểm (12+18); rank 3 trở đi là minh họa (tối đa 27: Đoàn Thành, Trí Xuân, Tai Do); member3@ (6 điểm) không nằm trong top 10</t>
        </is>
      </c>
      <c r="M40" s="15" t="inlineStr"/>
      <c r="N40" s="18" t="inlineStr">
        <is>
          <t>Chưa test</t>
        </is>
      </c>
      <c r="O40" s="15" t="inlineStr"/>
      <c r="P40" s="15" t="inlineStr"/>
      <c r="Q40" s="18" t="inlineStr">
        <is>
          <t>Chưa test</t>
        </is>
      </c>
      <c r="R40" s="15" t="inlineStr"/>
    </row>
    <row r="41" ht="30" customHeight="1">
      <c r="A41" s="14" t="inlineStr">
        <is>
          <t>TC-MEMBER-040</t>
        </is>
      </c>
      <c r="B41" s="15" t="inlineStr">
        <is>
          <t>Thành viên, Hồ sơ &amp; Xếp hạng</t>
        </is>
      </c>
      <c r="C41" s="15" t="inlineStr">
        <is>
          <t>Bảng xếp hạng</t>
        </is>
      </c>
      <c r="D41" s="15" t="inlineStr">
        <is>
          <t>Bảng xếp hạng mọi thời điểm: top 10 toàn thành viên minh họa</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1" s="15" t="inlineStr">
        <is>
          <t>1. Đăng nhập member1@
2. GET ?window=all và GET (không tham số)</t>
        </is>
      </c>
      <c r="K41" s="15" t="inlineStr">
        <is>
          <t>window=all (mặc định)</t>
        </is>
      </c>
      <c r="L41"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41" s="15" t="inlineStr"/>
      <c r="N41" s="18" t="inlineStr">
        <is>
          <t>Chưa test</t>
        </is>
      </c>
      <c r="O41" s="15" t="inlineStr"/>
      <c r="P41" s="15" t="inlineStr"/>
      <c r="Q41" s="18" t="inlineStr">
        <is>
          <t>Chưa test</t>
        </is>
      </c>
      <c r="R41" s="15" t="inlineStr"/>
    </row>
    <row r="42" ht="30" customHeight="1">
      <c r="A42" s="14" t="inlineStr">
        <is>
          <t>TC-MEMBER-041</t>
        </is>
      </c>
      <c r="B42" s="15" t="inlineStr">
        <is>
          <t>Thành viên, Hồ sơ &amp; Xếp hạng</t>
        </is>
      </c>
      <c r="C42" s="15" t="inlineStr">
        <is>
          <t>Bảng xếp hạng</t>
        </is>
      </c>
      <c r="D42" s="15" t="inlineStr">
        <is>
          <t>window không hợp lệ bị từ chối</t>
        </is>
      </c>
      <c r="E42" s="15" t="inlineStr">
        <is>
          <t>Chức năng</t>
        </is>
      </c>
      <c r="F42" s="17" t="inlineStr">
        <is>
          <t>Thấp</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2" s="15" t="inlineStr">
        <is>
          <t>1. GET ?window=1d
2. GET ?window=ALL</t>
        </is>
      </c>
      <c r="K42" s="15" t="inlineStr">
        <is>
          <t>-</t>
        </is>
      </c>
      <c r="L42" s="15" t="inlineStr">
        <is>
          <t>Cả hai 400 VALIDATION_ERROR (chỉ nhận 7d, 30d, all)</t>
        </is>
      </c>
      <c r="M42" s="15" t="inlineStr"/>
      <c r="N42" s="18" t="inlineStr">
        <is>
          <t>Chưa test</t>
        </is>
      </c>
      <c r="O42" s="15" t="inlineStr"/>
      <c r="P42" s="15" t="inlineStr"/>
      <c r="Q42" s="18" t="inlineStr">
        <is>
          <t>Chưa test</t>
        </is>
      </c>
      <c r="R42" s="15" t="inlineStr"/>
    </row>
    <row r="43" ht="30" customHeight="1">
      <c r="A43" s="14" t="inlineStr">
        <is>
          <t>TC-MEMBER-042</t>
        </is>
      </c>
      <c r="B43" s="15" t="inlineStr">
        <is>
          <t>Thành viên, Hồ sơ &amp; Xếp hạng</t>
        </is>
      </c>
      <c r="C43" s="15" t="inlineStr">
        <is>
          <t>Bảng xếp hạng</t>
        </is>
      </c>
      <c r="D43" s="15" t="inlineStr">
        <is>
          <t>Chỉ tính người đang là thành viên, không bị cấm và có điểm &gt; 0</t>
        </is>
      </c>
      <c r="E43" s="15" t="inlineStr">
        <is>
          <t>Chức năng</t>
        </is>
      </c>
      <c r="F43" s="16" t="inlineStr">
        <is>
          <t>Cao</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owner@, cadmin@, mod@ có 0 điểm ở photo; banned@ bị cấm</t>
        </is>
      </c>
      <c r="J43" s="15" t="inlineStr">
        <is>
          <t>1. GET ?window=all</t>
        </is>
      </c>
      <c r="K43" s="15" t="inlineStr">
        <is>
          <t>-</t>
        </is>
      </c>
      <c r="L43" s="15" t="inlineStr">
        <is>
          <t>Không có owner@, cadmin@, mod@ (0 điểm) và banned@ trong bảng; tổng số người có điểm &gt; 0 là 63 (60 minh họa + 3 tài khoản member1-3)</t>
        </is>
      </c>
      <c r="M43" s="15" t="inlineStr"/>
      <c r="N43" s="18" t="inlineStr">
        <is>
          <t>Chưa test</t>
        </is>
      </c>
      <c r="O43" s="15" t="inlineStr"/>
      <c r="P43" s="15" t="inlineStr"/>
      <c r="Q43" s="18" t="inlineStr">
        <is>
          <t>Chưa test</t>
        </is>
      </c>
      <c r="R43" s="15" t="inlineStr"/>
    </row>
    <row r="44" ht="60" customHeight="1">
      <c r="A44" s="14" t="inlineStr">
        <is>
          <t>TC-MEMBER-043</t>
        </is>
      </c>
      <c r="B44" s="15" t="inlineStr">
        <is>
          <t>Thành viên, Hồ sơ &amp; Xếp hạng</t>
        </is>
      </c>
      <c r="C44" s="15" t="inlineStr">
        <is>
          <t>Bảng xếp hạng</t>
        </is>
      </c>
      <c r="D44" s="15" t="inlineStr">
        <is>
          <t>Người bị cấm biến khỏi bảng xếp hạng, bỏ cấm thì điểm cũ trở lại</t>
        </is>
      </c>
      <c r="E44" s="15" t="inlineStr">
        <is>
          <t>Bảo mật</t>
        </is>
      </c>
      <c r="F44" s="16" t="inlineStr">
        <is>
          <t>Cao</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owner@</t>
        </is>
      </c>
      <c r="J44" s="15" t="inlineStr">
        <is>
          <t>1. owner@ POST /api/courses/photo/members/&lt;id member2&gt;/ban
2. GET ?window=30d (member2@ hạng 2)
3. Bỏ cấm rồi member2@ /enroll
4. GET lại</t>
        </is>
      </c>
      <c r="K44" s="15" t="inlineStr">
        <is>
          <t>-</t>
        </is>
      </c>
      <c r="L44"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44" s="15" t="inlineStr"/>
      <c r="N44" s="18" t="inlineStr">
        <is>
          <t>Chưa test</t>
        </is>
      </c>
      <c r="O44" s="15" t="inlineStr"/>
      <c r="P44" s="15" t="inlineStr"/>
      <c r="Q44" s="18" t="inlineStr">
        <is>
          <t>Chưa test</t>
        </is>
      </c>
      <c r="R44" s="15" t="inlineStr"/>
    </row>
    <row r="45" ht="60" customHeight="1">
      <c r="A45" s="14" t="inlineStr">
        <is>
          <t>TC-MEMBER-044</t>
        </is>
      </c>
      <c r="B45" s="15" t="inlineStr">
        <is>
          <t>Thành viên, Hồ sơ &amp; Xếp hạng</t>
        </is>
      </c>
      <c r="C45" s="15" t="inlineStr">
        <is>
          <t>Bảng xếp hạng</t>
        </is>
      </c>
      <c r="D45" s="15" t="inlineStr">
        <is>
          <t>Kick thành viên: rời bảng xếp hạng, tham gia lại thì điểm còn nguyên</t>
        </is>
      </c>
      <c r="E45" s="15" t="inlineStr">
        <is>
          <t>Chức năng</t>
        </is>
      </c>
      <c r="F45" s="20" t="inlineStr">
        <is>
          <t>Trung bình</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5" s="15" t="inlineStr">
        <is>
          <t>1. Admin kick member3@ ở photo
2. GET leaderboard all (member3@ 6 điểm ở hạng 58, ngoài top 10) — kiểm tra bằng GET /levels
3. member3@ /enroll lại
4. GET /levels</t>
        </is>
      </c>
      <c r="K45" s="15" t="inlineStr">
        <is>
          <t>-</t>
        </is>
      </c>
      <c r="L45" s="15" t="inlineStr">
        <is>
          <t>Sau kick member3@ không còn trong bảng và 403 khi gọi leaderboard; sau khi vào lại điểm vẫn 6 và rank 58</t>
        </is>
      </c>
      <c r="M45" s="15" t="inlineStr"/>
      <c r="N45" s="18" t="inlineStr">
        <is>
          <t>Chưa test</t>
        </is>
      </c>
      <c r="O45" s="15" t="inlineStr"/>
      <c r="P45" s="15" t="inlineStr"/>
      <c r="Q45" s="18" t="inlineStr">
        <is>
          <t>Chưa test</t>
        </is>
      </c>
      <c r="R45" s="15" t="inlineStr"/>
    </row>
    <row r="46" ht="30" customHeight="1">
      <c r="A46" s="14" t="inlineStr">
        <is>
          <t>TC-MEMBER-045</t>
        </is>
      </c>
      <c r="B46" s="15" t="inlineStr">
        <is>
          <t>Thành viên, Hồ sơ &amp; Xếp hạng</t>
        </is>
      </c>
      <c r="C46" s="15" t="inlineStr">
        <is>
          <t>Bảng xếp hạng</t>
        </is>
      </c>
      <c r="D46" s="15" t="inlineStr">
        <is>
          <t>Đồng điểm xếp theo userId tăng dần (tie-break cố định)</t>
        </is>
      </c>
      <c r="E46" s="15" t="inlineStr">
        <is>
          <t>Chức năng</t>
        </is>
      </c>
      <c r="F46" s="17" t="inlineStr">
        <is>
          <t>Thấp</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6" s="15" t="inlineStr">
        <is>
          <t>1. GET ?window=7d nhiều lần
2. Tìm các dòng cùng điểm 13 (Đoàn Thành demo-photo-14, Nguyen Ba kien demo-photo-15)</t>
        </is>
      </c>
      <c r="K46" s="15" t="inlineStr">
        <is>
          <t>-</t>
        </is>
      </c>
      <c r="L46" s="15" t="inlineStr">
        <is>
          <t>Hai dòng 13 điểm luôn theo thứ tự demo-photo-14 rồi demo-photo-15 ở mọi lần gọi (SQL ORDER BY points DESC, userId ASC); thứ tự ổn định, không ngẫu nhiên</t>
        </is>
      </c>
      <c r="M46" s="15" t="inlineStr"/>
      <c r="N46" s="18" t="inlineStr">
        <is>
          <t>Chưa test</t>
        </is>
      </c>
      <c r="O46" s="15" t="inlineStr"/>
      <c r="P46" s="15" t="inlineStr"/>
      <c r="Q46" s="18" t="inlineStr">
        <is>
          <t>Chưa test</t>
        </is>
      </c>
      <c r="R46" s="15" t="inlineStr"/>
    </row>
    <row r="47" ht="45" customHeight="1">
      <c r="A47" s="14" t="inlineStr">
        <is>
          <t>TC-MEMBER-046</t>
        </is>
      </c>
      <c r="B47" s="15" t="inlineStr">
        <is>
          <t>Thành viên, Hồ sơ &amp; Xếp hạng</t>
        </is>
      </c>
      <c r="C47" s="15" t="inlineStr">
        <is>
          <t>Bảng xếp hạng</t>
        </is>
      </c>
      <c r="D47" s="15" t="inlineStr">
        <is>
          <t>Bảng xếp hạng yêu cầu đăng nhập và ghi danh</t>
        </is>
      </c>
      <c r="E47" s="15" t="inlineStr">
        <is>
          <t>Bảo mật</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7" s="15" t="inlineStr">
        <is>
          <t>1. GET leaderboard không token
2. newbie@ GET leaderboard
3. banned@ GET leaderboard</t>
        </is>
      </c>
      <c r="K47" s="15" t="inlineStr">
        <is>
          <t>-</t>
        </is>
      </c>
      <c r="L47" s="15" t="inlineStr">
        <is>
          <t>Khách 401 UNAUTHORIZED, message 'Vui lòng đăng nhập để tiếp tục'; newbie@ và banned@ 403 FORBIDDEN, message 'Bạn cần tham gia cộng đồng này trước'</t>
        </is>
      </c>
      <c r="M47" s="15" t="inlineStr"/>
      <c r="N47" s="18" t="inlineStr">
        <is>
          <t>Chưa test</t>
        </is>
      </c>
      <c r="O47" s="15" t="inlineStr"/>
      <c r="P47" s="15" t="inlineStr"/>
      <c r="Q47" s="18" t="inlineStr">
        <is>
          <t>Chưa test</t>
        </is>
      </c>
      <c r="R47" s="15" t="inlineStr"/>
    </row>
    <row r="48" ht="30" customHeight="1">
      <c r="A48" s="14" t="inlineStr">
        <is>
          <t>TC-MEMBER-047</t>
        </is>
      </c>
      <c r="B48" s="15" t="inlineStr">
        <is>
          <t>Thành viên, Hồ sơ &amp; Xếp hạng</t>
        </is>
      </c>
      <c r="C48" s="15" t="inlineStr">
        <is>
          <t>Bảng xếp hạng</t>
        </is>
      </c>
      <c r="D48" s="15" t="inlineStr">
        <is>
          <t>Tên trong bảng xếp hạng lấy từ hồ sơ, không lộ email</t>
        </is>
      </c>
      <c r="E48" s="15" t="inlineStr">
        <is>
          <t>Bảo mật</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8" s="15" t="inlineStr">
        <is>
          <t>1. GET ?window=all
2. Kiểm tra khóa từng dòng</t>
        </is>
      </c>
      <c r="K48" s="15" t="inlineStr">
        <is>
          <t>-</t>
        </is>
      </c>
      <c r="L48" s="15" t="inlineStr">
        <is>
          <t>Mỗi dòng chỉ có userId,name,points,rank; rank 1..10 liên tục</t>
        </is>
      </c>
      <c r="M48" s="15" t="inlineStr"/>
      <c r="N48" s="18" t="inlineStr">
        <is>
          <t>Chưa test</t>
        </is>
      </c>
      <c r="O48" s="15" t="inlineStr"/>
      <c r="P48" s="15" t="inlineStr"/>
      <c r="Q48" s="18" t="inlineStr">
        <is>
          <t>Chưa test</t>
        </is>
      </c>
      <c r="R48" s="15" t="inlineStr"/>
    </row>
    <row r="49" ht="45" customHeight="1">
      <c r="A49" s="14" t="inlineStr">
        <is>
          <t>TC-MEMBER-048</t>
        </is>
      </c>
      <c r="B49" s="15" t="inlineStr">
        <is>
          <t>Thành viên, Hồ sơ &amp; Xếp hạng</t>
        </is>
      </c>
      <c r="C49" s="15" t="inlineStr">
        <is>
          <t>Bảng xếp hạng</t>
        </is>
      </c>
      <c r="D49" s="15" t="inlineStr">
        <is>
          <t>FE bảng xếp hạng: đổi 7 ngày / 30 ngày / Mọi thời điểm</t>
        </is>
      </c>
      <c r="E49" s="15" t="inlineStr">
        <is>
          <t>Giao diện</t>
        </is>
      </c>
      <c r="F49" s="20" t="inlineStr">
        <is>
          <t>Trung bình</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9" s="15" t="inlineStr">
        <is>
          <t>1. Đăng nhập member1@
2. Vào tab bảng xếp hạng (Leaderboard) của /courses/photo/community
3. Lần lượt chọn 7 ngày, 30 ngày, Mọi thời điểm</t>
        </is>
      </c>
      <c r="K49" s="15" t="inlineStr">
        <is>
          <t>-</t>
        </is>
      </c>
      <c r="L49" s="15" t="inlineStr">
        <is>
          <t>Danh sách đổi theo từng khoảng đúng dữ liệu API ở các case trên; 7 ngày: 'Minh Member1' đứng đầu với 35; mọi thời điểm: 'Michial Kekv' đứng đầu với 305</t>
        </is>
      </c>
      <c r="M49" s="15" t="inlineStr"/>
      <c r="N49" s="18" t="inlineStr">
        <is>
          <t>Chưa test</t>
        </is>
      </c>
      <c r="O49" s="15" t="inlineStr"/>
      <c r="P49" s="15" t="inlineStr"/>
      <c r="Q49" s="18" t="inlineStr">
        <is>
          <t>Chưa test</t>
        </is>
      </c>
      <c r="R49" s="15" t="inlineStr"/>
    </row>
    <row r="50" ht="30" customHeight="1">
      <c r="A50" s="14" t="inlineStr">
        <is>
          <t>TC-MEMBER-049</t>
        </is>
      </c>
      <c r="B50" s="15" t="inlineStr">
        <is>
          <t>Thành viên, Hồ sơ &amp; Xếp hạng</t>
        </is>
      </c>
      <c r="C50" s="15" t="inlineStr">
        <is>
          <t>Bảng xếp hạng</t>
        </is>
      </c>
      <c r="D50" s="15" t="inlineStr">
        <is>
          <t>Điểm của tài khoản test ở photo: tổng và điểm của bản thân theo /api/me/points</t>
        </is>
      </c>
      <c r="E50" s="15" t="inlineStr">
        <is>
          <t>Chức năng</t>
        </is>
      </c>
      <c r="F50" s="20" t="inlineStr">
        <is>
          <t>Trung bình</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50" s="15" t="inlineStr">
        <is>
          <t>1. Đăng nhập member1@
2. GET /api/me/points</t>
        </is>
      </c>
      <c r="K50" s="15" t="inlineStr">
        <is>
          <t>-</t>
        </is>
      </c>
      <c r="L50" s="15" t="inlineStr">
        <is>
          <t>200 data.total=110; byCourse=[{course:{id:'photo',…}, points:110}]; recent 3 sự kiện mới nhất trước: post 35 (1 ngày trước), like_received 30 (12 ngày), lesson_complete 45 (50 ngày)</t>
        </is>
      </c>
      <c r="M50" s="15" t="inlineStr"/>
      <c r="N50" s="18" t="inlineStr">
        <is>
          <t>Chưa test</t>
        </is>
      </c>
      <c r="O50" s="15" t="inlineStr"/>
      <c r="P50" s="15" t="inlineStr"/>
      <c r="Q50" s="18" t="inlineStr">
        <is>
          <t>Chưa test</t>
        </is>
      </c>
      <c r="R50" s="15" t="inlineStr"/>
    </row>
    <row r="51" ht="30" customHeight="1">
      <c r="A51" s="14" t="inlineStr">
        <is>
          <t>TC-MEMBER-050</t>
        </is>
      </c>
      <c r="B51" s="15" t="inlineStr">
        <is>
          <t>Thành viên, Hồ sơ &amp; Xếp hạng</t>
        </is>
      </c>
      <c r="C51" s="15" t="inlineStr">
        <is>
          <t>Hệ thống điểm &amp; cấp độ</t>
        </is>
      </c>
      <c r="D51" s="15" t="inlineStr">
        <is>
          <t>Ngưỡng cấp độ: 9 cấp với ngưỡng 0/20/60/120/200/300/450/650/900</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51" s="15" t="inlineStr">
        <is>
          <t>1. GET /api/courses/photo/levels
2. Đọc data.levels</t>
        </is>
      </c>
      <c r="K51" s="15" t="inlineStr">
        <is>
          <t>-</t>
        </is>
      </c>
      <c r="L51"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51" s="15" t="inlineStr"/>
      <c r="N51" s="18" t="inlineStr">
        <is>
          <t>Chưa test</t>
        </is>
      </c>
      <c r="O51" s="15" t="inlineStr"/>
      <c r="P51" s="15" t="inlineStr"/>
      <c r="Q51" s="18" t="inlineStr">
        <is>
          <t>Chưa test</t>
        </is>
      </c>
      <c r="R51" s="15" t="inlineStr"/>
    </row>
    <row r="52" ht="30" customHeight="1">
      <c r="A52" s="14" t="inlineStr">
        <is>
          <t>TC-MEMBER-051</t>
        </is>
      </c>
      <c r="B52" s="15" t="inlineStr">
        <is>
          <t>Thành viên, Hồ sơ &amp; Xếp hạng</t>
        </is>
      </c>
      <c r="C52" s="15" t="inlineStr">
        <is>
          <t>Hệ thống điểm &amp; cấp độ</t>
        </is>
      </c>
      <c r="D52" s="15" t="inlineStr">
        <is>
          <t>Tiến độ của member1@ (110 điểm): Cấp 3 YouTuber, còn 10 điểm lên cấp 4, hạng 13</t>
        </is>
      </c>
      <c r="E52" s="15" t="inlineStr">
        <is>
          <t>Chức năng</t>
        </is>
      </c>
      <c r="F52" s="16" t="inlineStr">
        <is>
          <t>Cao</t>
        </is>
      </c>
      <c r="G52" s="17" t="inlineStr">
        <is>
          <t>Đã hoàn thiện</t>
        </is>
      </c>
      <c r="H52" s="17" t="inlineStr">
        <is>
          <t>Có</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52" s="15" t="inlineStr">
        <is>
          <t>1. GET /api/courses/photo/levels
2. Đọc data.me</t>
        </is>
      </c>
      <c r="K52" s="15" t="inlineStr">
        <is>
          <t>-</t>
        </is>
      </c>
      <c r="L52" s="15" t="inlineStr">
        <is>
          <t>data.me={userId, name:'Minh Member1', points:110, rank:13, level:3, levelName:'YouTuber', pointsToNext:10, journeyPct:12} (journeyPct = round(110/900×100))</t>
        </is>
      </c>
      <c r="M52" s="15" t="inlineStr"/>
      <c r="N52" s="18" t="inlineStr">
        <is>
          <t>Chưa test</t>
        </is>
      </c>
      <c r="O52" s="15" t="inlineStr"/>
      <c r="P52" s="15" t="inlineStr"/>
      <c r="Q52" s="18" t="inlineStr">
        <is>
          <t>Chưa test</t>
        </is>
      </c>
      <c r="R52" s="15" t="inlineStr"/>
    </row>
    <row r="53" ht="30" customHeight="1">
      <c r="A53" s="14" t="inlineStr">
        <is>
          <t>TC-MEMBER-052</t>
        </is>
      </c>
      <c r="B53" s="15" t="inlineStr">
        <is>
          <t>Thành viên, Hồ sơ &amp; Xếp hạng</t>
        </is>
      </c>
      <c r="C53" s="15" t="inlineStr">
        <is>
          <t>Hệ thống điểm &amp; cấp độ</t>
        </is>
      </c>
      <c r="D53" s="15" t="inlineStr">
        <is>
          <t>Tiến độ của member2@ (30 điểm) và member3@ (6 điểm)</t>
        </is>
      </c>
      <c r="E53" s="15" t="inlineStr">
        <is>
          <t>Chức năng</t>
        </is>
      </c>
      <c r="F53" s="20" t="inlineStr">
        <is>
          <t>Trung bình</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t>
        </is>
      </c>
      <c r="J53" s="15" t="inlineStr">
        <is>
          <t>1. member2@ GET /levels
2. member3@ GET /levels</t>
        </is>
      </c>
      <c r="K53" s="15" t="inlineStr">
        <is>
          <t>-</t>
        </is>
      </c>
      <c r="L53" s="15" t="inlineStr">
        <is>
          <t>member2@: points 30, level 2 'Creator', pointsToNext 30, journeyPct 3, rank 28; member3@: points 6, level 1 'Tân Binh', pointsToNext 14, journeyPct 1, rank 58</t>
        </is>
      </c>
      <c r="M53" s="15" t="inlineStr"/>
      <c r="N53" s="18" t="inlineStr">
        <is>
          <t>Chưa test</t>
        </is>
      </c>
      <c r="O53" s="15" t="inlineStr"/>
      <c r="P53" s="15" t="inlineStr"/>
      <c r="Q53" s="18" t="inlineStr">
        <is>
          <t>Chưa test</t>
        </is>
      </c>
      <c r="R53" s="15" t="inlineStr"/>
    </row>
    <row r="54" ht="30" customHeight="1">
      <c r="A54" s="14" t="inlineStr">
        <is>
          <t>TC-MEMBER-053</t>
        </is>
      </c>
      <c r="B54" s="15" t="inlineStr">
        <is>
          <t>Thành viên, Hồ sơ &amp; Xếp hạng</t>
        </is>
      </c>
      <c r="C54" s="15" t="inlineStr">
        <is>
          <t>Hệ thống điểm &amp; cấp độ</t>
        </is>
      </c>
      <c r="D54" s="15" t="inlineStr">
        <is>
          <t>Người 0 điểm (owner@ ở photo): hạng null, cấp 1, còn 20 điểm</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t>
        </is>
      </c>
      <c r="J54" s="15" t="inlineStr">
        <is>
          <t>1. owner@ GET /api/courses/photo/levels</t>
        </is>
      </c>
      <c r="K54" s="15" t="inlineStr">
        <is>
          <t>-</t>
        </is>
      </c>
      <c r="L54" s="15" t="inlineStr">
        <is>
          <t>data.me={points:0, rank:null, level:1, levelName:'Tân Binh', pointsToNext:20, journeyPct:0}</t>
        </is>
      </c>
      <c r="M54" s="15" t="inlineStr"/>
      <c r="N54" s="18" t="inlineStr">
        <is>
          <t>Chưa test</t>
        </is>
      </c>
      <c r="O54" s="15" t="inlineStr"/>
      <c r="P54" s="15" t="inlineStr"/>
      <c r="Q54" s="18" t="inlineStr">
        <is>
          <t>Chưa test</t>
        </is>
      </c>
      <c r="R54" s="15" t="inlineStr"/>
    </row>
    <row r="55" ht="30" customHeight="1">
      <c r="A55" s="14" t="inlineStr">
        <is>
          <t>TC-MEMBER-054</t>
        </is>
      </c>
      <c r="B55" s="15" t="inlineStr">
        <is>
          <t>Thành viên, Hồ sơ &amp; Xếp hạng</t>
        </is>
      </c>
      <c r="C55" s="15" t="inlineStr">
        <is>
          <t>Hệ thống điểm &amp; cấp độ</t>
        </is>
      </c>
      <c r="D55" s="15" t="inlineStr">
        <is>
          <t>Phân bố thành viên theo cấp (memberPct) của photo</t>
        </is>
      </c>
      <c r="E55" s="15" t="inlineStr">
        <is>
          <t>Chức năng</t>
        </is>
      </c>
      <c r="F55" s="20" t="inlineStr">
        <is>
          <t>Trung bình</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66 thành viên hợp lệ (gồm người 0 điểm): cấp 1: 25, cấp 2: 22, cấp 3: 9, cấp 4: 4, cấp 5: 5, cấp 6: 1</t>
        </is>
      </c>
      <c r="J55" s="15" t="inlineStr">
        <is>
          <t>1. member1@ GET /levels
2. Đọc memberPct từng cấp</t>
        </is>
      </c>
      <c r="K55" s="15" t="inlineStr">
        <is>
          <t>-</t>
        </is>
      </c>
      <c r="L55" s="15" t="inlineStr">
        <is>
          <t>memberPct: cấp1 38, cấp2 33, cấp3 14, cấp4 6, cấp5 8, cấp6 2, cấp7-9 0 (làm tròn từng cấp nên tổng có thể 101%); banned@ không được tính</t>
        </is>
      </c>
      <c r="M55" s="15" t="inlineStr"/>
      <c r="N55" s="18" t="inlineStr">
        <is>
          <t>Chưa test</t>
        </is>
      </c>
      <c r="O55" s="15" t="inlineStr"/>
      <c r="P55" s="15" t="inlineStr"/>
      <c r="Q55" s="18" t="inlineStr">
        <is>
          <t>Chưa test</t>
        </is>
      </c>
      <c r="R55" s="15" t="inlineStr"/>
    </row>
    <row r="56" ht="30" customHeight="1">
      <c r="A56" s="14" t="inlineStr">
        <is>
          <t>TC-MEMBER-055</t>
        </is>
      </c>
      <c r="B56" s="15" t="inlineStr">
        <is>
          <t>Thành viên, Hồ sơ &amp; Xếp hạng</t>
        </is>
      </c>
      <c r="C56" s="15" t="inlineStr">
        <is>
          <t>Hệ thống điểm &amp; cấp độ</t>
        </is>
      </c>
      <c r="D56" s="15" t="inlineStr">
        <is>
          <t>Cấp độ đổi đúng ở các mốc ngưỡng (19/20, 59/60, 119/120 …)</t>
        </is>
      </c>
      <c r="E56" s="15" t="inlineStr">
        <is>
          <t>Chức năng</t>
        </is>
      </c>
      <c r="F56" s="16" t="inlineStr">
        <is>
          <t>Cao</t>
        </is>
      </c>
      <c r="G56" s="17" t="inlineStr">
        <is>
          <t>Đã hoàn thiện</t>
        </is>
      </c>
      <c r="H56" s="16" t="inlineStr">
        <is>
          <t>Không</t>
        </is>
      </c>
      <c r="I56"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56" s="15" t="inlineStr">
        <is>
          <t>1. Đặt tổng điểm member3@ ở photo lần lượt thành 19, 20, 59, 60, 119, 120, 199, 200, 299, 300, 449, 450, 649, 650, 899, 900
2. Mỗi lần GET /levels bằng member3@</t>
        </is>
      </c>
      <c r="K56" s="15" t="inlineStr">
        <is>
          <t>Tổng điểm: các mốc ở bước 1</t>
        </is>
      </c>
      <c r="L56" s="15" t="inlineStr">
        <is>
          <t>level: 19-&gt;1, 20-&gt;2, 59-&gt;2, 60-&gt;3, 119-&gt;3, 120-&gt;4, 199-&gt;4, 200-&gt;5, 299-&gt;5, 300-&gt;6, 449-&gt;6, 450-&gt;7, 649-&gt;7, 650-&gt;8, 899-&gt;8, 900-&gt;9; ở 900 pointsToNext=0 và journeyPct=100; vượt 900 journeyPct vẫn 100</t>
        </is>
      </c>
      <c r="M56" s="15" t="inlineStr"/>
      <c r="N56" s="18" t="inlineStr">
        <is>
          <t>Chưa test</t>
        </is>
      </c>
      <c r="O56" s="15" t="inlineStr"/>
      <c r="P56" s="15" t="inlineStr"/>
      <c r="Q56" s="18" t="inlineStr">
        <is>
          <t>Chưa test</t>
        </is>
      </c>
      <c r="R56" s="15" t="inlineStr"/>
    </row>
    <row r="57" ht="90" customHeight="1">
      <c r="A57" s="14" t="inlineStr">
        <is>
          <t>TC-MEMBER-056</t>
        </is>
      </c>
      <c r="B57" s="15" t="inlineStr">
        <is>
          <t>Thành viên, Hồ sơ &amp; Xếp hạng</t>
        </is>
      </c>
      <c r="C57" s="15" t="inlineStr">
        <is>
          <t>Hệ thống điểm &amp; cấp độ</t>
        </is>
      </c>
      <c r="D57" s="15" t="inlineStr">
        <is>
          <t>Giá trị điểm theo hoạt động: post +5, like_received +2, lesson_complete +3, event_rsvp +1</t>
        </is>
      </c>
      <c r="E57" s="15" t="inlineStr">
        <is>
          <t>Chức năng</t>
        </is>
      </c>
      <c r="F57" s="16" t="inlineStr">
        <is>
          <t>Cao</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57" s="15" t="inlineStr">
        <is>
          <t>1. Ghi điểm ban đầu (GET /api/me/points)
2. Đăng 1 bài
3. Nhận 1 lượt thích từ tài khoản khác
4. Hoàn thành 1 bài học
5. RSVP 1 sự kiện
6. GET /api/me/points sau mỗi bước</t>
        </is>
      </c>
      <c r="K57" s="15" t="inlineStr">
        <is>
          <t>-</t>
        </is>
      </c>
      <c r="L57" s="15" t="inlineStr">
        <is>
          <t>Điểm tăng lần lượt +5, +2, +3, +1 và recent ghi reason 'post', 'like_received', 'lesson_complete', 'event_rsvp' (POINT_VALUES; giá trị tạm, chưa chốt); tổng sau 4 bước = 11</t>
        </is>
      </c>
      <c r="M57" s="15" t="inlineStr"/>
      <c r="N57" s="18" t="inlineStr">
        <is>
          <t>Chưa test</t>
        </is>
      </c>
      <c r="O57" s="15" t="inlineStr"/>
      <c r="P57" s="15" t="inlineStr"/>
      <c r="Q57" s="18" t="inlineStr">
        <is>
          <t>Chưa test</t>
        </is>
      </c>
      <c r="R57" s="15" t="inlineStr"/>
    </row>
    <row r="58" ht="60" customHeight="1">
      <c r="A58" s="14" t="inlineStr">
        <is>
          <t>TC-MEMBER-057</t>
        </is>
      </c>
      <c r="B58" s="15" t="inlineStr">
        <is>
          <t>Thành viên, Hồ sơ &amp; Xếp hạng</t>
        </is>
      </c>
      <c r="C58" s="15" t="inlineStr">
        <is>
          <t>Hệ thống điểm &amp; cấp độ</t>
        </is>
      </c>
      <c r="D58" s="15" t="inlineStr">
        <is>
          <t>Thành viên nhận điểm ở cộng đồng nào thì tính ở cộng đồng đó</t>
        </is>
      </c>
      <c r="E58" s="15" t="inlineStr">
        <is>
          <t>Chức năng</t>
        </is>
      </c>
      <c r="F58" s="20" t="inlineStr">
        <is>
          <t>Trung bình</t>
        </is>
      </c>
      <c r="G58" s="17" t="inlineStr">
        <is>
          <t>Đã hoàn thiện</t>
        </is>
      </c>
      <c r="H58" s="17" t="inlineStr">
        <is>
          <t>Có</t>
        </is>
      </c>
      <c r="I58"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58" s="15" t="inlineStr">
        <is>
          <t>1. member1@ đăng bài ở yt
2. GET /api/me/points
3. GET /api/courses/yt/leaderboard?window=7d
4. GET /api/courses/photo/levels</t>
        </is>
      </c>
      <c r="K58" s="15" t="inlineStr">
        <is>
          <t>-</t>
        </is>
      </c>
      <c r="L58" s="15" t="inlineStr">
        <is>
          <t>byCourse có thêm {course yt, points:5}; total = 115; photo vẫn 110 (sổ điểm tách theo courseId); hồ sơ /api/users/&lt;member1&gt; totalPoints=115</t>
        </is>
      </c>
      <c r="M58" s="15" t="inlineStr"/>
      <c r="N58" s="18" t="inlineStr">
        <is>
          <t>Chưa test</t>
        </is>
      </c>
      <c r="O58" s="15" t="inlineStr"/>
      <c r="P58" s="15" t="inlineStr"/>
      <c r="Q58" s="18" t="inlineStr">
        <is>
          <t>Chưa test</t>
        </is>
      </c>
      <c r="R58" s="15" t="inlineStr"/>
    </row>
    <row r="59" ht="30" customHeight="1">
      <c r="A59" s="14" t="inlineStr">
        <is>
          <t>TC-MEMBER-058</t>
        </is>
      </c>
      <c r="B59" s="15" t="inlineStr">
        <is>
          <t>Thành viên, Hồ sơ &amp; Xếp hạng</t>
        </is>
      </c>
      <c r="C59" s="15" t="inlineStr">
        <is>
          <t>Hệ thống điểm &amp; cấp độ</t>
        </is>
      </c>
      <c r="D59" s="15" t="inlineStr">
        <is>
          <t>Chưa đăng nhập không đọc được điểm của mình</t>
        </is>
      </c>
      <c r="E59" s="15" t="inlineStr">
        <is>
          <t>Bảo mật</t>
        </is>
      </c>
      <c r="F59" s="17" t="inlineStr">
        <is>
          <t>Thấp</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t>
        </is>
      </c>
      <c r="J59" s="15" t="inlineStr">
        <is>
          <t>1. GET /api/me/points không token
2. GET /api/courses/photo/levels không token</t>
        </is>
      </c>
      <c r="K59" s="15" t="inlineStr">
        <is>
          <t>-</t>
        </is>
      </c>
      <c r="L59" s="15" t="inlineStr">
        <is>
          <t>Cả hai 401 UNAUTHORIZED, message 'Vui lòng đăng nhập để tiếp tục'</t>
        </is>
      </c>
      <c r="M59" s="15" t="inlineStr"/>
      <c r="N59" s="18" t="inlineStr">
        <is>
          <t>Chưa test</t>
        </is>
      </c>
      <c r="O59" s="15" t="inlineStr"/>
      <c r="P59" s="15" t="inlineStr"/>
      <c r="Q59" s="18" t="inlineStr">
        <is>
          <t>Chưa test</t>
        </is>
      </c>
      <c r="R59" s="15" t="inlineStr"/>
    </row>
    <row r="60" ht="30" customHeight="1">
      <c r="A60" s="14" t="inlineStr">
        <is>
          <t>TC-MEMBER-059</t>
        </is>
      </c>
      <c r="B60" s="15" t="inlineStr">
        <is>
          <t>Thành viên, Hồ sơ &amp; Xếp hạng</t>
        </is>
      </c>
      <c r="C60" s="15" t="inlineStr">
        <is>
          <t>Hệ thống điểm &amp; cấp độ</t>
        </is>
      </c>
      <c r="D60" s="15" t="inlineStr">
        <is>
          <t>FE hành trình thăng cấp: thanh tiến độ và cấp hiện tại</t>
        </is>
      </c>
      <c r="E60" s="15" t="inlineStr">
        <is>
          <t>Giao diện</t>
        </is>
      </c>
      <c r="F60" s="17" t="inlineStr">
        <is>
          <t>Thấp</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60" s="15" t="inlineStr">
        <is>
          <t>1. Mở /courses/photo/community tab Xếp hạng/Cấp độ
2. Đối chiếu số hiển thị với API /levels</t>
        </is>
      </c>
      <c r="K60" s="15" t="inlineStr">
        <is>
          <t>-</t>
        </is>
      </c>
      <c r="L60" s="15" t="inlineStr">
        <is>
          <t>Hiển thị 'YouTuber' Cấp 3, 110 điểm, còn 10 điểm lên cấp 4, hạng 13; danh sách cấp có % thành viên mỗi cấp như API</t>
        </is>
      </c>
      <c r="M60" s="15" t="inlineStr"/>
      <c r="N60" s="18" t="inlineStr">
        <is>
          <t>Chưa test</t>
        </is>
      </c>
      <c r="O60" s="15" t="inlineStr"/>
      <c r="P60" s="15" t="inlineStr"/>
      <c r="Q60" s="18" t="inlineStr">
        <is>
          <t>Chưa test</t>
        </is>
      </c>
      <c r="R60" s="15" t="inlineStr"/>
    </row>
    <row r="61" ht="30" customHeight="1">
      <c r="A61" s="14" t="inlineStr">
        <is>
          <t>TC-MEMBER-060</t>
        </is>
      </c>
      <c r="B61" s="15" t="inlineStr">
        <is>
          <t>Thành viên, Hồ sơ &amp; Xếp hạng</t>
        </is>
      </c>
      <c r="C61" s="15" t="inlineStr">
        <is>
          <t>Thành viên minh họa (isDemo)</t>
        </is>
      </c>
      <c r="D61" s="15" t="inlineStr">
        <is>
          <t>Thành viên minh họa không đăng nhập được</t>
        </is>
      </c>
      <c r="E61" s="15" t="inlineStr">
        <is>
          <t>Bảo mật</t>
        </is>
      </c>
      <c r="F61" s="16" t="inlineStr">
        <is>
          <t>Cao</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61" s="15" t="inlineStr">
        <is>
          <t>1. POST /api/auth/login {email:'seed-photo-0@demo.sofinhub.invalid', password:'Passw0rd!x'}
2. Thử mật khẩu rỗng và '!demo-account-cannot-login'</t>
        </is>
      </c>
      <c r="K61" s="15" t="inlineStr">
        <is>
          <t>email demo</t>
        </is>
      </c>
      <c r="L61" s="15" t="inlineStr">
        <is>
          <t>Mọi lần 401 UNAUTHORIZED, message 'Email hoặc mật khẩu không đúng' (giống sai mật khẩu, không lộ tài khoản demo); đăng ký lại cùng email demo bị chặn vì đã tồn tại (409 'Email này đã được đăng ký')</t>
        </is>
      </c>
      <c r="M61" s="15" t="inlineStr"/>
      <c r="N61" s="18" t="inlineStr">
        <is>
          <t>Chưa test</t>
        </is>
      </c>
      <c r="O61" s="15" t="inlineStr"/>
      <c r="P61" s="15" t="inlineStr"/>
      <c r="Q61" s="18" t="inlineStr">
        <is>
          <t>Chưa test</t>
        </is>
      </c>
      <c r="R61" s="15" t="inlineStr"/>
    </row>
    <row r="62" ht="45" customHeight="1">
      <c r="A62" s="14" t="inlineStr">
        <is>
          <t>TC-MEMBER-061</t>
        </is>
      </c>
      <c r="B62" s="15" t="inlineStr">
        <is>
          <t>Thành viên, Hồ sơ &amp; Xếp hạng</t>
        </is>
      </c>
      <c r="C62" s="15" t="inlineStr">
        <is>
          <t>Thành viên minh họa (isDemo)</t>
        </is>
      </c>
      <c r="D62" s="15" t="inlineStr">
        <is>
          <t>Mỗi cộng đồng có đúng 60 thành viên minh họa với id demo-&lt;courseId&gt;-&lt;i&gt;</t>
        </is>
      </c>
      <c r="E62" s="15" t="inlineStr">
        <is>
          <t>Chức năng</t>
        </is>
      </c>
      <c r="F62" s="20" t="inlineStr">
        <is>
          <t>Trung bình</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t>
        </is>
      </c>
      <c r="J62" s="15" t="inlineStr">
        <is>
          <t>1. member1@ GET /api/courses/yt/members?limit=50&amp;page=2
2. Kiểm tra id các dòng minh họa
3. owner@ (Owner paid-demo/private-demo) GET members của hai cộng đồng đó</t>
        </is>
      </c>
      <c r="K62" s="15" t="inlineStr">
        <is>
          <t>-</t>
        </is>
      </c>
      <c r="L62" s="15" t="inlineStr">
        <is>
          <t>id có dạng demo-yt-&lt;i&gt;, i=0..59; demo-&lt;courseId&gt;-0 là admin, còn lại member; private-demo và paid-demo cũng có 60 thành viên minh họa cộng thêm owner@ (tổng 61)</t>
        </is>
      </c>
      <c r="M62" s="15" t="inlineStr"/>
      <c r="N62" s="18" t="inlineStr">
        <is>
          <t>Chưa test</t>
        </is>
      </c>
      <c r="O62" s="15" t="inlineStr"/>
      <c r="P62" s="15" t="inlineStr"/>
      <c r="Q62" s="18" t="inlineStr">
        <is>
          <t>Chưa test</t>
        </is>
      </c>
      <c r="R62" s="15" t="inlineStr"/>
    </row>
    <row r="63" ht="30" customHeight="1">
      <c r="A63" s="14" t="inlineStr">
        <is>
          <t>TC-MEMBER-062</t>
        </is>
      </c>
      <c r="B63" s="15" t="inlineStr">
        <is>
          <t>Thành viên, Hồ sơ &amp; Xếp hạng</t>
        </is>
      </c>
      <c r="C63" s="15" t="inlineStr">
        <is>
          <t>Thành viên minh họa (isDemo)</t>
        </is>
      </c>
      <c r="D63" s="15" t="inlineStr">
        <is>
          <t>Thành viên minh họa không nhận thông báo và không bị tác động quản trị</t>
        </is>
      </c>
      <c r="E63" s="15" t="inlineStr">
        <is>
          <t>Chức năng</t>
        </is>
      </c>
      <c r="F63" s="20" t="inlineStr">
        <is>
          <t>Trung bình</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t>
        </is>
      </c>
      <c r="J63" s="15" t="inlineStr">
        <is>
          <t>1. Thử kick, ban, đổi vai trò với demo-photo-4
2. Xóa cộng đồng do owner@ tạo có thành viên minh họa rồi kiểm tra thông báo</t>
        </is>
      </c>
      <c r="K63" s="15" t="inlineStr">
        <is>
          <t>-</t>
        </is>
      </c>
      <c r="L63" s="15" t="inlineStr">
        <is>
          <t>kick/đổi vai trò -&gt; 404 'Không tìm thấy thành viên'; ban -&gt; 404; thông báo 'Cộng đồng đã bị xóa' không tạo cho user isDemo</t>
        </is>
      </c>
      <c r="M63" s="15" t="inlineStr"/>
      <c r="N63" s="18" t="inlineStr">
        <is>
          <t>Chưa test</t>
        </is>
      </c>
      <c r="O63" s="15" t="inlineStr"/>
      <c r="P63" s="15" t="inlineStr"/>
      <c r="Q63" s="18" t="inlineStr">
        <is>
          <t>Chưa test</t>
        </is>
      </c>
      <c r="R63" s="15" t="inlineStr"/>
    </row>
    <row r="64" ht="30" customHeight="1">
      <c r="A64" s="14" t="inlineStr">
        <is>
          <t>TC-MEMBER-063</t>
        </is>
      </c>
      <c r="B64" s="15" t="inlineStr">
        <is>
          <t>Thành viên, Hồ sơ &amp; Xếp hạng</t>
        </is>
      </c>
      <c r="C64" s="15" t="inlineStr">
        <is>
          <t>Thành viên minh họa (isDemo)</t>
        </is>
      </c>
      <c r="D64" s="15" t="inlineStr">
        <is>
          <t>Thành viên minh họa không nằm trong danh sách chọn khi chuyển quyền (FE)</t>
        </is>
      </c>
      <c r="E64" s="15" t="inlineStr">
        <is>
          <t>Giao diện</t>
        </is>
      </c>
      <c r="F64" s="17" t="inlineStr">
        <is>
          <t>Thấp</t>
        </is>
      </c>
      <c r="G64" s="17" t="inlineStr">
        <is>
          <t>Đã hoàn thiện</t>
        </is>
      </c>
      <c r="H64" s="17" t="inlineStr">
        <is>
          <t>Có</t>
        </is>
      </c>
      <c r="I6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4" s="15" t="inlineStr">
        <is>
          <t>1. owner@ vào Cài đặt -&gt; Vùng nguy hiểm -&gt; Chuyển quyền chủ
2. Tìm 'Tom Be'</t>
        </is>
      </c>
      <c r="K64" s="15" t="inlineStr">
        <is>
          <t>-</t>
        </is>
      </c>
      <c r="L64" s="15" t="inlineStr">
        <is>
          <t>Không có thành viên minh họa và chính mình trong danh sách chọn; chỉ hiện thành viên thật</t>
        </is>
      </c>
      <c r="M64" s="15" t="inlineStr"/>
      <c r="N64" s="18" t="inlineStr">
        <is>
          <t>Chưa test</t>
        </is>
      </c>
      <c r="O64" s="15" t="inlineStr"/>
      <c r="P64" s="15" t="inlineStr"/>
      <c r="Q64" s="18" t="inlineStr">
        <is>
          <t>Chưa test</t>
        </is>
      </c>
      <c r="R64" s="15" t="inlineStr"/>
    </row>
    <row r="65" ht="30" customHeight="1">
      <c r="A65" s="14" t="inlineStr">
        <is>
          <t>TC-MEMBER-064</t>
        </is>
      </c>
      <c r="B65" s="15" t="inlineStr">
        <is>
          <t>Thành viên, Hồ sơ &amp; Xếp hạng</t>
        </is>
      </c>
      <c r="C65" s="15" t="inlineStr">
        <is>
          <t>Thành viên minh họa (isDemo)</t>
        </is>
      </c>
      <c r="D65" s="15" t="inlineStr">
        <is>
          <t>Điểm thành viên minh họa: mỗi người 3 sự kiện tương ứng 7d / 8-30d / &gt;30 ngày</t>
        </is>
      </c>
      <c r="E65" s="15" t="inlineStr">
        <is>
          <t>Chức năng</t>
        </is>
      </c>
      <c r="F65" s="17" t="inlineStr">
        <is>
          <t>Thấp</t>
        </is>
      </c>
      <c r="G65" s="17" t="inlineStr">
        <is>
          <t>Đã hoàn thiện</t>
        </is>
      </c>
      <c r="H65" s="17" t="inlineStr">
        <is>
          <t>Có</t>
        </is>
      </c>
      <c r="I65"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65" s="15" t="inlineStr">
        <is>
          <t>1. member1@ GET leaderboard 7d/30d/all
2. Kiểm tra điểm của Tom Be ở từng cửa sổ (nếu nằm trong top 10)</t>
        </is>
      </c>
      <c r="K65" s="15" t="inlineStr">
        <is>
          <t>-</t>
        </is>
      </c>
      <c r="L65" s="15" t="inlineStr">
        <is>
          <t>all: Tom Be 286 (hạng 2); Tom Be không nằm top 10 của 7d/30d (điểm 2 và 4 thấp); tổng 7d ≤ 30d ≤ all với mọi thành viên minh họa</t>
        </is>
      </c>
      <c r="M65" s="15" t="inlineStr"/>
      <c r="N65" s="18" t="inlineStr">
        <is>
          <t>Chưa test</t>
        </is>
      </c>
      <c r="O65" s="15" t="inlineStr"/>
      <c r="P65" s="15" t="inlineStr"/>
      <c r="Q65" s="18" t="inlineStr">
        <is>
          <t>Chưa test</t>
        </is>
      </c>
      <c r="R65" s="15" t="inlineStr"/>
    </row>
    <row r="66" ht="30" customHeight="1">
      <c r="A66" s="14" t="inlineStr">
        <is>
          <t>TC-MEMBER-065</t>
        </is>
      </c>
      <c r="B66" s="15" t="inlineStr">
        <is>
          <t>Thành viên, Hồ sơ &amp; Xếp hạng</t>
        </is>
      </c>
      <c r="C66" s="15" t="inlineStr">
        <is>
          <t>Hồ sơ &amp; xếp hạng nâng cao</t>
        </is>
      </c>
      <c r="D66" s="15" t="inlineStr">
        <is>
          <t>Thưởng điểm tự động và huy hiệu theo cấp độ</t>
        </is>
      </c>
      <c r="E66" s="15" t="inlineStr">
        <is>
          <t>Chức năng</t>
        </is>
      </c>
      <c r="F66" s="17" t="inlineStr">
        <is>
          <t>Thấp</t>
        </is>
      </c>
      <c r="G66" s="20" t="inlineStr">
        <is>
          <t>Kế hoạch</t>
        </is>
      </c>
      <c r="H66" s="16" t="inlineStr">
        <is>
          <t>Không</t>
        </is>
      </c>
      <c r="I66" s="15" t="inlineStr">
        <is>
          <t>Chưa làm: huy hiệu/phần thưởng khi lên cấp, thông báo lên cấp, điểm trừ khi bài bị xóa/bị báo cáo (BRD mục 5 còn mở); chỉ có sổ PointEvent append-only</t>
        </is>
      </c>
      <c r="J66" s="15" t="inlineStr">
        <is>
          <t>1. Đăng bài rồi xóa bài
2. Kiểm tra điểm</t>
        </is>
      </c>
      <c r="K66" s="15" t="inlineStr">
        <is>
          <t>-</t>
        </is>
      </c>
      <c r="L66" s="15" t="inlineStr">
        <is>
          <t>Cần chốt quy tắc với BA: điểm có bị trừ khi xóa bài/bỏ thích không (hiện sổ điểm chỉ cộng, không trừ); chưa có thông báo lên cấp</t>
        </is>
      </c>
      <c r="M66" s="15" t="inlineStr"/>
      <c r="N66" s="18" t="inlineStr">
        <is>
          <t>Chưa test</t>
        </is>
      </c>
      <c r="O66" s="15" t="inlineStr"/>
      <c r="P66" s="15" t="inlineStr"/>
      <c r="Q66" s="18" t="inlineStr">
        <is>
          <t>Chưa test</t>
        </is>
      </c>
      <c r="R66" s="15" t="inlineStr"/>
    </row>
  </sheetData>
  <autoFilter ref="A1:R66"/>
  <conditionalFormatting sqref="N2:N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6" showDropDown="0" showInputMessage="0" showErrorMessage="0" allowBlank="1" type="list">
      <formula1>"Chưa test,Pass,Fail,Blocked,N/A"</formula1>
    </dataValidation>
    <dataValidation sqref="Q2:Q66" showDropDown="0" showInputMessage="0" showErrorMessage="0" allowBlank="1" type="list">
      <formula1>"Chưa test,Pass,Fail,Blocked,N/A"</formula1>
    </dataValidation>
    <dataValidation sqref="F2:F66" showDropDown="0" showInputMessage="0" showErrorMessage="0" allowBlank="1" type="list">
      <formula1>"Cao,Trung bình,Thấp"</formula1>
    </dataValidation>
    <dataValidation sqref="G2:G66" showDropDown="0" showInputMessage="0" showErrorMessage="0" allowBlank="1" type="list">
      <formula1>"Đã hoàn thiện,Kế hoạch"</formula1>
    </dataValidation>
    <dataValidation sqref="H2:H66"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1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TC-EVENT-001</t>
        </is>
      </c>
      <c r="B2" s="15" t="inlineStr">
        <is>
          <t>Lịch &amp; Sự kiện</t>
        </is>
      </c>
      <c r="C2" s="15" t="inlineStr">
        <is>
          <t>Tạo sự kiện</t>
        </is>
      </c>
      <c r="D2" s="15" t="inlineStr">
        <is>
          <t>Owner/Admin tạo sự kiện mới đầy đủ thông tin</t>
        </is>
      </c>
      <c r="E2" s="15" t="inlineStr">
        <is>
          <t>Chức năng</t>
        </is>
      </c>
      <c r="F2" s="16" t="inlineStr">
        <is>
          <t>Cao</t>
        </is>
      </c>
      <c r="G2" s="17" t="inlineStr">
        <is>
          <t>Đã hoàn thiện</t>
        </is>
      </c>
      <c r="H2" s="17" t="inlineStr">
        <is>
          <t>Có</t>
        </is>
      </c>
      <c r="I2" s="15" t="inlineStr">
        <is>
          <t>Đăng nhập vai trò Owner/Admin</t>
        </is>
      </c>
      <c r="J2" s="15" t="inlineStr">
        <is>
          <t>1. Vào tab Lịch
2. Bấm 'Tạo sự kiện'
3. Nhập tên, thời gian, múi giờ, liên kết họp trực tuyến
4. Lưu</t>
        </is>
      </c>
      <c r="K2" s="15" t="inlineStr">
        <is>
          <t>-</t>
        </is>
      </c>
      <c r="L2" s="15" t="inlineStr">
        <is>
          <t>Sự kiện được tạo và hiển thị đúng thông tin trên lịch cộng đồng</t>
        </is>
      </c>
      <c r="M2" s="15" t="inlineStr"/>
      <c r="N2" s="18" t="inlineStr">
        <is>
          <t>Chưa test</t>
        </is>
      </c>
      <c r="O2" s="15" t="inlineStr"/>
      <c r="P2" s="15" t="inlineStr"/>
      <c r="Q2" s="18" t="inlineStr">
        <is>
          <t>Chưa test</t>
        </is>
      </c>
      <c r="R2" s="15" t="inlineStr"/>
    </row>
    <row r="3" ht="45" customHeight="1">
      <c r="A3" s="14" t="inlineStr">
        <is>
          <t>TC-EVENT-002</t>
        </is>
      </c>
      <c r="B3" s="15" t="inlineStr">
        <is>
          <t>Lịch &amp; Sự kiện</t>
        </is>
      </c>
      <c r="C3" s="15" t="inlineStr">
        <is>
          <t>Tạo sự kiện</t>
        </is>
      </c>
      <c r="D3" s="15" t="inlineStr">
        <is>
          <t>Giới hạn số lượng người tham dự khi tạo sự kiện</t>
        </is>
      </c>
      <c r="E3" s="15" t="inlineStr">
        <is>
          <t>Chức năng</t>
        </is>
      </c>
      <c r="F3" s="20" t="inlineStr">
        <is>
          <t>Trung bình</t>
        </is>
      </c>
      <c r="G3" s="17" t="inlineStr">
        <is>
          <t>Đã hoàn thiện</t>
        </is>
      </c>
      <c r="H3" s="17" t="inlineStr">
        <is>
          <t>Có</t>
        </is>
      </c>
      <c r="I3" s="15" t="inlineStr">
        <is>
          <t>-</t>
        </is>
      </c>
      <c r="J3" s="15" t="inlineStr">
        <is>
          <t>1. Tạo sự kiện mới
2. Đặt giới hạn số lượng tham dự (VD 50 người)
3. Lưu</t>
        </is>
      </c>
      <c r="K3" s="15" t="inlineStr">
        <is>
          <t>Giới hạn: 50</t>
        </is>
      </c>
      <c r="L3" s="15" t="inlineStr">
        <is>
          <t>Khi đủ 50 người đăng ký, hệ thống không cho đăng ký thêm (hiển thị 'Đã đầy'/danh sách chờ)</t>
        </is>
      </c>
      <c r="M3" s="15" t="inlineStr"/>
      <c r="N3" s="18" t="inlineStr">
        <is>
          <t>Chưa test</t>
        </is>
      </c>
      <c r="O3" s="15" t="inlineStr"/>
      <c r="P3" s="15" t="inlineStr"/>
      <c r="Q3" s="18" t="inlineStr">
        <is>
          <t>Chưa test</t>
        </is>
      </c>
      <c r="R3" s="15" t="inlineStr"/>
    </row>
    <row r="4" ht="30" customHeight="1">
      <c r="A4" s="14" t="inlineStr">
        <is>
          <t>TC-EVENT-003</t>
        </is>
      </c>
      <c r="B4" s="15" t="inlineStr">
        <is>
          <t>Lịch &amp; Sự kiện</t>
        </is>
      </c>
      <c r="C4" s="15" t="inlineStr">
        <is>
          <t>RSVP</t>
        </is>
      </c>
      <c r="D4" s="15" t="inlineStr">
        <is>
          <t>Đăng ký tham dự sự kiện</t>
        </is>
      </c>
      <c r="E4" s="15" t="inlineStr">
        <is>
          <t>Chức năng</t>
        </is>
      </c>
      <c r="F4" s="16" t="inlineStr">
        <is>
          <t>Cao</t>
        </is>
      </c>
      <c r="G4" s="17" t="inlineStr">
        <is>
          <t>Đã hoàn thiện</t>
        </is>
      </c>
      <c r="H4" s="17" t="inlineStr">
        <is>
          <t>Có</t>
        </is>
      </c>
      <c r="I4" s="15" t="inlineStr">
        <is>
          <t>Có sự kiện sắp diễn ra, đã đăng nhập</t>
        </is>
      </c>
      <c r="J4" s="15" t="inlineStr">
        <is>
          <t>1. Mở trang sự kiện
2. Bấm 'Đăng ký tham dự'</t>
        </is>
      </c>
      <c r="K4" s="15" t="inlineStr">
        <is>
          <t>-</t>
        </is>
      </c>
      <c r="L4" s="15" t="inlineStr">
        <is>
          <t>Trạng thái tham dự được ghi nhận, số lượng đăng ký cập nhật đúng</t>
        </is>
      </c>
      <c r="M4" s="15" t="inlineStr"/>
      <c r="N4" s="18" t="inlineStr">
        <is>
          <t>Chưa test</t>
        </is>
      </c>
      <c r="O4" s="15" t="inlineStr"/>
      <c r="P4" s="15" t="inlineStr"/>
      <c r="Q4" s="18" t="inlineStr">
        <is>
          <t>Chưa test</t>
        </is>
      </c>
      <c r="R4" s="15" t="inlineStr"/>
    </row>
    <row r="5" ht="30" customHeight="1">
      <c r="A5" s="14" t="inlineStr">
        <is>
          <t>TC-EVENT-004</t>
        </is>
      </c>
      <c r="B5" s="15" t="inlineStr">
        <is>
          <t>Lịch &amp; Sự kiện</t>
        </is>
      </c>
      <c r="C5" s="15" t="inlineStr">
        <is>
          <t>RSVP</t>
        </is>
      </c>
      <c r="D5" s="15" t="inlineStr">
        <is>
          <t>Hủy đăng ký tham dự sự kiện</t>
        </is>
      </c>
      <c r="E5" s="15" t="inlineStr">
        <is>
          <t>Chức năng</t>
        </is>
      </c>
      <c r="F5" s="20" t="inlineStr">
        <is>
          <t>Trung bình</t>
        </is>
      </c>
      <c r="G5" s="17" t="inlineStr">
        <is>
          <t>Đã hoàn thiện</t>
        </is>
      </c>
      <c r="H5" s="17" t="inlineStr">
        <is>
          <t>Có</t>
        </is>
      </c>
      <c r="I5" s="15" t="inlineStr">
        <is>
          <t>Đã đăng ký tham dự 1 sự kiện</t>
        </is>
      </c>
      <c r="J5" s="15" t="inlineStr">
        <is>
          <t>1. Mở trang sự kiện đã đăng ký
2. Bấm 'Hủy tham dự'</t>
        </is>
      </c>
      <c r="K5" s="15" t="inlineStr">
        <is>
          <t>-</t>
        </is>
      </c>
      <c r="L5" s="15" t="inlineStr">
        <is>
          <t>Trạng thái tham dự bị gỡ, chỗ trống được giải phóng nếu sự kiện có giới hạn số lượng</t>
        </is>
      </c>
      <c r="M5" s="15" t="inlineStr"/>
      <c r="N5" s="18" t="inlineStr">
        <is>
          <t>Chưa test</t>
        </is>
      </c>
      <c r="O5" s="15" t="inlineStr"/>
      <c r="P5" s="15" t="inlineStr"/>
      <c r="Q5" s="18" t="inlineStr">
        <is>
          <t>Chưa test</t>
        </is>
      </c>
      <c r="R5" s="15" t="inlineStr"/>
    </row>
    <row r="6" ht="30" customHeight="1">
      <c r="A6" s="14" t="inlineStr">
        <is>
          <t>TC-EVENT-005</t>
        </is>
      </c>
      <c r="B6" s="15" t="inlineStr">
        <is>
          <t>Lịch &amp; Sự kiện</t>
        </is>
      </c>
      <c r="C6" s="15" t="inlineStr">
        <is>
          <t>Đồng bộ lịch</t>
        </is>
      </c>
      <c r="D6" s="15" t="inlineStr">
        <is>
          <t>Thêm sự kiện vào Google Calendar</t>
        </is>
      </c>
      <c r="E6" s="15" t="inlineStr">
        <is>
          <t>Tích hợp</t>
        </is>
      </c>
      <c r="F6" s="17" t="inlineStr">
        <is>
          <t>Thấp</t>
        </is>
      </c>
      <c r="G6" s="20" t="inlineStr">
        <is>
          <t>Kế hoạch</t>
        </is>
      </c>
      <c r="H6" s="16" t="inlineStr">
        <is>
          <t>Không</t>
        </is>
      </c>
      <c r="I6" s="15" t="inlineStr">
        <is>
          <t>Đã đăng ký tham dự sự kiện</t>
        </is>
      </c>
      <c r="J6" s="15" t="inlineStr">
        <is>
          <t>1. Mở trang sự kiện
2. Bấm 'Thêm vào Google Calendar'</t>
        </is>
      </c>
      <c r="K6" s="15" t="inlineStr">
        <is>
          <t>-</t>
        </is>
      </c>
      <c r="L6" s="15" t="inlineStr">
        <is>
          <t>Mở đúng luồng thêm sự kiện vào Google Calendar với đầy đủ thông tin thời gian/liên kết</t>
        </is>
      </c>
      <c r="M6" s="15" t="inlineStr"/>
      <c r="N6" s="18" t="inlineStr">
        <is>
          <t>Chưa test</t>
        </is>
      </c>
      <c r="O6" s="15" t="inlineStr"/>
      <c r="P6" s="15" t="inlineStr"/>
      <c r="Q6" s="18" t="inlineStr">
        <is>
          <t>Chưa test</t>
        </is>
      </c>
      <c r="R6" s="15" t="inlineStr"/>
    </row>
    <row r="7" ht="30" customHeight="1">
      <c r="A7" s="14" t="inlineStr">
        <is>
          <t>TC-EVENT-006</t>
        </is>
      </c>
      <c r="B7" s="15" t="inlineStr">
        <is>
          <t>Lịch &amp; Sự kiện</t>
        </is>
      </c>
      <c r="C7" s="15" t="inlineStr">
        <is>
          <t>Đồng bộ lịch</t>
        </is>
      </c>
      <c r="D7" s="15" t="inlineStr">
        <is>
          <t>Xuất file .ics của sự kiện</t>
        </is>
      </c>
      <c r="E7" s="15" t="inlineStr">
        <is>
          <t>Tích hợp</t>
        </is>
      </c>
      <c r="F7" s="17" t="inlineStr">
        <is>
          <t>Thấp</t>
        </is>
      </c>
      <c r="G7" s="17" t="inlineStr">
        <is>
          <t>Đã hoàn thiện</t>
        </is>
      </c>
      <c r="H7" s="16" t="inlineStr">
        <is>
          <t>Không</t>
        </is>
      </c>
      <c r="I7" s="15" t="inlineStr">
        <is>
          <t>Đã đăng ký tham dự sự kiện</t>
        </is>
      </c>
      <c r="J7" s="15" t="inlineStr">
        <is>
          <t>1. Mở trang sự kiện
2. Bấm 'Tải file .ics'</t>
        </is>
      </c>
      <c r="K7" s="15" t="inlineStr">
        <is>
          <t>-</t>
        </is>
      </c>
      <c r="L7" s="15" t="inlineStr">
        <is>
          <t>File .ics tải về hợp lệ, import được vào các ứng dụng lịch khác</t>
        </is>
      </c>
      <c r="M7" s="15" t="inlineStr"/>
      <c r="N7" s="18" t="inlineStr">
        <is>
          <t>Chưa test</t>
        </is>
      </c>
      <c r="O7" s="15" t="inlineStr"/>
      <c r="P7" s="15" t="inlineStr"/>
      <c r="Q7" s="18" t="inlineStr">
        <is>
          <t>Chưa test</t>
        </is>
      </c>
      <c r="R7" s="15" t="inlineStr"/>
    </row>
    <row r="8" ht="30" customHeight="1">
      <c r="A8" s="14" t="inlineStr">
        <is>
          <t>TC-EVENT-007</t>
        </is>
      </c>
      <c r="B8" s="15" t="inlineStr">
        <is>
          <t>Lịch &amp; Sự kiện</t>
        </is>
      </c>
      <c r="C8" s="15" t="inlineStr">
        <is>
          <t>Nhắc lịch</t>
        </is>
      </c>
      <c r="D8" s="15" t="inlineStr">
        <is>
          <t>Nhận thông báo/email nhắc trước giờ sự kiện diễn ra</t>
        </is>
      </c>
      <c r="E8" s="15" t="inlineStr">
        <is>
          <t>Tích hợp</t>
        </is>
      </c>
      <c r="F8" s="20" t="inlineStr">
        <is>
          <t>Trung bình</t>
        </is>
      </c>
      <c r="G8" s="17" t="inlineStr">
        <is>
          <t>Đã hoàn thiện</t>
        </is>
      </c>
      <c r="H8" s="16" t="inlineStr">
        <is>
          <t>Không</t>
        </is>
      </c>
      <c r="I8" s="15" t="inlineStr">
        <is>
          <t>Đã đăng ký tham dự, sự kiện sắp diễn ra</t>
        </is>
      </c>
      <c r="J8" s="15" t="inlineStr">
        <is>
          <t>1. Chờ tới thời điểm nhắc trước sự kiện theo cấu hình (VD 30 phút/1 ngày trước)</t>
        </is>
      </c>
      <c r="K8" s="15" t="inlineStr">
        <is>
          <t>-</t>
        </is>
      </c>
      <c r="L8" s="15" t="inlineStr">
        <is>
          <t>Nhận được thông báo trong hệ thống và/hoặc email nhắc đúng thời điểm cấu hình</t>
        </is>
      </c>
      <c r="M8" s="15" t="inlineStr"/>
      <c r="N8" s="18" t="inlineStr">
        <is>
          <t>Chưa test</t>
        </is>
      </c>
      <c r="O8" s="15" t="inlineStr"/>
      <c r="P8" s="15" t="inlineStr"/>
      <c r="Q8" s="18" t="inlineStr">
        <is>
          <t>Chưa test</t>
        </is>
      </c>
      <c r="R8" s="15" t="inlineStr"/>
    </row>
    <row r="9" ht="45" customHeight="1">
      <c r="A9" s="14" t="inlineStr">
        <is>
          <t>TC-EVENT-008</t>
        </is>
      </c>
      <c r="B9" s="15" t="inlineStr">
        <is>
          <t>Lịch &amp; Sự kiện</t>
        </is>
      </c>
      <c r="C9" s="15" t="inlineStr">
        <is>
          <t>Tạo sự kiện</t>
        </is>
      </c>
      <c r="D9" s="15" t="inlineStr">
        <is>
          <t>Owner chỉnh sửa thông tin sự kiện đã tạo</t>
        </is>
      </c>
      <c r="E9" s="15" t="inlineStr">
        <is>
          <t>Chức năng</t>
        </is>
      </c>
      <c r="F9" s="20" t="inlineStr">
        <is>
          <t>Trung bình</t>
        </is>
      </c>
      <c r="G9" s="17" t="inlineStr">
        <is>
          <t>Đã hoàn thiện</t>
        </is>
      </c>
      <c r="H9" s="17" t="inlineStr">
        <is>
          <t>Có</t>
        </is>
      </c>
      <c r="I9" s="15" t="inlineStr">
        <is>
          <t>Đã tạo 1 sự kiện sắp diễn ra</t>
        </is>
      </c>
      <c r="J9" s="15" t="inlineStr">
        <is>
          <t>1. Owner mở sự kiện đã tạo
2. Sửa thời gian/thông tin
3. Lưu</t>
        </is>
      </c>
      <c r="K9" s="15" t="inlineStr">
        <is>
          <t>-</t>
        </is>
      </c>
      <c r="L9" s="15" t="inlineStr">
        <is>
          <t>Thông tin cập nhật đúng, người đã đăng ký tham dự được thông báo về thay đổi</t>
        </is>
      </c>
      <c r="M9" s="15" t="inlineStr"/>
      <c r="N9" s="18" t="inlineStr">
        <is>
          <t>Chưa test</t>
        </is>
      </c>
      <c r="O9" s="15" t="inlineStr"/>
      <c r="P9" s="15" t="inlineStr"/>
      <c r="Q9" s="18" t="inlineStr">
        <is>
          <t>Chưa test</t>
        </is>
      </c>
      <c r="R9" s="15" t="inlineStr"/>
    </row>
    <row r="10" ht="30" customHeight="1">
      <c r="A10" s="14" t="inlineStr">
        <is>
          <t>TC-EVENT-009</t>
        </is>
      </c>
      <c r="B10" s="15" t="inlineStr">
        <is>
          <t>Lịch &amp; Sự kiện</t>
        </is>
      </c>
      <c r="C10" s="15" t="inlineStr">
        <is>
          <t>Tạo sự kiện</t>
        </is>
      </c>
      <c r="D10" s="15" t="inlineStr">
        <is>
          <t>Owner hủy sự kiện, thông báo tới người đã đăng ký</t>
        </is>
      </c>
      <c r="E10" s="15" t="inlineStr">
        <is>
          <t>Chức năng</t>
        </is>
      </c>
      <c r="F10" s="16" t="inlineStr">
        <is>
          <t>Cao</t>
        </is>
      </c>
      <c r="G10" s="17" t="inlineStr">
        <is>
          <t>Đã hoàn thiện</t>
        </is>
      </c>
      <c r="H10" s="17" t="inlineStr">
        <is>
          <t>Có</t>
        </is>
      </c>
      <c r="I10" s="15" t="inlineStr">
        <is>
          <t>Sự kiện có người đã đăng ký tham dự</t>
        </is>
      </c>
      <c r="J10" s="15" t="inlineStr">
        <is>
          <t>1. Owner bấm 'Hủy sự kiện'
2. Xác nhận</t>
        </is>
      </c>
      <c r="K10" s="15" t="inlineStr">
        <is>
          <t>-</t>
        </is>
      </c>
      <c r="L10" s="15" t="inlineStr">
        <is>
          <t>Sự kiện chuyển trạng thái Đã hủy, toàn bộ người đã đăng ký nhận được thông báo/email hủy</t>
        </is>
      </c>
      <c r="M10" s="15" t="inlineStr"/>
      <c r="N10" s="18" t="inlineStr">
        <is>
          <t>Chưa test</t>
        </is>
      </c>
      <c r="O10" s="15" t="inlineStr"/>
      <c r="P10" s="15" t="inlineStr"/>
      <c r="Q10" s="18" t="inlineStr">
        <is>
          <t>Chưa test</t>
        </is>
      </c>
      <c r="R10" s="15" t="inlineStr"/>
    </row>
    <row r="11" ht="30" customHeight="1">
      <c r="A11" s="14" t="inlineStr">
        <is>
          <t>TC-EVENT-010</t>
        </is>
      </c>
      <c r="B11" s="15" t="inlineStr">
        <is>
          <t>Lịch &amp; Sự kiện</t>
        </is>
      </c>
      <c r="C11" s="15" t="inlineStr">
        <is>
          <t>RSVP</t>
        </is>
      </c>
      <c r="D11" s="15" t="inlineStr">
        <is>
          <t>Không thể đăng ký tham dự sự kiện đã diễn ra trong quá khứ</t>
        </is>
      </c>
      <c r="E11" s="15" t="inlineStr">
        <is>
          <t>Chức năng</t>
        </is>
      </c>
      <c r="F11" s="20" t="inlineStr">
        <is>
          <t>Trung bình</t>
        </is>
      </c>
      <c r="G11" s="17" t="inlineStr">
        <is>
          <t>Đã hoàn thiện</t>
        </is>
      </c>
      <c r="H11" s="17" t="inlineStr">
        <is>
          <t>Có</t>
        </is>
      </c>
      <c r="I11" s="15" t="inlineStr">
        <is>
          <t>Có sự kiện đã qua thời gian diễn ra</t>
        </is>
      </c>
      <c r="J11" s="15" t="inlineStr">
        <is>
          <t>1. Mở trang 1 sự kiện đã diễn ra trong quá khứ
2. Thử bấm 'Đăng ký tham dự'</t>
        </is>
      </c>
      <c r="K11" s="15" t="inlineStr">
        <is>
          <t>-</t>
        </is>
      </c>
      <c r="L11" s="15" t="inlineStr">
        <is>
          <t>Nút đăng ký bị ẩn/vô hiệu hóa, không cho đăng ký sự kiện đã qua</t>
        </is>
      </c>
      <c r="M11" s="15" t="inlineStr"/>
      <c r="N11" s="18" t="inlineStr">
        <is>
          <t>Chưa test</t>
        </is>
      </c>
      <c r="O11" s="15" t="inlineStr"/>
      <c r="P11" s="15" t="inlineStr"/>
      <c r="Q11" s="18" t="inlineStr">
        <is>
          <t>Chưa test</t>
        </is>
      </c>
      <c r="R11" s="15" t="inlineStr"/>
    </row>
    <row r="12" ht="30" customHeight="1">
      <c r="A12" s="14" t="inlineStr">
        <is>
          <t>TC-EVENT-011</t>
        </is>
      </c>
      <c r="B12" s="15" t="inlineStr">
        <is>
          <t>Lịch &amp; Sự kiện</t>
        </is>
      </c>
      <c r="C12" s="15" t="inlineStr">
        <is>
          <t>Múi giờ</t>
        </is>
      </c>
      <c r="D12" s="15" t="inlineStr">
        <is>
          <t>Hiển thị đúng giờ sự kiện theo múi giờ của từng người xem khác nhau</t>
        </is>
      </c>
      <c r="E12" s="15" t="inlineStr">
        <is>
          <t>Chức năng</t>
        </is>
      </c>
      <c r="F12" s="20" t="inlineStr">
        <is>
          <t>Trung bình</t>
        </is>
      </c>
      <c r="G12" s="17" t="inlineStr">
        <is>
          <t>Đã hoàn thiện</t>
        </is>
      </c>
      <c r="H12" s="20" t="inlineStr">
        <is>
          <t>Một phần</t>
        </is>
      </c>
      <c r="I12" s="15" t="inlineStr">
        <is>
          <t>Sự kiện được tạo với múi giờ cụ thể (VD GMT+7)</t>
        </is>
      </c>
      <c r="J12" s="15" t="inlineStr">
        <is>
          <t>1. Tạo sự kiện với múi giờ GMT+7, giờ cụ thể
2. Xem trang sự kiện từ tài khoản đặt múi giờ khác (VD GMT+0)</t>
        </is>
      </c>
      <c r="K12" s="15" t="inlineStr">
        <is>
          <t>Múi giờ tạo: GMT+7</t>
        </is>
      </c>
      <c r="L12" s="15" t="inlineStr">
        <is>
          <t>Giờ hiển thị được quy đổi đúng theo múi giờ người xem (hoặc hiển thị rõ múi giờ gốc nếu không tự quy đổi)</t>
        </is>
      </c>
      <c r="M12" s="15" t="inlineStr"/>
      <c r="N12" s="18" t="inlineStr">
        <is>
          <t>Chưa test</t>
        </is>
      </c>
      <c r="O12" s="15" t="inlineStr"/>
      <c r="P12" s="15" t="inlineStr"/>
      <c r="Q12" s="18" t="inlineStr">
        <is>
          <t>Chưa test</t>
        </is>
      </c>
      <c r="R12" s="15" t="inlineStr"/>
    </row>
    <row r="13" ht="30" customHeight="1">
      <c r="A13" s="14" t="inlineStr">
        <is>
          <t>TC-EVENT-012</t>
        </is>
      </c>
      <c r="B13" s="15" t="inlineStr">
        <is>
          <t>Lịch &amp; Sự kiện</t>
        </is>
      </c>
      <c r="C13" s="15" t="inlineStr">
        <is>
          <t>Giới hạn số lượng tham dự</t>
        </is>
      </c>
      <c r="D13" s="15" t="inlineStr">
        <is>
          <t>Đăng ký tham dự khi sự kiện đã đủ số lượng tối đa</t>
        </is>
      </c>
      <c r="E13" s="15" t="inlineStr">
        <is>
          <t>Chức năng</t>
        </is>
      </c>
      <c r="F13" s="16" t="inlineStr">
        <is>
          <t>Cao</t>
        </is>
      </c>
      <c r="G13" s="17" t="inlineStr">
        <is>
          <t>Đã hoàn thiện</t>
        </is>
      </c>
      <c r="H13" s="17" t="inlineStr">
        <is>
          <t>Có</t>
        </is>
      </c>
      <c r="I13" s="15" t="inlineStr">
        <is>
          <t>Sự kiện đã đạt giới hạn số lượng tham dự tối đa</t>
        </is>
      </c>
      <c r="J13" s="15" t="inlineStr">
        <is>
          <t>1. Sự kiện đã đủ số lượng đăng ký tối đa
2. Người dùng mới thử bấm 'Đăng ký tham dự'</t>
        </is>
      </c>
      <c r="K13" s="15" t="inlineStr">
        <is>
          <t>Đã đủ giới hạn (VD 50/50)</t>
        </is>
      </c>
      <c r="L13" s="15" t="inlineStr">
        <is>
          <t>Hiển thị 'Đã đầy'/cho vào danh sách chờ theo đúng thiết kế, không cho vượt giới hạn</t>
        </is>
      </c>
      <c r="M13" s="15" t="inlineStr"/>
      <c r="N13" s="18" t="inlineStr">
        <is>
          <t>Chưa test</t>
        </is>
      </c>
      <c r="O13" s="15" t="inlineStr"/>
      <c r="P13" s="15" t="inlineStr"/>
      <c r="Q13" s="18" t="inlineStr">
        <is>
          <t>Chưa test</t>
        </is>
      </c>
      <c r="R13" s="15" t="inlineStr"/>
    </row>
    <row r="14" ht="60" customHeight="1">
      <c r="A14" s="14" t="inlineStr">
        <is>
          <t>TC-EVENT-013</t>
        </is>
      </c>
      <c r="B14" s="15" t="inlineStr">
        <is>
          <t>Lịch &amp; Sự kiện</t>
        </is>
      </c>
      <c r="C14" s="15" t="inlineStr">
        <is>
          <t>Tạo sự kiện</t>
        </is>
      </c>
      <c r="D14" s="15" t="inlineStr">
        <is>
          <t>Mod tạo sự kiện đầy đủ: 201, thông báo event_created cho thành viên trừ người tạo</t>
        </is>
      </c>
      <c r="E14" s="15" t="inlineStr">
        <is>
          <t>Chức năng</t>
        </is>
      </c>
      <c r="F14" s="16" t="inlineStr">
        <is>
          <t>Cao</t>
        </is>
      </c>
      <c r="G14" s="17" t="inlineStr">
        <is>
          <t>Đã hoàn thiện</t>
        </is>
      </c>
      <c r="H14" s="17" t="inlineStr">
        <is>
          <t>Có</t>
        </is>
      </c>
      <c r="I1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14" s="15" t="inlineStr">
        <is>
          <t>Body: {"title":"Photo meetup tháng 10","description":"Gặp mặt offline","startAt":"&lt;now+10 ngày ISO&gt;","timezone":"Asia/Ho_Chi_Minh","meetingLink":"https://meet.example.com/meetup","capacity":20}</t>
        </is>
      </c>
      <c r="L14"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14" s="15" t="inlineStr"/>
      <c r="N14" s="18" t="inlineStr">
        <is>
          <t>Chưa test</t>
        </is>
      </c>
      <c r="O14" s="15" t="inlineStr"/>
      <c r="P14" s="15" t="inlineStr"/>
      <c r="Q14" s="18" t="inlineStr">
        <is>
          <t>Chưa test</t>
        </is>
      </c>
      <c r="R14" s="15" t="inlineStr"/>
    </row>
    <row r="15" ht="45" customHeight="1">
      <c r="A15" s="14" t="inlineStr">
        <is>
          <t>TC-EVENT-014</t>
        </is>
      </c>
      <c r="B15" s="15" t="inlineStr">
        <is>
          <t>Lịch &amp; Sự kiện</t>
        </is>
      </c>
      <c r="C15" s="15" t="inlineStr">
        <is>
          <t>Tạo sự kiện</t>
        </is>
      </c>
      <c r="D15" s="15" t="inlineStr">
        <is>
          <t>Tạo sự kiện chỉ với trường bắt buộc: giá trị mặc định</t>
        </is>
      </c>
      <c r="E15" s="15" t="inlineStr">
        <is>
          <t>Chức năng</t>
        </is>
      </c>
      <c r="F15" s="16" t="inlineStr">
        <is>
          <t>Cao</t>
        </is>
      </c>
      <c r="G15" s="17" t="inlineStr">
        <is>
          <t>Đã hoàn thiện</t>
        </is>
      </c>
      <c r="H15" s="17" t="inlineStr">
        <is>
          <t>Có</t>
        </is>
      </c>
      <c r="I1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5" s="15" t="inlineStr">
        <is>
          <t>1. Đăng nhập owner@sofinhub.test (POST /api/auth/login, lấy accessToken, gắn header Authorization: Bearer).
2. POST chỉ {title, startAt}
3. GET /api/events/&lt;id&gt;</t>
        </is>
      </c>
      <c r="K15" s="15" t="inlineStr">
        <is>
          <t>Body: {"title":"Chỉ có tên","startAt":"&lt;now+2 ngày ISO&gt;"}</t>
        </is>
      </c>
      <c r="L15" s="15" t="inlineStr">
        <is>
          <t>201; description="", timezone="Asia/Ho_Chi_Minh", không có meetingLink/capacity (không giới hạn); rsvpCount=0, viewerRsvped=false, isPast=false.</t>
        </is>
      </c>
      <c r="M15" s="15" t="inlineStr"/>
      <c r="N15" s="18" t="inlineStr">
        <is>
          <t>Chưa test</t>
        </is>
      </c>
      <c r="O15" s="15" t="inlineStr"/>
      <c r="P15" s="15" t="inlineStr"/>
      <c r="Q15" s="18" t="inlineStr">
        <is>
          <t>Chưa test</t>
        </is>
      </c>
      <c r="R15" s="15" t="inlineStr"/>
    </row>
    <row r="16" ht="45" customHeight="1">
      <c r="A16" s="14" t="inlineStr">
        <is>
          <t>TC-EVENT-015</t>
        </is>
      </c>
      <c r="B16" s="15" t="inlineStr">
        <is>
          <t>Lịch &amp; Sự kiện</t>
        </is>
      </c>
      <c r="C16" s="15" t="inlineStr">
        <is>
          <t>Tạo sự kiện</t>
        </is>
      </c>
      <c r="D16" s="15" t="inlineStr">
        <is>
          <t>Sửa lỗi phân quyền: member thường tạo sự kiện phải nhận 403</t>
        </is>
      </c>
      <c r="E16" s="15" t="inlineStr">
        <is>
          <t>Bảo mật</t>
        </is>
      </c>
      <c r="F16" s="16" t="inlineStr">
        <is>
          <t>Cao</t>
        </is>
      </c>
      <c r="G16" s="17" t="inlineStr">
        <is>
          <t>Đã hoàn thiện</t>
        </is>
      </c>
      <c r="H16" s="17" t="inlineStr">
        <is>
          <t>Có</t>
        </is>
      </c>
      <c r="I1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6" s="15" t="inlineStr">
        <is>
          <t>1. Đăng nhập member1@sofinhub.test (POST /api/auth/login, lấy accessToken, gắn header Authorization: Bearer).
2. POST /api/courses/photo/events với payload hợp lệ
3. GET /api/courses/photo/events kiểm tra không có sự kiện mới</t>
        </is>
      </c>
      <c r="K16" s="15" t="inlineStr">
        <is>
          <t>Body: {"title":"Member tự tạo","startAt":"&lt;now+2 ngày ISO&gt;"}</t>
        </is>
      </c>
      <c r="L16" s="15" t="inlineStr">
        <is>
          <t>403 FORBIDDEN, message "Bạn không có quyền thực hiện thao tác này trong cộng đồng"; không có sự kiện mới, không ai nhận thông báo event_created. Lặp lại với member2, member3: cùng kết quả.</t>
        </is>
      </c>
      <c r="M16" s="15" t="inlineStr"/>
      <c r="N16" s="18" t="inlineStr">
        <is>
          <t>Chưa test</t>
        </is>
      </c>
      <c r="O16" s="15" t="inlineStr"/>
      <c r="P16" s="15" t="inlineStr"/>
      <c r="Q16" s="18" t="inlineStr">
        <is>
          <t>Chưa test</t>
        </is>
      </c>
      <c r="R16" s="15" t="inlineStr"/>
    </row>
    <row r="17" ht="45" customHeight="1">
      <c r="A17" s="14" t="inlineStr">
        <is>
          <t>TC-EVENT-016</t>
        </is>
      </c>
      <c r="B17" s="15" t="inlineStr">
        <is>
          <t>Lịch &amp; Sự kiện</t>
        </is>
      </c>
      <c r="C17" s="15" t="inlineStr">
        <is>
          <t>Tạo sự kiện</t>
        </is>
      </c>
      <c r="D17" s="15" t="inlineStr">
        <is>
          <t>Ma trận vai trò khi tạo sự kiện: guest, newbie, banned bị chặn; mod/cadmin/owner và Platform Admin (chưa ghi danh) được</t>
        </is>
      </c>
      <c r="E17" s="15" t="inlineStr">
        <is>
          <t>Bảo mật</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Không token POST /api/courses/photo/events
2. newbie, banned POST
3. mod, cadmin, owner, admin (Platform Admin chưa ghi danh) POST</t>
        </is>
      </c>
      <c r="K17" s="15" t="inlineStr">
        <is>
          <t>Body: {"title":"Ma trận","startAt":"&lt;now+3 ngày ISO&gt;"}</t>
        </is>
      </c>
      <c r="L17"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17" s="15" t="inlineStr"/>
      <c r="N17" s="18" t="inlineStr">
        <is>
          <t>Chưa test</t>
        </is>
      </c>
      <c r="O17" s="15" t="inlineStr"/>
      <c r="P17" s="15" t="inlineStr"/>
      <c r="Q17" s="18" t="inlineStr">
        <is>
          <t>Chưa test</t>
        </is>
      </c>
      <c r="R17" s="15" t="inlineStr"/>
    </row>
    <row r="18" ht="75" customHeight="1">
      <c r="A18" s="14" t="inlineStr">
        <is>
          <t>TC-EVENT-017</t>
        </is>
      </c>
      <c r="B18" s="15" t="inlineStr">
        <is>
          <t>Lịch &amp; Sự kiện</t>
        </is>
      </c>
      <c r="C18" s="15" t="inlineStr">
        <is>
          <t>Tạo sự kiện</t>
        </is>
      </c>
      <c r="D18" s="15" t="inlineStr">
        <is>
          <t>Tên sự kiện: trống/khoảng trắng bị 400; 160 ký tự OK; 161 ký tự bị 400</t>
        </is>
      </c>
      <c r="E18" s="15" t="inlineStr">
        <is>
          <t>Chức năng</t>
        </is>
      </c>
      <c r="F18" s="16" t="inlineStr">
        <is>
          <t>Cao</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mod@sofinhub.test (POST /api/auth/login, lấy accessToken, gắn header Authorization: Bearer).
2. POST title=""
3. POST title="   "
4. POST title 160 ký tự
5. POST title 161 ký tự</t>
        </is>
      </c>
      <c r="K18" s="15" t="inlineStr">
        <is>
          <t>title: '' | '   ' | 'a'*160 | 'a'*161</t>
        </is>
      </c>
      <c r="L18"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18" s="15" t="inlineStr"/>
      <c r="N18" s="18" t="inlineStr">
        <is>
          <t>Chưa test</t>
        </is>
      </c>
      <c r="O18" s="15" t="inlineStr"/>
      <c r="P18" s="15" t="inlineStr"/>
      <c r="Q18" s="18" t="inlineStr">
        <is>
          <t>Chưa test</t>
        </is>
      </c>
      <c r="R18" s="15" t="inlineStr"/>
    </row>
    <row r="19" ht="75" customHeight="1">
      <c r="A19" s="14" t="inlineStr">
        <is>
          <t>TC-EVENT-018</t>
        </is>
      </c>
      <c r="B19" s="15" t="inlineStr">
        <is>
          <t>Lịch &amp; Sự kiện</t>
        </is>
      </c>
      <c r="C19" s="15" t="inlineStr">
        <is>
          <t>Tạo sự kiện</t>
        </is>
      </c>
      <c r="D19" s="15" t="inlineStr">
        <is>
          <t>startAt sai định dạng (thiếu, chuỗi tự do, không có timezone) bị 400</t>
        </is>
      </c>
      <c r="E19" s="15" t="inlineStr">
        <is>
          <t>Chức năng</t>
        </is>
      </c>
      <c r="F19" s="16" t="inlineStr">
        <is>
          <t>Cao</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mod@sofinhub.test (POST /api/auth/login, lấy accessToken, gắn header Authorization: Bearer).
2. POST thiếu startAt
3. POST startAt="ngày mai"
4. POST startAt="2030-01-15"
5. POST startAt="2030-01-15T20:00:00" (không Z/offset)</t>
        </is>
      </c>
      <c r="K19" s="15" t="inlineStr">
        <is>
          <t>-</t>
        </is>
      </c>
      <c r="L19"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19" s="15" t="inlineStr"/>
      <c r="N19" s="18" t="inlineStr">
        <is>
          <t>Chưa test</t>
        </is>
      </c>
      <c r="O19" s="15" t="inlineStr"/>
      <c r="P19" s="15" t="inlineStr"/>
      <c r="Q19" s="18" t="inlineStr">
        <is>
          <t>Chưa test</t>
        </is>
      </c>
      <c r="R19" s="15" t="inlineStr"/>
    </row>
    <row r="20" ht="60" customHeight="1">
      <c r="A20" s="14" t="inlineStr">
        <is>
          <t>TC-EVENT-019</t>
        </is>
      </c>
      <c r="B20" s="15" t="inlineStr">
        <is>
          <t>Lịch &amp; Sự kiện</t>
        </is>
      </c>
      <c r="C20" s="15" t="inlineStr">
        <is>
          <t>Tạo sự kiện</t>
        </is>
      </c>
      <c r="D20" s="15" t="inlineStr">
        <is>
          <t>startAt ở quá khứ: API vẫn tạo được (không validate) và sự kiện hiển thị isPast=true</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mod@sofinhub.test (POST /api/auth/login, lấy accessToken, gắn header Authorization: Bearer).
2. POST startAt = 1 giờ trước
3. GET /api/events/&lt;id&gt;
4. member1 POST /api/events/&lt;id&gt;/rsvp</t>
        </is>
      </c>
      <c r="K20" s="15" t="inlineStr">
        <is>
          <t>startAt: "&lt;now-1h&gt;Z"</t>
        </is>
      </c>
      <c r="L20" s="15" t="inlineStr">
        <is>
          <t>201 (BE không chặn ngày quá khứ — khác kỳ vọng nghiệp vụ, ghi nhận/chưa chốt); isPast=true; RSVP trả 400 "Sự kiện đã diễn ra, không thể đăng ký".</t>
        </is>
      </c>
      <c r="M20" s="15" t="inlineStr"/>
      <c r="N20" s="18" t="inlineStr">
        <is>
          <t>Chưa test</t>
        </is>
      </c>
      <c r="O20" s="15" t="inlineStr"/>
      <c r="P20" s="15" t="inlineStr"/>
      <c r="Q20" s="18" t="inlineStr">
        <is>
          <t>Chưa test</t>
        </is>
      </c>
      <c r="R20" s="15" t="inlineStr"/>
    </row>
    <row r="21" ht="105" customHeight="1">
      <c r="A21" s="14" t="inlineStr">
        <is>
          <t>TC-EVENT-020</t>
        </is>
      </c>
      <c r="B21" s="15" t="inlineStr">
        <is>
          <t>Lịch &amp; Sự kiện</t>
        </is>
      </c>
      <c r="C21" s="15" t="inlineStr">
        <is>
          <t>Tạo sự kiện</t>
        </is>
      </c>
      <c r="D21" s="15" t="inlineStr">
        <is>
          <t>Sức chứa: 0, âm, thập phân, chữ bị 400; số chuỗi '10' được ép kiểu thành 10; bỏ trống = không giới hạn</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mod@sofinhub.test (POST /api/auth/login, lấy accessToken, gắn header Authorization: Bearer).
2. POST capacity=0
3. POST capacity=-5
4. POST capacity=2.5
5. POST capacity="abc"
6. POST capacity="10"
7. POST không có capacity</t>
        </is>
      </c>
      <c r="K21" s="15" t="inlineStr">
        <is>
          <t>capacity: 0 | -5 | 2.5 | 'abc' | '10' | (không gửi)</t>
        </is>
      </c>
      <c r="L21" s="15" t="inlineStr">
        <is>
          <t>Bốn lần đầu: 400 VALIDATION_ERROR, message "Tham số không hợp lệ" (chi tiết lỗi từng trường nằm trong error.details). capacity="10": 201 với capacity=10 (z.coerce). Không gửi: 201, capacity không có (không giới hạn).</t>
        </is>
      </c>
      <c r="M21" s="15" t="inlineStr"/>
      <c r="N21" s="18" t="inlineStr">
        <is>
          <t>Chưa test</t>
        </is>
      </c>
      <c r="O21" s="15" t="inlineStr"/>
      <c r="P21" s="15" t="inlineStr"/>
      <c r="Q21" s="18" t="inlineStr">
        <is>
          <t>Chưa test</t>
        </is>
      </c>
      <c r="R21" s="15" t="inlineStr"/>
    </row>
    <row r="22" ht="75" customHeight="1">
      <c r="A22" s="14" t="inlineStr">
        <is>
          <t>TC-EVENT-021</t>
        </is>
      </c>
      <c r="B22" s="15" t="inlineStr">
        <is>
          <t>Lịch &amp; Sự kiện</t>
        </is>
      </c>
      <c r="C22" s="15" t="inlineStr">
        <is>
          <t>Tạo sự kiện</t>
        </is>
      </c>
      <c r="D22" s="15" t="inlineStr">
        <is>
          <t>meetingLink phải là URL hợp lệ; link http/https, javascript: và chuỗi rỗng</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mod@sofinhub.test (POST /api/auth/login, lấy accessToken, gắn header Authorization: Bearer).
2. POST meetingLink="zoom-so-1"
3. POST meetingLink="https://zoom.us/j/123"
4. POST meetingLink=""
5. POST meetingLink="javascript:alert(1)"</t>
        </is>
      </c>
      <c r="K22" s="15" t="inlineStr">
        <is>
          <t>-</t>
        </is>
      </c>
      <c r="L22"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22" s="15" t="inlineStr"/>
      <c r="N22" s="18" t="inlineStr">
        <is>
          <t>Chưa test</t>
        </is>
      </c>
      <c r="O22" s="15" t="inlineStr"/>
      <c r="P22" s="15" t="inlineStr"/>
      <c r="Q22" s="18" t="inlineStr">
        <is>
          <t>Chưa test</t>
        </is>
      </c>
      <c r="R22" s="15" t="inlineStr"/>
    </row>
    <row r="23" ht="75" customHeight="1">
      <c r="A23" s="14" t="inlineStr">
        <is>
          <t>TC-EVENT-022</t>
        </is>
      </c>
      <c r="B23" s="15" t="inlineStr">
        <is>
          <t>Lịch &amp; Sự kiện</t>
        </is>
      </c>
      <c r="C23" s="15" t="inlineStr">
        <is>
          <t>Tạo sự kiện</t>
        </is>
      </c>
      <c r="D23" s="15" t="inlineStr">
        <is>
          <t>Timezone: mặc định, giá trị IANA hợp lệ, và giá trị vô nghĩa (BE không kiểm tra)</t>
        </is>
      </c>
      <c r="E23" s="15" t="inlineStr">
        <is>
          <t>Chức năng</t>
        </is>
      </c>
      <c r="F23" s="20" t="inlineStr">
        <is>
          <t>Trung bình</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mod@sofinhub.test (POST /api/auth/login, lấy accessToken, gắn header Authorization: Bearer).
2. POST không gửi timezone
3. POST timezone="America/New_York"
4. POST timezone="Mars/Olympus"
5. POST timezone="   "</t>
        </is>
      </c>
      <c r="K23" s="15" t="inlineStr">
        <is>
          <t>-</t>
        </is>
      </c>
      <c r="L23"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23" s="15" t="inlineStr"/>
      <c r="N23" s="18" t="inlineStr">
        <is>
          <t>Chưa test</t>
        </is>
      </c>
      <c r="O23" s="15" t="inlineStr"/>
      <c r="P23" s="15" t="inlineStr"/>
      <c r="Q23" s="18" t="inlineStr">
        <is>
          <t>Chưa test</t>
        </is>
      </c>
      <c r="R23" s="15" t="inlineStr"/>
    </row>
    <row r="24" ht="60" customHeight="1">
      <c r="A24" s="14" t="inlineStr">
        <is>
          <t>TC-EVENT-023</t>
        </is>
      </c>
      <c r="B24" s="15" t="inlineStr">
        <is>
          <t>Lịch &amp; Sự kiện</t>
        </is>
      </c>
      <c r="C24" s="15" t="inlineStr">
        <is>
          <t>Tạo sự kiện</t>
        </is>
      </c>
      <c r="D24" s="15" t="inlineStr">
        <is>
          <t>Mô tả: 2000 ký tự OK, 2001 ký tự bị 400, trim khoảng trắng</t>
        </is>
      </c>
      <c r="E24" s="15" t="inlineStr">
        <is>
          <t>Chức năng</t>
        </is>
      </c>
      <c r="F24" s="17" t="inlineStr">
        <is>
          <t>Thấp</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mod@sofinhub.test (POST /api/auth/login, lấy accessToken, gắn header Authorization: Bearer).
2. POST description 2000 ký tự
3. POST description 2001 ký tự
4. POST description "  abc  "</t>
        </is>
      </c>
      <c r="K24" s="15" t="inlineStr">
        <is>
          <t>-</t>
        </is>
      </c>
      <c r="L24" s="15" t="inlineStr">
        <is>
          <t>2000: 201. 2001: 400 VALIDATION_ERROR, message "Tham số không hợp lệ" (chi tiết lỗi từng trường nằm trong error.details). "  abc  ": lưu "abc".</t>
        </is>
      </c>
      <c r="M24" s="15" t="inlineStr"/>
      <c r="N24" s="18" t="inlineStr">
        <is>
          <t>Chưa test</t>
        </is>
      </c>
      <c r="O24" s="15" t="inlineStr"/>
      <c r="P24" s="15" t="inlineStr"/>
      <c r="Q24" s="18" t="inlineStr">
        <is>
          <t>Chưa test</t>
        </is>
      </c>
      <c r="R24" s="15" t="inlineStr"/>
    </row>
    <row r="25" ht="60" customHeight="1">
      <c r="A25" s="14" t="inlineStr">
        <is>
          <t>TC-EVENT-024</t>
        </is>
      </c>
      <c r="B25" s="15" t="inlineStr">
        <is>
          <t>Lịch &amp; Sự kiện</t>
        </is>
      </c>
      <c r="C25" s="15" t="inlineStr">
        <is>
          <t>Tạo sự kiện</t>
        </is>
      </c>
      <c r="D25" s="15" t="inlineStr">
        <is>
          <t>Tiêu đề/mô tả có HTML: lưu như chữ, không thực thi ở lịch và hộp thoại chi tiết</t>
        </is>
      </c>
      <c r="E25" s="15" t="inlineStr">
        <is>
          <t>Bảo mật</t>
        </is>
      </c>
      <c r="F25" s="16" t="inlineStr">
        <is>
          <t>Cao</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25" s="15" t="inlineStr">
        <is>
          <t>-</t>
        </is>
      </c>
      <c r="L25" s="15" t="inlineStr">
        <is>
          <t>201; giao diện hiển thị nguyên chuỗi dạng chữ, không có alert; tên xuất hiện đúng trong chip lịch và trong tiêu đề hộp thoại.</t>
        </is>
      </c>
      <c r="M25" s="15" t="inlineStr"/>
      <c r="N25" s="18" t="inlineStr">
        <is>
          <t>Chưa test</t>
        </is>
      </c>
      <c r="O25" s="15" t="inlineStr"/>
      <c r="P25" s="15" t="inlineStr"/>
      <c r="Q25" s="18" t="inlineStr">
        <is>
          <t>Chưa test</t>
        </is>
      </c>
      <c r="R25" s="15" t="inlineStr"/>
    </row>
    <row r="26" ht="60" customHeight="1">
      <c r="A26" s="14" t="inlineStr">
        <is>
          <t>TC-EVENT-025</t>
        </is>
      </c>
      <c r="B26" s="15" t="inlineStr">
        <is>
          <t>Lịch &amp; Sự kiện</t>
        </is>
      </c>
      <c r="C26" s="15" t="inlineStr">
        <is>
          <t>Tạo sự kiện</t>
        </is>
      </c>
      <c r="D26" s="15" t="inlineStr">
        <is>
          <t>Tạo sự kiện với body không phải JSON hoặc trống trả 400</t>
        </is>
      </c>
      <c r="E26" s="15" t="inlineStr">
        <is>
          <t>Chức năng</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mod@sofinhub.test (POST /api/auth/login, lấy accessToken, gắn header Authorization: Bearer).
2. POST /api/courses/photo/events với body rỗng
3. POST với Content-Type text/plain
4. POST với body JSON cụt `{"title": `</t>
        </is>
      </c>
      <c r="K26" s="15" t="inlineStr">
        <is>
          <t>-</t>
        </is>
      </c>
      <c r="L26"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26" s="15" t="inlineStr"/>
      <c r="N26" s="18" t="inlineStr">
        <is>
          <t>Chưa test</t>
        </is>
      </c>
      <c r="O26" s="15" t="inlineStr"/>
      <c r="P26" s="15" t="inlineStr"/>
      <c r="Q26" s="18" t="inlineStr">
        <is>
          <t>Chưa test</t>
        </is>
      </c>
      <c r="R26" s="15" t="inlineStr"/>
    </row>
    <row r="27" ht="30" customHeight="1">
      <c r="A27" s="14" t="inlineStr">
        <is>
          <t>TC-EVENT-026</t>
        </is>
      </c>
      <c r="B27" s="15" t="inlineStr">
        <is>
          <t>Lịch &amp; Sự kiện</t>
        </is>
      </c>
      <c r="C27" s="15" t="inlineStr">
        <is>
          <t>Tạo sự kiện</t>
        </is>
      </c>
      <c r="D27" s="15" t="inlineStr">
        <is>
          <t>Cộng đồng không tồn tại 404</t>
        </is>
      </c>
      <c r="E27" s="15" t="inlineStr">
        <is>
          <t>Chức năng</t>
        </is>
      </c>
      <c r="F27" s="17" t="inlineStr">
        <is>
          <t>Thấp</t>
        </is>
      </c>
      <c r="G27" s="17" t="inlineStr">
        <is>
          <t>Đã hoàn thiện</t>
        </is>
      </c>
      <c r="H27" s="17" t="inlineStr">
        <is>
          <t>Có</t>
        </is>
      </c>
      <c r="I27" s="15" t="inlineStr">
        <is>
          <t>Tài khoản seed @sofinhub.test / Passw0rd!x: owner, cadmin (admin photo), mod, member1, member2, member3 (member photo), newbie (chưa ở cộng đồng nào), banned (bị cấm khỏi photo), admin (Platform Admin, KHÔNG ghi danh photo).</t>
        </is>
      </c>
      <c r="J27" s="15" t="inlineStr">
        <is>
          <t>1. Đăng nhập owner@sofinhub.test (POST /api/auth/login, lấy accessToken, gắn header Authorization: Bearer).
2. POST /api/courses/khong-co/events hợp lệ</t>
        </is>
      </c>
      <c r="K27" s="15" t="inlineStr">
        <is>
          <t>-</t>
        </is>
      </c>
      <c r="L27" s="15" t="inlineStr">
        <is>
          <t>404 NOT_FOUND; không tạo sự kiện.</t>
        </is>
      </c>
      <c r="M27" s="15" t="inlineStr"/>
      <c r="N27" s="18" t="inlineStr">
        <is>
          <t>Chưa test</t>
        </is>
      </c>
      <c r="O27" s="15" t="inlineStr"/>
      <c r="P27" s="15" t="inlineStr"/>
      <c r="Q27" s="18" t="inlineStr">
        <is>
          <t>Chưa test</t>
        </is>
      </c>
      <c r="R27" s="15" t="inlineStr"/>
    </row>
    <row r="28" ht="45" customHeight="1">
      <c r="A28" s="14" t="inlineStr">
        <is>
          <t>TC-EVENT-027</t>
        </is>
      </c>
      <c r="B28" s="15" t="inlineStr">
        <is>
          <t>Lịch &amp; Sự kiện</t>
        </is>
      </c>
      <c r="C28" s="15" t="inlineStr">
        <is>
          <t>Tạo sự kiện</t>
        </is>
      </c>
      <c r="D28" s="15" t="inlineStr">
        <is>
          <t>UI: nút "Tạo sự kiện" chỉ hiện với mod+; form tạo thành công</t>
        </is>
      </c>
      <c r="E28" s="15" t="inlineStr">
        <is>
          <t>Giao diện</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member1, mở /courses/photo/community/lich, quan sát thanh công cụ
2. Đăng nhập mod, mở cùng trang
3. Bấm "Tạo sự kiện", điền tên, thời gian, link họp, sức chứa, mô tả, bấm "Tạo sự kiện"</t>
        </is>
      </c>
      <c r="K28" s="15" t="inlineStr">
        <is>
          <t>Tên: Photo meetup tháng 10; Sức chứa: 20</t>
        </is>
      </c>
      <c r="L28" s="15" t="inlineStr">
        <is>
          <t>member1: không có nút "Tạo sự kiện". mod: form hiện, sau khi tạo toast "Đã tạo sự kiện", form đóng, sự kiện xuất hiện trên lịch đúng ngày.</t>
        </is>
      </c>
      <c r="M28" s="15" t="inlineStr"/>
      <c r="N28" s="18" t="inlineStr">
        <is>
          <t>Chưa test</t>
        </is>
      </c>
      <c r="O28" s="15" t="inlineStr"/>
      <c r="P28" s="15" t="inlineStr"/>
      <c r="Q28" s="18" t="inlineStr">
        <is>
          <t>Chưa test</t>
        </is>
      </c>
      <c r="R28" s="15" t="inlineStr"/>
    </row>
    <row r="29" ht="60" customHeight="1">
      <c r="A29" s="14" t="inlineStr">
        <is>
          <t>TC-EVENT-028</t>
        </is>
      </c>
      <c r="B29" s="15" t="inlineStr">
        <is>
          <t>Lịch &amp; Sự kiện</t>
        </is>
      </c>
      <c r="C29" s="15" t="inlineStr">
        <is>
          <t>Tạo sự kiện</t>
        </is>
      </c>
      <c r="D29" s="15" t="inlineStr">
        <is>
          <t>UI: form tạo sự kiện - trường bắt buộc và lỗi từ API hiển thị dạng chữ đỏ</t>
        </is>
      </c>
      <c r="E29" s="15" t="inlineStr">
        <is>
          <t>Giao diện</t>
        </is>
      </c>
      <c r="F29" s="20" t="inlineStr">
        <is>
          <t>Trung bình</t>
        </is>
      </c>
      <c r="G29" s="17" t="inlineStr">
        <is>
          <t>Đã hoàn thiện</t>
        </is>
      </c>
      <c r="H29" s="17" t="inlineStr">
        <is>
          <t>Có</t>
        </is>
      </c>
      <c r="I29" s="15" t="inlineStr">
        <is>
          <t>Tài khoản seed @sofinhub.test / Passw0rd!x: owner, cadmin (admin photo), mod, member1, member2, member3 (member photo), newbie (chưa ở cộng đồng nào), banned (bị cấm khỏi photo), admin (Platform Admin, KHÔNG ghi danh photo).</t>
        </is>
      </c>
      <c r="J29" s="15" t="inlineStr">
        <is>
          <t>1. Đăng nhập mod, mở form tạo
2. Để trống tên rồi bấm tạo
3. Nhập Link họp "khong-phai-url" và bấm tạo
4. Nhập Sức chứa 0</t>
        </is>
      </c>
      <c r="K29" s="15" t="inlineStr">
        <is>
          <t>-</t>
        </is>
      </c>
      <c r="L29" s="15" t="inlineStr">
        <is>
          <t>Tên trống hoặc chưa chọn thời gian: trình duyệt chặn (required), không gửi request. Link sai: lỗi API hiện chữ đỏ dưới form. Sức chứa 0: ô number min=1 chặn.</t>
        </is>
      </c>
      <c r="M29" s="15" t="inlineStr"/>
      <c r="N29" s="18" t="inlineStr">
        <is>
          <t>Chưa test</t>
        </is>
      </c>
      <c r="O29" s="15" t="inlineStr"/>
      <c r="P29" s="15" t="inlineStr"/>
      <c r="Q29" s="18" t="inlineStr">
        <is>
          <t>Chưa test</t>
        </is>
      </c>
      <c r="R29" s="15" t="inlineStr"/>
    </row>
    <row r="30" ht="45" customHeight="1">
      <c r="A30" s="14" t="inlineStr">
        <is>
          <t>TC-EVENT-029</t>
        </is>
      </c>
      <c r="B30" s="15" t="inlineStr">
        <is>
          <t>Lịch &amp; Sự kiện</t>
        </is>
      </c>
      <c r="C30" s="15" t="inlineStr">
        <is>
          <t>Tạo sự kiện</t>
        </is>
      </c>
      <c r="D30" s="15" t="inlineStr">
        <is>
          <t>Danh sách 200+ thành viên: chỉ tối đa 200 người nhận event_created (trừ người tạo)</t>
        </is>
      </c>
      <c r="E30" s="15" t="inlineStr">
        <is>
          <t>Hiệu năng</t>
        </is>
      </c>
      <c r="F30" s="17" t="inlineStr">
        <is>
          <t>Thấp</t>
        </is>
      </c>
      <c r="G30" s="17" t="inlineStr">
        <is>
          <t>Đã hoàn thiện</t>
        </is>
      </c>
      <c r="H30" s="16" t="inlineStr">
        <is>
          <t>Không</t>
        </is>
      </c>
      <c r="I30" s="15" t="inlineStr">
        <is>
          <t>Cộng đồng có &gt; 201 thành viên (dùng cộng đồng seed lớn hoặc tạo script). Tài khoản seed @sofinhub.test / Passw0rd!x: owner, cadmin (admin photo), mod, member1, member2, member3 (member photo), newbie (chưa ở cộng đồng nào), banned (bị cấm khỏi photo), admin (Platform Admin, KHÔNG ghi danh photo).</t>
        </is>
      </c>
      <c r="J30" s="15" t="inlineStr">
        <is>
          <t>1. Đăng nhập owner@sofinhub.test (POST /api/auth/login, lấy accessToken, gắn header Authorization: Bearer).
2. Tạo sự kiện
3. Đếm thông báo event_created theo sự kiện trong DB</t>
        </is>
      </c>
      <c r="K30" s="15" t="inlineStr">
        <is>
          <t>-</t>
        </is>
      </c>
      <c r="L30" s="15" t="inlineStr">
        <is>
          <t>Đúng 200 thông báo được tạo (hằng số EVENT_CREATED_NOTIFY_LIMIT); người tạo không nhận.</t>
        </is>
      </c>
      <c r="M30" s="15" t="inlineStr"/>
      <c r="N30" s="18" t="inlineStr">
        <is>
          <t>Chưa test</t>
        </is>
      </c>
      <c r="O30" s="15" t="inlineStr"/>
      <c r="P30" s="15" t="inlineStr"/>
      <c r="Q30" s="18" t="inlineStr">
        <is>
          <t>Chưa test</t>
        </is>
      </c>
      <c r="R30" s="15" t="inlineStr"/>
    </row>
    <row r="31" ht="30" customHeight="1">
      <c r="A31" s="14" t="inlineStr">
        <is>
          <t>TC-EVENT-030</t>
        </is>
      </c>
      <c r="B31" s="15" t="inlineStr">
        <is>
          <t>Lịch &amp; Sự kiện</t>
        </is>
      </c>
      <c r="C31" s="15" t="inlineStr">
        <is>
          <t>Xem sự kiện</t>
        </is>
      </c>
      <c r="D31" s="15" t="inlineStr">
        <is>
          <t>Danh sách sự kiện photo: sắp theo startAt tăng dần, rsvpCount/viewerRsvped/isPast đúng</t>
        </is>
      </c>
      <c r="E31" s="15" t="inlineStr">
        <is>
          <t>Chức năng</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GET /api/courses/photo/events</t>
        </is>
      </c>
      <c r="K31" s="15" t="inlineStr">
        <is>
          <t>-</t>
        </is>
      </c>
      <c r="L31"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31" s="15" t="inlineStr"/>
      <c r="N31" s="18" t="inlineStr">
        <is>
          <t>Chưa test</t>
        </is>
      </c>
      <c r="O31" s="15" t="inlineStr"/>
      <c r="P31" s="15" t="inlineStr"/>
      <c r="Q31" s="18" t="inlineStr">
        <is>
          <t>Chưa test</t>
        </is>
      </c>
      <c r="R31" s="15" t="inlineStr"/>
    </row>
    <row r="32" ht="45" customHeight="1">
      <c r="A32" s="14" t="inlineStr">
        <is>
          <t>TC-EVENT-031</t>
        </is>
      </c>
      <c r="B32" s="15" t="inlineStr">
        <is>
          <t>Lịch &amp; Sự kiện</t>
        </is>
      </c>
      <c r="C32" s="15" t="inlineStr">
        <is>
          <t>Xem sự kiện</t>
        </is>
      </c>
      <c r="D32" s="15" t="inlineStr">
        <is>
          <t>GET /events/:id trả chi tiết; sự kiện không tồn tại 404</t>
        </is>
      </c>
      <c r="E32" s="15" t="inlineStr">
        <is>
          <t>Chức năng</t>
        </is>
      </c>
      <c r="F32" s="20" t="inlineStr">
        <is>
          <t>Trung bình</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Đăng nhập member1@sofinhub.test (POST /api/auth/login, lấy accessToken, gắn header Authorization: Bearer).
2. GET /api/events/seed-event-photo-limited
3. GET /api/events/khong-co</t>
        </is>
      </c>
      <c r="K32" s="15" t="inlineStr">
        <is>
          <t>-</t>
        </is>
      </c>
      <c r="L32" s="15" t="inlineStr">
        <is>
          <t>200; title "Workshop chụp chân dung ngoài trời", capacity=3, meetingLink="https://meet.example.com/photo-workshop", hostId là id mod, rsvpCount=2, viewerRsvped=false. Lần 2: 404 "Không tìm thấy sự kiện".</t>
        </is>
      </c>
      <c r="M32" s="15" t="inlineStr"/>
      <c r="N32" s="18" t="inlineStr">
        <is>
          <t>Chưa test</t>
        </is>
      </c>
      <c r="O32" s="15" t="inlineStr"/>
      <c r="P32" s="15" t="inlineStr"/>
      <c r="Q32" s="18" t="inlineStr">
        <is>
          <t>Chưa test</t>
        </is>
      </c>
      <c r="R32" s="15" t="inlineStr"/>
    </row>
    <row r="33" ht="45" customHeight="1">
      <c r="A33" s="14" t="inlineStr">
        <is>
          <t>TC-EVENT-032</t>
        </is>
      </c>
      <c r="B33" s="15" t="inlineStr">
        <is>
          <t>Lịch &amp; Sự kiện</t>
        </is>
      </c>
      <c r="C33" s="15" t="inlineStr">
        <is>
          <t>Xem sự kiện</t>
        </is>
      </c>
      <c r="D33" s="15" t="inlineStr">
        <is>
          <t>Người ngoài cộng đồng, banned, khách không xem được sự kiện photo</t>
        </is>
      </c>
      <c r="E33" s="15" t="inlineStr">
        <is>
          <t>Bảo mật</t>
        </is>
      </c>
      <c r="F33" s="16" t="inlineStr">
        <is>
          <t>Cao</t>
        </is>
      </c>
      <c r="G33" s="17" t="inlineStr">
        <is>
          <t>Đã hoàn thiện</t>
        </is>
      </c>
      <c r="H33" s="17" t="inlineStr">
        <is>
          <t>Có</t>
        </is>
      </c>
      <c r="I3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3" s="15" t="inlineStr">
        <is>
          <t>1. newbie GET /api/courses/photo/events và /api/events/seed-event-photo-limited
2. banned GET cùng
3. không token GET cùng</t>
        </is>
      </c>
      <c r="K33" s="15" t="inlineStr">
        <is>
          <t>-</t>
        </is>
      </c>
      <c r="L33" s="15" t="inlineStr">
        <is>
          <t>newbie, banned: 403 FORBIDDEN, message "Bạn cần tham gia cộng đồng này trước". Không token: 401 UNAUTHORIZED, message "Vui lòng đăng nhập để tiếp tục". Không lộ tiêu đề/link họp.</t>
        </is>
      </c>
      <c r="M33" s="15" t="inlineStr"/>
      <c r="N33" s="18" t="inlineStr">
        <is>
          <t>Chưa test</t>
        </is>
      </c>
      <c r="O33" s="15" t="inlineStr"/>
      <c r="P33" s="15" t="inlineStr"/>
      <c r="Q33" s="18" t="inlineStr">
        <is>
          <t>Chưa test</t>
        </is>
      </c>
      <c r="R33" s="15" t="inlineStr"/>
    </row>
    <row r="34" ht="75" customHeight="1">
      <c r="A34" s="14" t="inlineStr">
        <is>
          <t>TC-EVENT-033</t>
        </is>
      </c>
      <c r="B34" s="15" t="inlineStr">
        <is>
          <t>Lịch &amp; Sự kiện</t>
        </is>
      </c>
      <c r="C34" s="15" t="inlineStr">
        <is>
          <t>Xem sự kiện</t>
        </is>
      </c>
      <c r="D34" s="15" t="inlineStr">
        <is>
          <t>Cộng đồng bị khóa: thành viên thường 403 COMMUNITY_LOCKED khi xem lịch</t>
        </is>
      </c>
      <c r="E34" s="15" t="inlineStr">
        <is>
          <t>Bảo mật</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34" s="15" t="inlineStr">
        <is>
          <t>-</t>
        </is>
      </c>
      <c r="L34" s="15" t="inlineStr">
        <is>
          <t>member1: 403 code="COMMUNITY_LOCKED", message "Cộng đồng này đang bị khóa". Sau mở khóa xem bình thường.</t>
        </is>
      </c>
      <c r="M34" s="15" t="inlineStr"/>
      <c r="N34" s="18" t="inlineStr">
        <is>
          <t>Chưa test</t>
        </is>
      </c>
      <c r="O34" s="15" t="inlineStr"/>
      <c r="P34" s="15" t="inlineStr"/>
      <c r="Q34" s="18" t="inlineStr">
        <is>
          <t>Chưa test</t>
        </is>
      </c>
      <c r="R34" s="15" t="inlineStr"/>
    </row>
    <row r="35" ht="45" customHeight="1">
      <c r="A35" s="14" t="inlineStr">
        <is>
          <t>TC-EVENT-034</t>
        </is>
      </c>
      <c r="B35" s="15" t="inlineStr">
        <is>
          <t>Lịch &amp; Sự kiện</t>
        </is>
      </c>
      <c r="C35" s="15" t="inlineStr">
        <is>
          <t>Xem sự kiện</t>
        </is>
      </c>
      <c r="D35" s="15" t="inlineStr">
        <is>
          <t>UI: tab Lịch sự kiện /courses/photo/community/lich hiển thị lịch tháng, sự kiện seed và sự kiện đã qua mờ</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member2, mở /courses/photo/community/lich
2. Dùng nút Trước/Sau để tới tháng chứa các sự kiện +3, +7 ngày và -7 ngày
3. Chuyển sang Tuần, Ngày</t>
        </is>
      </c>
      <c r="K35" s="15" t="inlineStr">
        <is>
          <t>-</t>
        </is>
      </c>
      <c r="L35" s="15" t="inlineStr">
        <is>
          <t>Banner "Lịch sự kiện", nhãn "GMT+7 • Hồ Chí Minh". Sự kiện xuất hiện đúng ngày; sự kiện đã qua hiển thị mờ. Chuyển Tháng/Tuần/Ngày không mất sự kiện.</t>
        </is>
      </c>
      <c r="M35" s="15" t="inlineStr"/>
      <c r="N35" s="18" t="inlineStr">
        <is>
          <t>Chưa test</t>
        </is>
      </c>
      <c r="O35" s="15" t="inlineStr"/>
      <c r="P35" s="15" t="inlineStr"/>
      <c r="Q35" s="18" t="inlineStr">
        <is>
          <t>Chưa test</t>
        </is>
      </c>
      <c r="R35" s="15" t="inlineStr"/>
    </row>
    <row r="36" ht="60" customHeight="1">
      <c r="A36" s="14" t="inlineStr">
        <is>
          <t>TC-EVENT-035</t>
        </is>
      </c>
      <c r="B36" s="15" t="inlineStr">
        <is>
          <t>Lịch &amp; Sự kiện</t>
        </is>
      </c>
      <c r="C36" s="15" t="inlineStr">
        <is>
          <t>Xem sự kiện</t>
        </is>
      </c>
      <c r="D36" s="15" t="inlineStr">
        <is>
          <t>UI: bộ lọc "Lọc sự kiện": Tất cả / Sắp diễn ra / Tôi đã đăng ký</t>
        </is>
      </c>
      <c r="E36" s="15" t="inlineStr">
        <is>
          <t>Giao diện</t>
        </is>
      </c>
      <c r="F36" s="20" t="inlineStr">
        <is>
          <t>Trung bình</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member2, mở lịch
2. Bấm "Lọc sự kiện" &gt; "Sắp diễn ra"
3. Chọn "Tôi đã đăng ký"
4. Chọn "Tất cả sự kiện"</t>
        </is>
      </c>
      <c r="K36" s="15" t="inlineStr">
        <is>
          <t>-</t>
        </is>
      </c>
      <c r="L36" s="15" t="inlineStr">
        <is>
          <t>Sắp diễn ra: ẩn sự kiện đã qua. Tôi đã đăng ký: hiện limited và past (member2 đã RSVP), ẩn full. Tất cả: hiển thị đủ. Nút lọc đổi màu khi đang lọc.</t>
        </is>
      </c>
      <c r="M36" s="15" t="inlineStr"/>
      <c r="N36" s="18" t="inlineStr">
        <is>
          <t>Chưa test</t>
        </is>
      </c>
      <c r="O36" s="15" t="inlineStr"/>
      <c r="P36" s="15" t="inlineStr"/>
      <c r="Q36" s="18" t="inlineStr">
        <is>
          <t>Chưa test</t>
        </is>
      </c>
      <c r="R36" s="15" t="inlineStr"/>
    </row>
    <row r="37" ht="45" customHeight="1">
      <c r="A37" s="14" t="inlineStr">
        <is>
          <t>TC-EVENT-036</t>
        </is>
      </c>
      <c r="B37" s="15" t="inlineStr">
        <is>
          <t>Lịch &amp; Sự kiện</t>
        </is>
      </c>
      <c r="C37" s="15" t="inlineStr">
        <is>
          <t>Xem sự kiện</t>
        </is>
      </c>
      <c r="D37" s="15" t="inlineStr">
        <is>
          <t>UI: trạng thái rỗng - cộng đồng chưa có sự kiện hoặc bộ lọc không khớp</t>
        </is>
      </c>
      <c r="E37" s="15" t="inlineStr">
        <is>
          <t>Giao diện</t>
        </is>
      </c>
      <c r="F37" s="20" t="inlineStr">
        <is>
          <t>Trung bình</t>
        </is>
      </c>
      <c r="G37" s="17" t="inlineStr">
        <is>
          <t>Đã hoàn thiện</t>
        </is>
      </c>
      <c r="H37" s="17" t="inlineStr">
        <is>
          <t>Có</t>
        </is>
      </c>
      <c r="I37"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37" s="15" t="inlineStr">
        <is>
          <t>1. Đăng nhập member3, mở /courses/photo/community/lich
2. Chọn lọc "Tôi đã đăng ký"
3. Duyệt các tháng</t>
        </is>
      </c>
      <c r="K37" s="15" t="inlineStr">
        <is>
          <t>-</t>
        </is>
      </c>
      <c r="L37" s="15" t="inlineStr">
        <is>
          <t>Lưới lịch vẫn hiển thị, không có chip sự kiện, không lỗi/crash và không hiện trạng thái loading vô hạn (hiện chưa có dòng chữ 'Chưa có sự kiện' riêng — ghi nhận UX).</t>
        </is>
      </c>
      <c r="M37" s="15" t="inlineStr"/>
      <c r="N37" s="18" t="inlineStr">
        <is>
          <t>Chưa test</t>
        </is>
      </c>
      <c r="O37" s="15" t="inlineStr"/>
      <c r="P37" s="15" t="inlineStr"/>
      <c r="Q37" s="18" t="inlineStr">
        <is>
          <t>Chưa test</t>
        </is>
      </c>
      <c r="R37" s="15" t="inlineStr"/>
    </row>
    <row r="38" ht="30" customHeight="1">
      <c r="A38" s="14" t="inlineStr">
        <is>
          <t>TC-EVENT-037</t>
        </is>
      </c>
      <c r="B38" s="15" t="inlineStr">
        <is>
          <t>Lịch &amp; Sự kiện</t>
        </is>
      </c>
      <c r="C38" s="15" t="inlineStr">
        <is>
          <t>Xem sự kiện</t>
        </is>
      </c>
      <c r="D38" s="15" t="inlineStr">
        <is>
          <t>UI: hộp thoại chi tiết sự kiện hiển thị đủ thông tin và liên kết họp</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member1, mở lịch, bấm sự kiện "Workshop chụp chân dung ngoài trời"</t>
        </is>
      </c>
      <c r="K38" s="15" t="inlineStr">
        <is>
          <t>-</t>
        </is>
      </c>
      <c r="L38" s="15" t="inlineStr">
        <is>
          <t>Hộp thoại (role dialog) có tiêu đề, thời gian, mô tả, host, link họp (chỉ là link khi http/https), số đăng ký/sức chứa (2/3), nút "Đăng ký tham gia", "Thêm vào lịch (.ics)"; không có Sửa/Xóa.</t>
        </is>
      </c>
      <c r="M38" s="15" t="inlineStr"/>
      <c r="N38" s="18" t="inlineStr">
        <is>
          <t>Chưa test</t>
        </is>
      </c>
      <c r="O38" s="15" t="inlineStr"/>
      <c r="P38" s="15" t="inlineStr"/>
      <c r="Q38" s="18" t="inlineStr">
        <is>
          <t>Chưa test</t>
        </is>
      </c>
      <c r="R38" s="15" t="inlineStr"/>
    </row>
    <row r="39" ht="60" customHeight="1">
      <c r="A39" s="14" t="inlineStr">
        <is>
          <t>TC-EVENT-038</t>
        </is>
      </c>
      <c r="B39" s="15" t="inlineStr">
        <is>
          <t>Lịch &amp; Sự kiện</t>
        </is>
      </c>
      <c r="C39" s="15" t="inlineStr">
        <is>
          <t>Sửa sự kiện</t>
        </is>
      </c>
      <c r="D39" s="15" t="inlineStr">
        <is>
          <t>Mod sửa từng trường: title, description, startAt, timezone, meetingLink, capacity</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9" s="15" t="inlineStr">
        <is>
          <t>1. Đăng nhập mod@sofinhub.test (POST /api/auth/login, lấy accessToken, gắn header Authorization: Bearer).
2. Tạo sự kiện mới
3. PATCH lần lượt từng trường
4. GET sự kiện</t>
        </is>
      </c>
      <c r="K39" s="15" t="inlineStr">
        <is>
          <t>VD {"title":"Tên mới"} rồi {"capacity":30} rồi {"timezone":"Asia/Bangkok"}</t>
        </is>
      </c>
      <c r="L39" s="15" t="inlineStr">
        <is>
          <t>Mỗi PATCH 200 và chỉ trường được gửi đổi; updatedAt cập nhật; rsvpCount giữ nguyên.</t>
        </is>
      </c>
      <c r="M39" s="15" t="inlineStr"/>
      <c r="N39" s="18" t="inlineStr">
        <is>
          <t>Chưa test</t>
        </is>
      </c>
      <c r="O39" s="15" t="inlineStr"/>
      <c r="P39" s="15" t="inlineStr"/>
      <c r="Q39" s="18" t="inlineStr">
        <is>
          <t>Chưa test</t>
        </is>
      </c>
      <c r="R39" s="15" t="inlineStr"/>
    </row>
    <row r="40" ht="45" customHeight="1">
      <c r="A40" s="14" t="inlineStr">
        <is>
          <t>TC-EVENT-039</t>
        </is>
      </c>
      <c r="B40" s="15" t="inlineStr">
        <is>
          <t>Lịch &amp; Sự kiện</t>
        </is>
      </c>
      <c r="C40" s="15" t="inlineStr">
        <is>
          <t>Sửa sự kiện</t>
        </is>
      </c>
      <c r="D40" s="15" t="inlineStr">
        <is>
          <t>Xóa meetingLink và capacity bằng null</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owner@sofinhub.test (POST /api/auth/login, lấy accessToken, gắn header Authorization: Bearer).
2. PATCH /api/events/seed-event-photo-limited {"meetingLink":null,"capacity":null}
3. GET sự kiện</t>
        </is>
      </c>
      <c r="K40" s="15" t="inlineStr">
        <is>
          <t>Body: {"meetingLink":null,"capacity":null}</t>
        </is>
      </c>
      <c r="L40" s="15" t="inlineStr">
        <is>
          <t>200; meetingLink không còn, capacity không còn (không giới hạn); sự kiện cho phép RSVP không giới hạn. UI: để trống ô trong form Sửa cũng xóa.</t>
        </is>
      </c>
      <c r="M40" s="15" t="inlineStr"/>
      <c r="N40" s="18" t="inlineStr">
        <is>
          <t>Chưa test</t>
        </is>
      </c>
      <c r="O40" s="15" t="inlineStr"/>
      <c r="P40" s="15" t="inlineStr"/>
      <c r="Q40" s="18" t="inlineStr">
        <is>
          <t>Chưa test</t>
        </is>
      </c>
      <c r="R40" s="15" t="inlineStr"/>
    </row>
    <row r="41" ht="45" customHeight="1">
      <c r="A41" s="14" t="inlineStr">
        <is>
          <t>TC-EVENT-040</t>
        </is>
      </c>
      <c r="B41" s="15" t="inlineStr">
        <is>
          <t>Lịch &amp; Sự kiện</t>
        </is>
      </c>
      <c r="C41" s="15" t="inlineStr">
        <is>
          <t>Sửa sự kiện</t>
        </is>
      </c>
      <c r="D41" s="15" t="inlineStr">
        <is>
          <t>Giảm sức chứa xuống dưới số người đã RSVP bị 409</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mod@sofinhub.test (POST /api/auth/login, lấy accessToken, gắn header Authorization: Bearer).
2. PATCH seed-event-photo-limited {"capacity":1} (đang 2 RSVP)
3. PATCH {"capacity":2}</t>
        </is>
      </c>
      <c r="K41" s="15" t="inlineStr">
        <is>
          <t>capacity: 1 rồi 2</t>
        </is>
      </c>
      <c r="L41" s="15" t="inlineStr">
        <is>
          <t>Lần 1: 409 CONFLICT, message "Sức chứa không được nhỏ hơn số người đã đăng ký"; capacity vẫn 3. Lần 2 (bằng số đã đăng ký): 200.</t>
        </is>
      </c>
      <c r="M41" s="15" t="inlineStr"/>
      <c r="N41" s="18" t="inlineStr">
        <is>
          <t>Chưa test</t>
        </is>
      </c>
      <c r="O41" s="15" t="inlineStr"/>
      <c r="P41" s="15" t="inlineStr"/>
      <c r="Q41" s="18" t="inlineStr">
        <is>
          <t>Chưa test</t>
        </is>
      </c>
      <c r="R41" s="15" t="inlineStr"/>
    </row>
    <row r="42" ht="105" customHeight="1">
      <c r="A42" s="14" t="inlineStr">
        <is>
          <t>TC-EVENT-041</t>
        </is>
      </c>
      <c r="B42" s="15" t="inlineStr">
        <is>
          <t>Lịch &amp; Sự kiện</t>
        </is>
      </c>
      <c r="C42" s="15" t="inlineStr">
        <is>
          <t>Sửa sự kiện</t>
        </is>
      </c>
      <c r="D42" s="15" t="inlineStr">
        <is>
          <t>PATCH body rỗng hoặc trường sai bị 400</t>
        </is>
      </c>
      <c r="E42" s="15" t="inlineStr">
        <is>
          <t>Chức năng</t>
        </is>
      </c>
      <c r="F42" s="20" t="inlineStr">
        <is>
          <t>Trung bình</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mod@sofinhub.test (POST /api/auth/login, lấy accessToken, gắn header Authorization: Bearer).
2. PATCH {}
3. PATCH {"title":""}
4. PATCH {"capacity":0}
5. PATCH {"startAt":"mai"}
6. PATCH {"timezone":""}
7. PATCH {"meetingLink":"abc"}</t>
        </is>
      </c>
      <c r="K42" s="15" t="inlineStr">
        <is>
          <t>-</t>
        </is>
      </c>
      <c r="L42" s="15" t="inlineStr">
        <is>
          <t>Tất cả: 400 VALIDATION_ERROR, message "Tham số không hợp lệ" (chi tiết lỗi từng trường nằm trong error.details) ({} có thông điệp "Không có gì để cập nhật"). Sự kiện không đổi.</t>
        </is>
      </c>
      <c r="M42" s="15" t="inlineStr"/>
      <c r="N42" s="18" t="inlineStr">
        <is>
          <t>Chưa test</t>
        </is>
      </c>
      <c r="O42" s="15" t="inlineStr"/>
      <c r="P42" s="15" t="inlineStr"/>
      <c r="Q42" s="18" t="inlineStr">
        <is>
          <t>Chưa test</t>
        </is>
      </c>
      <c r="R42" s="15" t="inlineStr"/>
    </row>
    <row r="43" ht="60" customHeight="1">
      <c r="A43" s="14" t="inlineStr">
        <is>
          <t>TC-EVENT-042</t>
        </is>
      </c>
      <c r="B43" s="15" t="inlineStr">
        <is>
          <t>Lịch &amp; Sự kiện</t>
        </is>
      </c>
      <c r="C43" s="15" t="inlineStr">
        <is>
          <t>Sửa sự kiện</t>
        </is>
      </c>
      <c r="D43" s="15" t="inlineStr">
        <is>
          <t>Member sửa/xóa sự kiện bị 403 (IDOR)</t>
        </is>
      </c>
      <c r="E43" s="15" t="inlineStr">
        <is>
          <t>Bảo mật</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member2@sofinhub.test (POST /api/auth/login, lấy accessToken, gắn header Authorization: Bearer).
2. PATCH /api/events/seed-event-photo-limited {"title":"Hack"}
3. DELETE /api/events/seed-event-photo-limited
4. GET lại sự kiện</t>
        </is>
      </c>
      <c r="K43" s="15" t="inlineStr">
        <is>
          <t>-</t>
        </is>
      </c>
      <c r="L43" s="15" t="inlineStr">
        <is>
          <t>PATCH, DELETE: 403 FORBIDDEN, message "Bạn không có quyền thực hiện thao tác này trong cộng đồng"; sự kiện, RSVP không đổi. Lặp với member1, member3.</t>
        </is>
      </c>
      <c r="M43" s="15" t="inlineStr"/>
      <c r="N43" s="18" t="inlineStr">
        <is>
          <t>Chưa test</t>
        </is>
      </c>
      <c r="O43" s="15" t="inlineStr"/>
      <c r="P43" s="15" t="inlineStr"/>
      <c r="Q43" s="18" t="inlineStr">
        <is>
          <t>Chưa test</t>
        </is>
      </c>
      <c r="R43" s="15" t="inlineStr"/>
    </row>
    <row r="44" ht="60" customHeight="1">
      <c r="A44" s="14" t="inlineStr">
        <is>
          <t>TC-EVENT-043</t>
        </is>
      </c>
      <c r="B44" s="15" t="inlineStr">
        <is>
          <t>Lịch &amp; Sự kiện</t>
        </is>
      </c>
      <c r="C44" s="15" t="inlineStr">
        <is>
          <t>Sửa sự kiện</t>
        </is>
      </c>
      <c r="D44" s="15" t="inlineStr">
        <is>
          <t>Ma trận vai trò sửa/xóa: newbie, banned 403 thành viên; mod, cadmin, owner và Platform Admin được</t>
        </is>
      </c>
      <c r="E44" s="15" t="inlineStr">
        <is>
          <t>Bảo mật</t>
        </is>
      </c>
      <c r="F44" s="16" t="inlineStr">
        <is>
          <t>Cao</t>
        </is>
      </c>
      <c r="G44" s="17" t="inlineStr">
        <is>
          <t>Đã hoàn thiện</t>
        </is>
      </c>
      <c r="H44" s="17" t="inlineStr">
        <is>
          <t>Có</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newbie PATCH sự kiện seed-event-photo-past
2. banned DELETE
3. không token PATCH
4. admin (Platform Admin chưa ghi danh), mod, cadmin, owner mỗi người PATCH thay description</t>
        </is>
      </c>
      <c r="K44" s="15" t="inlineStr">
        <is>
          <t>-</t>
        </is>
      </c>
      <c r="L44"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44" s="15" t="inlineStr"/>
      <c r="N44" s="18" t="inlineStr">
        <is>
          <t>Chưa test</t>
        </is>
      </c>
      <c r="O44" s="15" t="inlineStr"/>
      <c r="P44" s="15" t="inlineStr"/>
      <c r="Q44" s="18" t="inlineStr">
        <is>
          <t>Chưa test</t>
        </is>
      </c>
      <c r="R44" s="15" t="inlineStr"/>
    </row>
    <row r="45" ht="45" customHeight="1">
      <c r="A45" s="14" t="inlineStr">
        <is>
          <t>TC-EVENT-044</t>
        </is>
      </c>
      <c r="B45" s="15" t="inlineStr">
        <is>
          <t>Lịch &amp; Sự kiện</t>
        </is>
      </c>
      <c r="C45" s="15" t="inlineStr">
        <is>
          <t>Sửa sự kiện</t>
        </is>
      </c>
      <c r="D45" s="15" t="inlineStr">
        <is>
          <t>Sửa/xóa sự kiện không tồn tại trả 404</t>
        </is>
      </c>
      <c r="E45" s="15" t="inlineStr">
        <is>
          <t>Chức năng</t>
        </is>
      </c>
      <c r="F45" s="17" t="inlineStr">
        <is>
          <t>Thấp</t>
        </is>
      </c>
      <c r="G45" s="17" t="inlineStr">
        <is>
          <t>Đã hoàn thiện</t>
        </is>
      </c>
      <c r="H45" s="17" t="inlineStr">
        <is>
          <t>Có</t>
        </is>
      </c>
      <c r="I45" s="15" t="inlineStr">
        <is>
          <t>Tài khoản seed @sofinhub.test / Passw0rd!x: owner, cadmin (admin photo), mod, member1, member2, member3 (member photo), newbie (chưa ở cộng đồng nào), banned (bị cấm khỏi photo), admin (Platform Admin, KHÔNG ghi danh photo).</t>
        </is>
      </c>
      <c r="J45" s="15" t="inlineStr">
        <is>
          <t>1. Đăng nhập mod@sofinhub.test (POST /api/auth/login, lấy accessToken, gắn header Authorization: Bearer).
2. PATCH /api/events/khong-co {"title":"x"}
3. DELETE /api/events/khong-co</t>
        </is>
      </c>
      <c r="K45" s="15" t="inlineStr">
        <is>
          <t>-</t>
        </is>
      </c>
      <c r="L45" s="15" t="inlineStr">
        <is>
          <t>Cả hai 404 "Không tìm thấy sự kiện".</t>
        </is>
      </c>
      <c r="M45" s="15" t="inlineStr"/>
      <c r="N45" s="18" t="inlineStr">
        <is>
          <t>Chưa test</t>
        </is>
      </c>
      <c r="O45" s="15" t="inlineStr"/>
      <c r="P45" s="15" t="inlineStr"/>
      <c r="Q45" s="18" t="inlineStr">
        <is>
          <t>Chưa test</t>
        </is>
      </c>
      <c r="R45" s="15" t="inlineStr"/>
    </row>
    <row r="46" ht="60" customHeight="1">
      <c r="A46" s="14" t="inlineStr">
        <is>
          <t>TC-EVENT-045</t>
        </is>
      </c>
      <c r="B46" s="15" t="inlineStr">
        <is>
          <t>Lịch &amp; Sự kiện</t>
        </is>
      </c>
      <c r="C46" s="15" t="inlineStr">
        <is>
          <t>Sửa sự kiện</t>
        </is>
      </c>
      <c r="D46" s="15" t="inlineStr">
        <is>
          <t>Đổi giờ bắt đầu sang giờ mới: RSVP giữ nguyên, người xem thấy giờ mới</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46" s="15" t="inlineStr">
        <is>
          <t>startAt: "&lt;now+8 ngày ISO&gt;"</t>
        </is>
      </c>
      <c r="L46" s="15" t="inlineStr">
        <is>
          <t>200; member2 vẫn viewerRsvped=true, rsvpCount=2, startAt mới; sự kiện chuyển sang ngày mới trên lịch. (Hiện không gửi thông báo 'sự kiện đổi giờ' cho người đã RSVP — ghi nhận.)</t>
        </is>
      </c>
      <c r="M46" s="15" t="inlineStr"/>
      <c r="N46" s="18" t="inlineStr">
        <is>
          <t>Chưa test</t>
        </is>
      </c>
      <c r="O46" s="15" t="inlineStr"/>
      <c r="P46" s="15" t="inlineStr"/>
      <c r="Q46" s="18" t="inlineStr">
        <is>
          <t>Chưa test</t>
        </is>
      </c>
      <c r="R46" s="15" t="inlineStr"/>
    </row>
    <row r="47" ht="45" customHeight="1">
      <c r="A47" s="14" t="inlineStr">
        <is>
          <t>TC-EVENT-046</t>
        </is>
      </c>
      <c r="B47" s="15" t="inlineStr">
        <is>
          <t>Lịch &amp; Sự kiện</t>
        </is>
      </c>
      <c r="C47" s="15" t="inlineStr">
        <is>
          <t>Sửa sự kiện</t>
        </is>
      </c>
      <c r="D47" s="15" t="inlineStr">
        <is>
          <t>UI: mod sửa sự kiện qua form "Sửa sự kiện", toast và lỗi 409 hiện trong form</t>
        </is>
      </c>
      <c r="E47" s="15" t="inlineStr">
        <is>
          <t>Giao diện</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mod, mở lịch, bấm sự kiện "Workshop chụp chân dung ngoài trời" &gt; "Sửa"
2. Đặt Sức chứa 1, bấm lưu
3. Đặt Sức chứa 5, xóa Link họp (để trống), bấm lưu</t>
        </is>
      </c>
      <c r="K47" s="15" t="inlineStr">
        <is>
          <t>-</t>
        </is>
      </c>
      <c r="L47" s="15" t="inlineStr">
        <is>
          <t>Bước 2: chữ đỏ "Sức chứa không được nhỏ hơn số người đã đăng ký" trong form (placeholder ghi đã có 2 đăng ký). Bước 3: toast "Đã cập nhật sự kiện", link họp biến mất.</t>
        </is>
      </c>
      <c r="M47" s="15" t="inlineStr"/>
      <c r="N47" s="18" t="inlineStr">
        <is>
          <t>Chưa test</t>
        </is>
      </c>
      <c r="O47" s="15" t="inlineStr"/>
      <c r="P47" s="15" t="inlineStr"/>
      <c r="Q47" s="18" t="inlineStr">
        <is>
          <t>Chưa test</t>
        </is>
      </c>
      <c r="R47" s="15" t="inlineStr"/>
    </row>
    <row r="48" ht="105" customHeight="1">
      <c r="A48" s="14" t="inlineStr">
        <is>
          <t>TC-EVENT-047</t>
        </is>
      </c>
      <c r="B48" s="15" t="inlineStr">
        <is>
          <t>Lịch &amp; Sự kiện</t>
        </is>
      </c>
      <c r="C48" s="15" t="inlineStr">
        <is>
          <t>Xóa sự kiện</t>
        </is>
      </c>
      <c r="D48" s="15" t="inlineStr">
        <is>
          <t>Xóa sự kiện: người đã RSVP nhận thông báo "Sự kiện đã bị hủy", RSVP bị xóa</t>
        </is>
      </c>
      <c r="E48" s="15" t="inlineStr">
        <is>
          <t>Chức năng</t>
        </is>
      </c>
      <c r="F48" s="16" t="inlineStr">
        <is>
          <t>Cao</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48" s="15" t="inlineStr">
        <is>
          <t>-</t>
        </is>
      </c>
      <c r="L48"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t>
        </is>
      </c>
      <c r="M48" s="15" t="inlineStr"/>
      <c r="N48" s="18" t="inlineStr">
        <is>
          <t>Chưa test</t>
        </is>
      </c>
      <c r="O48" s="15" t="inlineStr"/>
      <c r="P48" s="15" t="inlineStr"/>
      <c r="Q48" s="18" t="inlineStr">
        <is>
          <t>Chưa test</t>
        </is>
      </c>
      <c r="R48" s="15" t="inlineStr"/>
    </row>
    <row r="49" ht="60" customHeight="1">
      <c r="A49" s="14" t="inlineStr">
        <is>
          <t>TC-EVENT-048</t>
        </is>
      </c>
      <c r="B49" s="15" t="inlineStr">
        <is>
          <t>Lịch &amp; Sự kiện</t>
        </is>
      </c>
      <c r="C49" s="15" t="inlineStr">
        <is>
          <t>Xóa sự kiện</t>
        </is>
      </c>
      <c r="D49" s="15" t="inlineStr">
        <is>
          <t>Xóa sự kiện xóa luôn RSVP (CASCADE); xóa lần 2 trả 404</t>
        </is>
      </c>
      <c r="E49" s="15" t="inlineStr">
        <is>
          <t>Chức năng</t>
        </is>
      </c>
      <c r="F49" s="20" t="inlineStr">
        <is>
          <t>Trung bình</t>
        </is>
      </c>
      <c r="G49" s="17" t="inlineStr">
        <is>
          <t>Đã hoàn thiện</t>
        </is>
      </c>
      <c r="H49" s="17" t="inlineStr">
        <is>
          <t>Có</t>
        </is>
      </c>
      <c r="I4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9" s="15" t="inlineStr">
        <is>
          <t>1. Đăng nhập owner@sofinhub.test (POST /api/auth/login, lấy accessToken, gắn header Authorization: Bearer).
2. DELETE /api/events/seed-event-photo-full
3. DELETE lần 2
4. GET /api/courses/photo/events</t>
        </is>
      </c>
      <c r="K49" s="15" t="inlineStr">
        <is>
          <t>-</t>
        </is>
      </c>
      <c r="L49" s="15" t="inlineStr">
        <is>
          <t>Lần 1: 200. Lần 2: 404. Danh sách không còn sự kiện; bản ghi EventRsvp của sự kiện đó bị xóa.</t>
        </is>
      </c>
      <c r="M49" s="15" t="inlineStr"/>
      <c r="N49" s="18" t="inlineStr">
        <is>
          <t>Chưa test</t>
        </is>
      </c>
      <c r="O49" s="15" t="inlineStr"/>
      <c r="P49" s="15" t="inlineStr"/>
      <c r="Q49" s="18" t="inlineStr">
        <is>
          <t>Chưa test</t>
        </is>
      </c>
      <c r="R49" s="15" t="inlineStr"/>
    </row>
    <row r="50" ht="45" customHeight="1">
      <c r="A50" s="14" t="inlineStr">
        <is>
          <t>TC-EVENT-049</t>
        </is>
      </c>
      <c r="B50" s="15" t="inlineStr">
        <is>
          <t>Lịch &amp; Sự kiện</t>
        </is>
      </c>
      <c r="C50" s="15" t="inlineStr">
        <is>
          <t>Xóa sự kiện</t>
        </is>
      </c>
      <c r="D50" s="15" t="inlineStr">
        <is>
          <t>UI: xóa sự kiện có hộp thoại xác nhận "Xóa sự kiện?" và toast</t>
        </is>
      </c>
      <c r="E50" s="15" t="inlineStr">
        <is>
          <t>Giao diện</t>
        </is>
      </c>
      <c r="F50" s="20" t="inlineStr">
        <is>
          <t>Trung bình</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Đăng nhập mod, mở lịch, bấm sự kiện &gt; "Xóa"
2. Bấm hủy
3. Xóa lại và bấm "Xóa sự kiện"</t>
        </is>
      </c>
      <c r="K50" s="15" t="inlineStr">
        <is>
          <t>-</t>
        </is>
      </c>
      <c r="L50" s="15" t="inlineStr">
        <is>
          <t>Hủy: sự kiện còn. Xác nhận: toast "Đã xóa sự kiện", chip biến khỏi lịch.</t>
        </is>
      </c>
      <c r="M50" s="15" t="inlineStr"/>
      <c r="N50" s="18" t="inlineStr">
        <is>
          <t>Chưa test</t>
        </is>
      </c>
      <c r="O50" s="15" t="inlineStr"/>
      <c r="P50" s="15" t="inlineStr"/>
      <c r="Q50" s="18" t="inlineStr">
        <is>
          <t>Chưa test</t>
        </is>
      </c>
      <c r="R50" s="15" t="inlineStr"/>
    </row>
    <row r="51" ht="45" customHeight="1">
      <c r="A51" s="14" t="inlineStr">
        <is>
          <t>TC-EVENT-050</t>
        </is>
      </c>
      <c r="B51" s="15" t="inlineStr">
        <is>
          <t>Lịch &amp; Sự kiện</t>
        </is>
      </c>
      <c r="C51" s="15" t="inlineStr">
        <is>
          <t>Đăng ký tham dự (RSVP)</t>
        </is>
      </c>
      <c r="D51" s="15" t="inlineStr">
        <is>
          <t>RSVP thành công: rsvped=true, rsvpCount +1, cộng 1 điểm event_rsvp</t>
        </is>
      </c>
      <c r="E51" s="15" t="inlineStr">
        <is>
          <t>Chức năng</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51" s="15" t="inlineStr">
        <is>
          <t>1. Đăng nhập member1@sofinhub.test (POST /api/auth/login, lấy accessToken, gắn header Authorization: Bearer).
2. POST /api/events/seed-event-photo-limited/rsvp
3. GET /api/me/points</t>
        </is>
      </c>
      <c r="K51" s="15" t="inlineStr">
        <is>
          <t>-</t>
        </is>
      </c>
      <c r="L51" s="15" t="inlineStr">
        <is>
          <t>200 {rsvped:true, rsvpCount:3}; member1 +1 điểm (reason event_rsvp); sự kiện giờ đầy 3/3.</t>
        </is>
      </c>
      <c r="M51" s="15" t="inlineStr"/>
      <c r="N51" s="18" t="inlineStr">
        <is>
          <t>Chưa test</t>
        </is>
      </c>
      <c r="O51" s="15" t="inlineStr"/>
      <c r="P51" s="15" t="inlineStr"/>
      <c r="Q51" s="18" t="inlineStr">
        <is>
          <t>Chưa test</t>
        </is>
      </c>
      <c r="R51" s="15" t="inlineStr"/>
    </row>
    <row r="52" ht="30" customHeight="1">
      <c r="A52" s="14" t="inlineStr">
        <is>
          <t>TC-EVENT-051</t>
        </is>
      </c>
      <c r="B52" s="15" t="inlineStr">
        <is>
          <t>Lịch &amp; Sự kiện</t>
        </is>
      </c>
      <c r="C52" s="15" t="inlineStr">
        <is>
          <t>Đăng ký tham dự (RSVP)</t>
        </is>
      </c>
      <c r="D52" s="15" t="inlineStr">
        <is>
          <t>POST rsvp là toggle: gọi lần 2 sẽ hủy đăng ký</t>
        </is>
      </c>
      <c r="E52" s="15" t="inlineStr">
        <is>
          <t>Chức năng</t>
        </is>
      </c>
      <c r="F52" s="16" t="inlineStr">
        <is>
          <t>Cao</t>
        </is>
      </c>
      <c r="G52" s="17" t="inlineStr">
        <is>
          <t>Đã hoàn thiện</t>
        </is>
      </c>
      <c r="H52" s="17" t="inlineStr">
        <is>
          <t>Có</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member2@sofinhub.test (POST /api/auth/login, lấy accessToken, gắn header Authorization: Bearer).
2. POST /api/events/seed-event-photo-limited/rsvp (member2 đã RSVP ở seed)</t>
        </is>
      </c>
      <c r="K52" s="15" t="inlineStr">
        <is>
          <t>-</t>
        </is>
      </c>
      <c r="L52" s="15" t="inlineStr">
        <is>
          <t>200 {rsvped:false, rsvpCount:1}. Ghi nhận: tài liệu ghi 'toggle, giữ nguyên' nhưng hành vi thực tế là toggle hủy; nên dùng DELETE để hủy tường minh.</t>
        </is>
      </c>
      <c r="M52" s="15" t="inlineStr"/>
      <c r="N52" s="18" t="inlineStr">
        <is>
          <t>Chưa test</t>
        </is>
      </c>
      <c r="O52" s="15" t="inlineStr"/>
      <c r="P52" s="15" t="inlineStr"/>
      <c r="Q52" s="18" t="inlineStr">
        <is>
          <t>Chưa test</t>
        </is>
      </c>
      <c r="R52" s="15" t="inlineStr"/>
    </row>
    <row r="53" ht="75" customHeight="1">
      <c r="A53" s="14" t="inlineStr">
        <is>
          <t>TC-EVENT-052</t>
        </is>
      </c>
      <c r="B53" s="15" t="inlineStr">
        <is>
          <t>Lịch &amp; Sự kiện</t>
        </is>
      </c>
      <c r="C53" s="15" t="inlineStr">
        <is>
          <t>Đăng ký tham dự (RSVP)</t>
        </is>
      </c>
      <c r="D53" s="15" t="inlineStr">
        <is>
          <t>DELETE rsvp hủy tường minh và idempotent</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53" s="15" t="inlineStr">
        <is>
          <t>-</t>
        </is>
      </c>
      <c r="L53" s="15" t="inlineStr">
        <is>
          <t>Lần 1: 200 {rsvped:false, rsvpCount:1}. Lần 2 và member3: vẫn 200 {rsvped:false} với rsvpCount không đổi (không lỗi).</t>
        </is>
      </c>
      <c r="M53" s="15" t="inlineStr"/>
      <c r="N53" s="18" t="inlineStr">
        <is>
          <t>Chưa test</t>
        </is>
      </c>
      <c r="O53" s="15" t="inlineStr"/>
      <c r="P53" s="15" t="inlineStr"/>
      <c r="Q53" s="18" t="inlineStr">
        <is>
          <t>Chưa test</t>
        </is>
      </c>
      <c r="R53" s="15" t="inlineStr"/>
    </row>
    <row r="54" ht="60" customHeight="1">
      <c r="A54" s="14" t="inlineStr">
        <is>
          <t>TC-EVENT-053</t>
        </is>
      </c>
      <c r="B54" s="15" t="inlineStr">
        <is>
          <t>Lịch &amp; Sự kiện</t>
        </is>
      </c>
      <c r="C54" s="15" t="inlineStr">
        <is>
          <t>Đăng ký tham dự (RSVP)</t>
        </is>
      </c>
      <c r="D54" s="15" t="inlineStr">
        <is>
          <t>Chỗ cuối: người thứ 3 vào được, người thứ 4 nhận 409</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54" s="15" t="inlineStr">
        <is>
          <t>-</t>
        </is>
      </c>
      <c r="L54" s="15" t="inlineStr">
        <is>
          <t>member1: 200 {rsvped:true, rsvpCount:3}. member3: 409 CONFLICT, message "Sự kiện đã đủ số lượng đăng ký"; rsvpCount vẫn 3.</t>
        </is>
      </c>
      <c r="M54" s="15" t="inlineStr"/>
      <c r="N54" s="18" t="inlineStr">
        <is>
          <t>Chưa test</t>
        </is>
      </c>
      <c r="O54" s="15" t="inlineStr"/>
      <c r="P54" s="15" t="inlineStr"/>
      <c r="Q54" s="18" t="inlineStr">
        <is>
          <t>Chưa test</t>
        </is>
      </c>
      <c r="R54" s="15" t="inlineStr"/>
    </row>
    <row r="55" ht="45" customHeight="1">
      <c r="A55" s="14" t="inlineStr">
        <is>
          <t>TC-EVENT-054</t>
        </is>
      </c>
      <c r="B55" s="15" t="inlineStr">
        <is>
          <t>Lịch &amp; Sự kiện</t>
        </is>
      </c>
      <c r="C55" s="15" t="inlineStr">
        <is>
          <t>Đăng ký tham dự (RSVP)</t>
        </is>
      </c>
      <c r="D55" s="15" t="inlineStr">
        <is>
          <t>Sự kiện đã đầy sẵn (seed full 2/2): member RSVP nhận 409</t>
        </is>
      </c>
      <c r="E55" s="15" t="inlineStr">
        <is>
          <t>Chức năng</t>
        </is>
      </c>
      <c r="F55" s="16" t="inlineStr">
        <is>
          <t>Cao</t>
        </is>
      </c>
      <c r="G55" s="17" t="inlineStr">
        <is>
          <t>Đã hoàn thiện</t>
        </is>
      </c>
      <c r="H55" s="17" t="inlineStr">
        <is>
          <t>Có</t>
        </is>
      </c>
      <c r="I5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5" s="15" t="inlineStr">
        <is>
          <t>1. Đăng nhập member1@sofinhub.test (POST /api/auth/login, lấy accessToken, gắn header Authorization: Bearer).
2. POST /api/events/seed-event-photo-full/rsvp
3. GET sự kiện</t>
        </is>
      </c>
      <c r="K55" s="15" t="inlineStr">
        <is>
          <t>-</t>
        </is>
      </c>
      <c r="L55" s="15" t="inlineStr">
        <is>
          <t>409 "Sự kiện đã đủ số lượng đăng ký"; rsvpCount=2, viewerRsvped=false.</t>
        </is>
      </c>
      <c r="M55" s="15" t="inlineStr"/>
      <c r="N55" s="18" t="inlineStr">
        <is>
          <t>Chưa test</t>
        </is>
      </c>
      <c r="O55" s="15" t="inlineStr"/>
      <c r="P55" s="15" t="inlineStr"/>
      <c r="Q55" s="18" t="inlineStr">
        <is>
          <t>Chưa test</t>
        </is>
      </c>
      <c r="R55" s="15" t="inlineStr"/>
    </row>
    <row r="56" ht="45" customHeight="1">
      <c r="A56" s="14" t="inlineStr">
        <is>
          <t>TC-EVENT-055</t>
        </is>
      </c>
      <c r="B56" s="15" t="inlineStr">
        <is>
          <t>Lịch &amp; Sự kiện</t>
        </is>
      </c>
      <c r="C56" s="15" t="inlineStr">
        <is>
          <t>Đăng ký tham dự (RSVP)</t>
        </is>
      </c>
      <c r="D56" s="15" t="inlineStr">
        <is>
          <t>Race: hai người RSVP đồng thời vào chỗ cuối, đúng 1 người thành công</t>
        </is>
      </c>
      <c r="E56" s="15" t="inlineStr">
        <is>
          <t>Tích hợp</t>
        </is>
      </c>
      <c r="F56" s="16" t="inlineStr">
        <is>
          <t>Cao</t>
        </is>
      </c>
      <c r="G56" s="17" t="inlineStr">
        <is>
          <t>Đã hoàn thiện</t>
        </is>
      </c>
      <c r="H56" s="20" t="inlineStr">
        <is>
          <t>Một phần</t>
        </is>
      </c>
      <c r="I5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6"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56" s="15" t="inlineStr">
        <is>
          <t>2 request cùng lúc</t>
        </is>
      </c>
      <c r="L56" s="15" t="inlineStr">
        <is>
          <t>Một 200 {rsvped:true, rsvpCount:3}, một 409 "Sự kiện đã đủ số lượng đăng ký"; rsvpCount cuối = 3 (không vượt sức chứa) nhờ khóa hàng FOR UPDATE.</t>
        </is>
      </c>
      <c r="M56" s="15" t="inlineStr"/>
      <c r="N56" s="18" t="inlineStr">
        <is>
          <t>Chưa test</t>
        </is>
      </c>
      <c r="O56" s="15" t="inlineStr"/>
      <c r="P56" s="15" t="inlineStr"/>
      <c r="Q56" s="18" t="inlineStr">
        <is>
          <t>Chưa test</t>
        </is>
      </c>
      <c r="R56" s="15" t="inlineStr"/>
    </row>
    <row r="57" ht="30" customHeight="1">
      <c r="A57" s="14" t="inlineStr">
        <is>
          <t>TC-EVENT-056</t>
        </is>
      </c>
      <c r="B57" s="15" t="inlineStr">
        <is>
          <t>Lịch &amp; Sự kiện</t>
        </is>
      </c>
      <c r="C57" s="15" t="inlineStr">
        <is>
          <t>Đăng ký tham dự (RSVP)</t>
        </is>
      </c>
      <c r="D57" s="15" t="inlineStr">
        <is>
          <t>Race: sức chứa 3, 8 người RSVP cùng lúc, đúng 3 vào</t>
        </is>
      </c>
      <c r="E57" s="15" t="inlineStr">
        <is>
          <t>Tích hợp</t>
        </is>
      </c>
      <c r="F57" s="20" t="inlineStr">
        <is>
          <t>Trung bình</t>
        </is>
      </c>
      <c r="G57" s="17" t="inlineStr">
        <is>
          <t>Đã hoàn thiện</t>
        </is>
      </c>
      <c r="H57" s="16" t="inlineStr">
        <is>
          <t>Không</t>
        </is>
      </c>
      <c r="I5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57" s="15" t="inlineStr">
        <is>
          <t>1. 8 token cùng gửi POST rsvp song song
2. Đếm kết quả</t>
        </is>
      </c>
      <c r="K57" s="15" t="inlineStr">
        <is>
          <t>8 request</t>
        </is>
      </c>
      <c r="L57" s="15" t="inlineStr">
        <is>
          <t>Đúng 3 phản hồi 200 rsvped:true và 5 phản hồi 409; rsvpCount=3.</t>
        </is>
      </c>
      <c r="M57" s="15" t="inlineStr"/>
      <c r="N57" s="18" t="inlineStr">
        <is>
          <t>Chưa test</t>
        </is>
      </c>
      <c r="O57" s="15" t="inlineStr"/>
      <c r="P57" s="15" t="inlineStr"/>
      <c r="Q57" s="18" t="inlineStr">
        <is>
          <t>Chưa test</t>
        </is>
      </c>
      <c r="R57" s="15" t="inlineStr"/>
    </row>
    <row r="58" ht="90" customHeight="1">
      <c r="A58" s="14" t="inlineStr">
        <is>
          <t>TC-EVENT-057</t>
        </is>
      </c>
      <c r="B58" s="15" t="inlineStr">
        <is>
          <t>Lịch &amp; Sự kiện</t>
        </is>
      </c>
      <c r="C58" s="15" t="inlineStr">
        <is>
          <t>Đăng ký tham dự (RSVP)</t>
        </is>
      </c>
      <c r="D58" s="15" t="inlineStr">
        <is>
          <t>Người đã RSVP hủy khi sự kiện đầy để nhường chỗ, người khác RSVP được ngay</t>
        </is>
      </c>
      <c r="E58" s="15" t="inlineStr">
        <is>
          <t>Chức năng</t>
        </is>
      </c>
      <c r="F58" s="20" t="inlineStr">
        <is>
          <t>Trung bình</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58" s="15" t="inlineStr">
        <is>
          <t>-</t>
        </is>
      </c>
      <c r="L58" s="15" t="inlineStr">
        <is>
          <t>member1: 200 (chỗ trống nhờ member2 hủy). member3: 200 nếu còn chỗ, 409 nếu đủ 3. rsvpCount không vượt 3.</t>
        </is>
      </c>
      <c r="M58" s="15" t="inlineStr"/>
      <c r="N58" s="18" t="inlineStr">
        <is>
          <t>Chưa test</t>
        </is>
      </c>
      <c r="O58" s="15" t="inlineStr"/>
      <c r="P58" s="15" t="inlineStr"/>
      <c r="Q58" s="18" t="inlineStr">
        <is>
          <t>Chưa test</t>
        </is>
      </c>
      <c r="R58" s="15" t="inlineStr"/>
    </row>
    <row r="59" ht="30" customHeight="1">
      <c r="A59" s="14" t="inlineStr">
        <is>
          <t>TC-EVENT-058</t>
        </is>
      </c>
      <c r="B59" s="15" t="inlineStr">
        <is>
          <t>Lịch &amp; Sự kiện</t>
        </is>
      </c>
      <c r="C59" s="15" t="inlineStr">
        <is>
          <t>Đăng ký tham dự (RSVP)</t>
        </is>
      </c>
      <c r="D59" s="15" t="inlineStr">
        <is>
          <t>Sự kiện đã qua: RSVP bị 400 "Sự kiện đã diễn ra, không thể đăng ký"</t>
        </is>
      </c>
      <c r="E59" s="15" t="inlineStr">
        <is>
          <t>Chức năng</t>
        </is>
      </c>
      <c r="F59" s="16" t="inlineStr">
        <is>
          <t>Cao</t>
        </is>
      </c>
      <c r="G59" s="17" t="inlineStr">
        <is>
          <t>Đã hoàn thiện</t>
        </is>
      </c>
      <c r="H59" s="17" t="inlineStr">
        <is>
          <t>Có</t>
        </is>
      </c>
      <c r="I5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9" s="15" t="inlineStr">
        <is>
          <t>1. Đăng nhập member3@sofinhub.test (POST /api/auth/login, lấy accessToken, gắn header Authorization: Bearer).
2. POST /api/events/seed-event-photo-past/rsvp</t>
        </is>
      </c>
      <c r="K59" s="15" t="inlineStr">
        <is>
          <t>-</t>
        </is>
      </c>
      <c r="L59" s="15" t="inlineStr">
        <is>
          <t>400 BAD_REQUEST, message "Sự kiện đã diễn ra, không thể đăng ký"; rsvpCount giữ 3; không cộng điểm. UI: nhãn "Đã diễn ra", nút đăng ký bị khóa.</t>
        </is>
      </c>
      <c r="M59" s="15" t="inlineStr"/>
      <c r="N59" s="18" t="inlineStr">
        <is>
          <t>Chưa test</t>
        </is>
      </c>
      <c r="O59" s="15" t="inlineStr"/>
      <c r="P59" s="15" t="inlineStr"/>
      <c r="Q59" s="18" t="inlineStr">
        <is>
          <t>Chưa test</t>
        </is>
      </c>
      <c r="R59" s="15" t="inlineStr"/>
    </row>
    <row r="60" ht="45" customHeight="1">
      <c r="A60" s="14" t="inlineStr">
        <is>
          <t>TC-EVENT-059</t>
        </is>
      </c>
      <c r="B60" s="15" t="inlineStr">
        <is>
          <t>Lịch &amp; Sự kiện</t>
        </is>
      </c>
      <c r="C60" s="15" t="inlineStr">
        <is>
          <t>Đăng ký tham dự (RSVP)</t>
        </is>
      </c>
      <c r="D60" s="15" t="inlineStr">
        <is>
          <t>Sự kiện đã qua: người đã RSVP vẫn gọi được DELETE rsvp, POST toggle bị chặn</t>
        </is>
      </c>
      <c r="E60" s="15" t="inlineStr">
        <is>
          <t>Chức năng</t>
        </is>
      </c>
      <c r="F60" s="20" t="inlineStr">
        <is>
          <t>Trung bình</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Đăng nhập member1@sofinhub.test (POST /api/auth/login, lấy accessToken, gắn header Authorization: Bearer).
2. POST /api/events/seed-event-photo-past/rsvp (đang RSVP ở seed)
3. DELETE /api/events/seed-event-photo-past/rsvp</t>
        </is>
      </c>
      <c r="K60" s="15" t="inlineStr">
        <is>
          <t>-</t>
        </is>
      </c>
      <c r="L60" s="15" t="inlineStr">
        <is>
          <t>POST: 400 (hủy bằng toggle cũng bị chặn). DELETE: 200 {rsvped:false, rsvpCount:2} (hủy tường minh không kiểm ngày — ghi nhận).</t>
        </is>
      </c>
      <c r="M60" s="15" t="inlineStr"/>
      <c r="N60" s="18" t="inlineStr">
        <is>
          <t>Chưa test</t>
        </is>
      </c>
      <c r="O60" s="15" t="inlineStr"/>
      <c r="P60" s="15" t="inlineStr"/>
      <c r="Q60" s="18" t="inlineStr">
        <is>
          <t>Chưa test</t>
        </is>
      </c>
      <c r="R60" s="15" t="inlineStr"/>
    </row>
    <row r="61" ht="45" customHeight="1">
      <c r="A61" s="14" t="inlineStr">
        <is>
          <t>TC-EVENT-060</t>
        </is>
      </c>
      <c r="B61" s="15" t="inlineStr">
        <is>
          <t>Lịch &amp; Sự kiện</t>
        </is>
      </c>
      <c r="C61" s="15" t="inlineStr">
        <is>
          <t>Đăng ký tham dự (RSVP)</t>
        </is>
      </c>
      <c r="D61" s="15" t="inlineStr">
        <is>
          <t>RSVP sự kiện không tồn tại trả 404; DELETE rsvp không tồn tại cũng 404</t>
        </is>
      </c>
      <c r="E61" s="15" t="inlineStr">
        <is>
          <t>Chức năng</t>
        </is>
      </c>
      <c r="F61" s="17" t="inlineStr">
        <is>
          <t>Thấp</t>
        </is>
      </c>
      <c r="G61" s="17" t="inlineStr">
        <is>
          <t>Đã hoàn thiện</t>
        </is>
      </c>
      <c r="H61" s="17" t="inlineStr">
        <is>
          <t>Có</t>
        </is>
      </c>
      <c r="I61" s="15" t="inlineStr">
        <is>
          <t>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POST /api/events/khong-co/rsvp
3. DELETE /api/events/khong-co/rsvp</t>
        </is>
      </c>
      <c r="K61" s="15" t="inlineStr">
        <is>
          <t>-</t>
        </is>
      </c>
      <c r="L61" s="15" t="inlineStr">
        <is>
          <t>Cả hai 404 "Không tìm thấy sự kiện".</t>
        </is>
      </c>
      <c r="M61" s="15" t="inlineStr"/>
      <c r="N61" s="18" t="inlineStr">
        <is>
          <t>Chưa test</t>
        </is>
      </c>
      <c r="O61" s="15" t="inlineStr"/>
      <c r="P61" s="15" t="inlineStr"/>
      <c r="Q61" s="18" t="inlineStr">
        <is>
          <t>Chưa test</t>
        </is>
      </c>
      <c r="R61" s="15" t="inlineStr"/>
    </row>
    <row r="62" ht="60" customHeight="1">
      <c r="A62" s="14" t="inlineStr">
        <is>
          <t>TC-EVENT-061</t>
        </is>
      </c>
      <c r="B62" s="15" t="inlineStr">
        <is>
          <t>Lịch &amp; Sự kiện</t>
        </is>
      </c>
      <c r="C62" s="15" t="inlineStr">
        <is>
          <t>Đăng ký tham dự (RSVP)</t>
        </is>
      </c>
      <c r="D62" s="15" t="inlineStr">
        <is>
          <t>RSVP bởi người ngoài cộng đồng/banned/khách bị chặn; Platform Admin chưa ghi danh vẫn RSVP được</t>
        </is>
      </c>
      <c r="E62" s="15" t="inlineStr">
        <is>
          <t>Bảo mật</t>
        </is>
      </c>
      <c r="F62" s="16" t="inlineStr">
        <is>
          <t>Cao</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newbie POST /api/events/seed-event-photo-limited/rsvp
2. banned POST
3. không token POST
4. admin POST (rồi POST lần 2 để hủy chỗ)</t>
        </is>
      </c>
      <c r="K62" s="15" t="inlineStr">
        <is>
          <t>-</t>
        </is>
      </c>
      <c r="L62"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62" s="15" t="inlineStr"/>
      <c r="N62" s="18" t="inlineStr">
        <is>
          <t>Chưa test</t>
        </is>
      </c>
      <c r="O62" s="15" t="inlineStr"/>
      <c r="P62" s="15" t="inlineStr"/>
      <c r="Q62" s="18" t="inlineStr">
        <is>
          <t>Chưa test</t>
        </is>
      </c>
      <c r="R62" s="15" t="inlineStr"/>
    </row>
    <row r="63" ht="45" customHeight="1">
      <c r="A63" s="14" t="inlineStr">
        <is>
          <t>TC-EVENT-062</t>
        </is>
      </c>
      <c r="B63" s="15" t="inlineStr">
        <is>
          <t>Lịch &amp; Sự kiện</t>
        </is>
      </c>
      <c r="C63" s="15" t="inlineStr">
        <is>
          <t>Đăng ký tham dự (RSVP)</t>
        </is>
      </c>
      <c r="D63" s="15" t="inlineStr">
        <is>
          <t>RSVP + hủy nhiều lần cộng điểm mỗi lần đăng ký (ghi nhận rủi ro farm điểm)</t>
        </is>
      </c>
      <c r="E63" s="15" t="inlineStr">
        <is>
          <t>Bảo mật</t>
        </is>
      </c>
      <c r="F63" s="17" t="inlineStr">
        <is>
          <t>Thấp</t>
        </is>
      </c>
      <c r="G63" s="17" t="inlineStr">
        <is>
          <t>Đã hoàn thiện</t>
        </is>
      </c>
      <c r="H63" s="17" t="inlineStr">
        <is>
          <t>Có</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member3@sofinhub.test (POST /api/auth/login, lấy accessToken, gắn header Authorization: Bearer).
2. Ghi điểm; RSVP rồi hủy (DELETE) 5 lần trên sự kiện sức chứa lớn (seed-event-photo-qa)
3. Đọc điểm</t>
        </is>
      </c>
      <c r="K63" s="15" t="inlineStr">
        <is>
          <t>-</t>
        </is>
      </c>
      <c r="L63" s="15" t="inlineStr">
        <is>
          <t>Điểm tăng +5 (1 điểm mỗi lần RSVP, không thu hồi khi hủy, không dedupe) — hành vi tạm, chưa chốt.</t>
        </is>
      </c>
      <c r="M63" s="15" t="inlineStr"/>
      <c r="N63" s="18" t="inlineStr">
        <is>
          <t>Chưa test</t>
        </is>
      </c>
      <c r="O63" s="15" t="inlineStr"/>
      <c r="P63" s="15" t="inlineStr"/>
      <c r="Q63" s="18" t="inlineStr">
        <is>
          <t>Chưa test</t>
        </is>
      </c>
      <c r="R63" s="15" t="inlineStr"/>
    </row>
    <row r="64" ht="45" customHeight="1">
      <c r="A64" s="14" t="inlineStr">
        <is>
          <t>TC-EVENT-063</t>
        </is>
      </c>
      <c r="B64" s="15" t="inlineStr">
        <is>
          <t>Lịch &amp; Sự kiện</t>
        </is>
      </c>
      <c r="C64" s="15" t="inlineStr">
        <is>
          <t>Đăng ký tham dự (RSVP)</t>
        </is>
      </c>
      <c r="D64" s="15" t="inlineStr">
        <is>
          <t>UI: hộp thoại chi tiết - đăng ký, đổi nhãn 'Đã đăng ký — bấm để hủy', hủy</t>
        </is>
      </c>
      <c r="E64" s="15" t="inlineStr">
        <is>
          <t>Giao diện</t>
        </is>
      </c>
      <c r="F64" s="16" t="inlineStr">
        <is>
          <t>Cao</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member3, mở lịch, bấm "Workshop chụp chân dung ngoài trời"
2. Bấm "Đăng ký tham dự"
3. Bấm lại nút "Đã đăng ký — bấm để hủy"</t>
        </is>
      </c>
      <c r="K64" s="15" t="inlineStr">
        <is>
          <t>-</t>
        </is>
      </c>
      <c r="L64" s="15" t="inlineStr">
        <is>
          <t>Sau bước 2: nút đổi nhãn, số đăng ký 3/3, nhãn "Đã đầy chỗ" xuất hiện cho người khác. Sau bước 3: quay lại 2/3 và "Đăng ký tham dự".</t>
        </is>
      </c>
      <c r="M64" s="15" t="inlineStr"/>
      <c r="N64" s="18" t="inlineStr">
        <is>
          <t>Chưa test</t>
        </is>
      </c>
      <c r="O64" s="15" t="inlineStr"/>
      <c r="P64" s="15" t="inlineStr"/>
      <c r="Q64" s="18" t="inlineStr">
        <is>
          <t>Chưa test</t>
        </is>
      </c>
      <c r="R64" s="15" t="inlineStr"/>
    </row>
    <row r="65" ht="30" customHeight="1">
      <c r="A65" s="14" t="inlineStr">
        <is>
          <t>TC-EVENT-064</t>
        </is>
      </c>
      <c r="B65" s="15" t="inlineStr">
        <is>
          <t>Lịch &amp; Sự kiện</t>
        </is>
      </c>
      <c r="C65" s="15" t="inlineStr">
        <is>
          <t>Đăng ký tham dự (RSVP)</t>
        </is>
      </c>
      <c r="D65" s="15" t="inlineStr">
        <is>
          <t>UI: sự kiện đầy chỗ khóa nút với nhãn "Đã đầy chỗ"; lỗi 409 hiện đỏ khi đầy giữa chừng</t>
        </is>
      </c>
      <c r="E65" s="15" t="inlineStr">
        <is>
          <t>Giao diện</t>
        </is>
      </c>
      <c r="F65" s="20" t="inlineStr">
        <is>
          <t>Trung bình</t>
        </is>
      </c>
      <c r="G65" s="17" t="inlineStr">
        <is>
          <t>Đã hoàn thiện</t>
        </is>
      </c>
      <c r="H65" s="20" t="inlineStr">
        <is>
          <t>Một phần</t>
        </is>
      </c>
      <c r="I6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5" s="15" t="inlineStr">
        <is>
          <t>1. Đăng nhập member3, mở sự kiện "Photowalk phố cổ (đã đủ người)"
2. Xác nhận nút; ở tab khác cho member1 RSVP chỗ cuối của Workshop rồi để member3 bấm đăng ký Workshop với dữ liệu cũ</t>
        </is>
      </c>
      <c r="K65" s="15" t="inlineStr">
        <is>
          <t>-</t>
        </is>
      </c>
      <c r="L65" s="15" t="inlineStr">
        <is>
          <t>Photowalk: nhãn đỏ "Đã đầy chỗ", nút vô hiệu. Trường hợp đầy giữa chừng: chữ đỏ "Sự kiện đã đủ số lượng đăng ký" dưới nút.</t>
        </is>
      </c>
      <c r="M65" s="15" t="inlineStr"/>
      <c r="N65" s="18" t="inlineStr">
        <is>
          <t>Chưa test</t>
        </is>
      </c>
      <c r="O65" s="15" t="inlineStr"/>
      <c r="P65" s="15" t="inlineStr"/>
      <c r="Q65" s="18" t="inlineStr">
        <is>
          <t>Chưa test</t>
        </is>
      </c>
      <c r="R65" s="15" t="inlineStr"/>
    </row>
    <row r="66" ht="30" customHeight="1">
      <c r="A66" s="14" t="inlineStr">
        <is>
          <t>TC-EVENT-065</t>
        </is>
      </c>
      <c r="B66" s="15" t="inlineStr">
        <is>
          <t>Lịch &amp; Sự kiện</t>
        </is>
      </c>
      <c r="C66" s="15" t="inlineStr">
        <is>
          <t>Xuất lịch (.ics)</t>
        </is>
      </c>
      <c r="D66" s="15" t="inlineStr">
        <is>
          <t>Tải .ics một sự kiện: header Content-Type, Content-Disposition và nội dung cơ bản</t>
        </is>
      </c>
      <c r="E66" s="15" t="inlineStr">
        <is>
          <t>Chức năng</t>
        </is>
      </c>
      <c r="F66" s="16" t="inlineStr">
        <is>
          <t>Cao</t>
        </is>
      </c>
      <c r="G66" s="17" t="inlineStr">
        <is>
          <t>Đã hoàn thiện</t>
        </is>
      </c>
      <c r="H66" s="17" t="inlineStr">
        <is>
          <t>Có</t>
        </is>
      </c>
      <c r="I6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6" s="15" t="inlineStr">
        <is>
          <t>1. Đăng nhập member1@sofinhub.test (POST /api/auth/login, lấy accessToken, gắn header Authorization: Bearer).
2. GET /api/events/seed-event-photo-limited/ics, xem response headers và body</t>
        </is>
      </c>
      <c r="K66" s="15" t="inlineStr">
        <is>
          <t>-</t>
        </is>
      </c>
      <c r="L66"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66" s="15" t="inlineStr"/>
      <c r="N66" s="18" t="inlineStr">
        <is>
          <t>Chưa test</t>
        </is>
      </c>
      <c r="O66" s="15" t="inlineStr"/>
      <c r="P66" s="15" t="inlineStr"/>
      <c r="Q66" s="18" t="inlineStr">
        <is>
          <t>Chưa test</t>
        </is>
      </c>
      <c r="R66" s="15" t="inlineStr"/>
    </row>
    <row r="67" ht="45" customHeight="1">
      <c r="A67" s="14" t="inlineStr">
        <is>
          <t>TC-EVENT-066</t>
        </is>
      </c>
      <c r="B67" s="15" t="inlineStr">
        <is>
          <t>Lịch &amp; Sự kiện</t>
        </is>
      </c>
      <c r="C67" s="15" t="inlineStr">
        <is>
          <t>Xuất lịch (.ics)</t>
        </is>
      </c>
      <c r="D67" s="15" t="inlineStr">
        <is>
          <t>Nội dung VEVENT: UID ổn định, DTSTART/DTEND UTC (+1 giờ), SUMMARY, LOCATION, DESCRIPTION có host và múi giờ</t>
        </is>
      </c>
      <c r="E67" s="15" t="inlineStr">
        <is>
          <t>Chức năng</t>
        </is>
      </c>
      <c r="F67" s="16" t="inlineStr">
        <is>
          <t>Cao</t>
        </is>
      </c>
      <c r="G67" s="17" t="inlineStr">
        <is>
          <t>Đã hoàn thiện</t>
        </is>
      </c>
      <c r="H67" s="17" t="inlineStr">
        <is>
          <t>Có</t>
        </is>
      </c>
      <c r="I6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7" s="15" t="inlineStr">
        <is>
          <t>1. Đăng nhập member1@sofinhub.test (POST /api/auth/login, lấy accessToken, gắn header Authorization: Bearer).
2. GET /api/events/seed-event-photo-limited/ics
3. Giải mã (unfold) các dòng</t>
        </is>
      </c>
      <c r="K67" s="15" t="inlineStr">
        <is>
          <t>-</t>
        </is>
      </c>
      <c r="L67"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67" s="15" t="inlineStr"/>
      <c r="N67" s="18" t="inlineStr">
        <is>
          <t>Chưa test</t>
        </is>
      </c>
      <c r="O67" s="15" t="inlineStr"/>
      <c r="P67" s="15" t="inlineStr"/>
      <c r="Q67" s="18" t="inlineStr">
        <is>
          <t>Chưa test</t>
        </is>
      </c>
      <c r="R67" s="15" t="inlineStr"/>
    </row>
    <row r="68" ht="45" customHeight="1">
      <c r="A68" s="14" t="inlineStr">
        <is>
          <t>TC-EVENT-067</t>
        </is>
      </c>
      <c r="B68" s="15" t="inlineStr">
        <is>
          <t>Lịch &amp; Sự kiện</t>
        </is>
      </c>
      <c r="C68" s="15" t="inlineStr">
        <is>
          <t>Xuất lịch (.ics)</t>
        </is>
      </c>
      <c r="D68" s="15" t="inlineStr">
        <is>
          <t>Tiêu đề chứa ký tự đặc biệt được escape đúng RFC 5545 (dấu ; , \ và xuống dòng)</t>
        </is>
      </c>
      <c r="E68" s="15" t="inlineStr">
        <is>
          <t>Chức năng</t>
        </is>
      </c>
      <c r="F68" s="16" t="inlineStr">
        <is>
          <t>Cao</t>
        </is>
      </c>
      <c r="G68" s="17" t="inlineStr">
        <is>
          <t>Đã hoàn thiện</t>
        </is>
      </c>
      <c r="H68" s="17" t="inlineStr">
        <is>
          <t>Có</t>
        </is>
      </c>
      <c r="I68" s="15" t="inlineStr">
        <is>
          <t>Tài khoản seed @sofinhub.test / Passw0rd!x: owner, cadmin (admin photo), mod, member1, member2, member3 (member photo), newbie (chưa ở cộng đồng nào), banned (bị cấm khỏi photo), admin (Platform Admin, KHÔNG ghi danh photo).</t>
        </is>
      </c>
      <c r="J68" s="15" t="inlineStr">
        <is>
          <t>1. Đăng nhập mod@sofinhub.test (POST /api/auth/login, lấy accessToken, gắn header Authorization: Bearer).
2. POST sự kiện title "Họp; nhóm, A\B" và description có 2 dòng
3. GET /api/events/&lt;id&gt;/ics</t>
        </is>
      </c>
      <c r="K68" s="15" t="inlineStr">
        <is>
          <t>title: "Họp; nhóm, A\B" ; description: "Dòng 1\nDòng 2"</t>
        </is>
      </c>
      <c r="L68" s="15" t="inlineStr">
        <is>
          <t>SUMMARY:Họp\; nhóm\, A\\B ; DESCRIPTION chứa "Dòng 1\nDòng 2" (xuống dòng thành ký tự \n, không xuống dòng thật); import vào Google/Apple Calendar hiển thị đúng tiêu đề gốc.</t>
        </is>
      </c>
      <c r="M68" s="15" t="inlineStr"/>
      <c r="N68" s="18" t="inlineStr">
        <is>
          <t>Chưa test</t>
        </is>
      </c>
      <c r="O68" s="15" t="inlineStr"/>
      <c r="P68" s="15" t="inlineStr"/>
      <c r="Q68" s="18" t="inlineStr">
        <is>
          <t>Chưa test</t>
        </is>
      </c>
      <c r="R68" s="15" t="inlineStr"/>
    </row>
    <row r="69" ht="60" customHeight="1">
      <c r="A69" s="14" t="inlineStr">
        <is>
          <t>TC-EVENT-068</t>
        </is>
      </c>
      <c r="B69" s="15" t="inlineStr">
        <is>
          <t>Lịch &amp; Sự kiện</t>
        </is>
      </c>
      <c r="C69" s="15" t="inlineStr">
        <is>
          <t>Xuất lịch (.ics)</t>
        </is>
      </c>
      <c r="D69" s="15" t="inlineStr">
        <is>
          <t>Tiêu đề dài và tiếng Việt: gập dòng ≤ 75 octet, không cắt ngang ký tự UTF-8</t>
        </is>
      </c>
      <c r="E69" s="15" t="inlineStr">
        <is>
          <t>Chức năng</t>
        </is>
      </c>
      <c r="F69" s="20" t="inlineStr">
        <is>
          <t>Trung bình</t>
        </is>
      </c>
      <c r="G69" s="17" t="inlineStr">
        <is>
          <t>Đã hoàn thiện</t>
        </is>
      </c>
      <c r="H69" s="17" t="inlineStr">
        <is>
          <t>Có</t>
        </is>
      </c>
      <c r="I69" s="15" t="inlineStr">
        <is>
          <t>Tài khoản seed @sofinhub.test / Passw0rd!x: owner, cadmin (admin photo), mod, member1, member2, member3 (member photo), newbie (chưa ở cộng đồng nào), banned (bị cấm khỏi photo), admin (Platform Admin, KHÔNG ghi danh photo).</t>
        </is>
      </c>
      <c r="J69" s="15" t="inlineStr">
        <is>
          <t>1. Đăng nhập mod@sofinhub.test (POST /api/auth/login, lấy accessToken, gắn header Authorization: Bearer).
2. Tạo sự kiện title dài 150 ký tự tiếng Việt có dấu (ví dụ lặp "Đêm nhạc Hà Nội")
3. GET .ics
4. Kiểm tra từng dòng</t>
        </is>
      </c>
      <c r="K69" s="15" t="inlineStr">
        <is>
          <t>-</t>
        </is>
      </c>
      <c r="L69" s="15" t="inlineStr">
        <is>
          <t>Mỗi dòng ≤ 75 byte; dòng gập bắt đầu bằng 1 khoảng trắng; ghép lại không mất/vỡ dấu tiếng Việt; import không lỗi.</t>
        </is>
      </c>
      <c r="M69" s="15" t="inlineStr"/>
      <c r="N69" s="18" t="inlineStr">
        <is>
          <t>Chưa test</t>
        </is>
      </c>
      <c r="O69" s="15" t="inlineStr"/>
      <c r="P69" s="15" t="inlineStr"/>
      <c r="Q69" s="18" t="inlineStr">
        <is>
          <t>Chưa test</t>
        </is>
      </c>
      <c r="R69" s="15" t="inlineStr"/>
    </row>
    <row r="70" ht="45" customHeight="1">
      <c r="A70" s="14" t="inlineStr">
        <is>
          <t>TC-EVENT-069</t>
        </is>
      </c>
      <c r="B70" s="15" t="inlineStr">
        <is>
          <t>Lịch &amp; Sự kiện</t>
        </is>
      </c>
      <c r="C70" s="15" t="inlineStr">
        <is>
          <t>Xuất lịch (.ics)</t>
        </is>
      </c>
      <c r="D70" s="15" t="inlineStr">
        <is>
          <t>Tiêu đề chứa HTML/CRLF/ký tự điều khiển không chèn được dòng iCal mới (header injection)</t>
        </is>
      </c>
      <c r="E70" s="15" t="inlineStr">
        <is>
          <t>Bảo mật</t>
        </is>
      </c>
      <c r="F70" s="16" t="inlineStr">
        <is>
          <t>Cao</t>
        </is>
      </c>
      <c r="G70" s="17" t="inlineStr">
        <is>
          <t>Đã hoàn thiện</t>
        </is>
      </c>
      <c r="H70" s="17" t="inlineStr">
        <is>
          <t>Có</t>
        </is>
      </c>
      <c r="I70" s="15" t="inlineStr">
        <is>
          <t>Tài khoản seed @sofinhub.test / Passw0rd!x: owner, cadmin (admin photo), mod, member1, member2, member3 (member photo), newbie (chưa ở cộng đồng nào), banned (bị cấm khỏi photo), admin (Platform Admin, KHÔNG ghi danh photo).</t>
        </is>
      </c>
      <c r="J70" s="15" t="inlineStr">
        <is>
          <t>1. Đăng nhập mod@sofinhub.test (POST /api/auth/login, lấy accessToken, gắn header Authorization: Bearer).
2. Tạo sự kiện title "A\r\nATTENDEE:mailto:x@y" (qua API, JSON \r\n)
3. GET .ics</t>
        </is>
      </c>
      <c r="K70" s="15" t="inlineStr">
        <is>
          <t>-</t>
        </is>
      </c>
      <c r="L70" s="15" t="inlineStr">
        <is>
          <t>Xuống dòng bị escape thành \n bên trong SUMMARY; không xuất hiện dòng ATTENDEE độc lập trong file.</t>
        </is>
      </c>
      <c r="M70" s="15" t="inlineStr"/>
      <c r="N70" s="18" t="inlineStr">
        <is>
          <t>Chưa test</t>
        </is>
      </c>
      <c r="O70" s="15" t="inlineStr"/>
      <c r="P70" s="15" t="inlineStr"/>
      <c r="Q70" s="18" t="inlineStr">
        <is>
          <t>Chưa test</t>
        </is>
      </c>
      <c r="R70" s="15" t="inlineStr"/>
    </row>
    <row r="71" ht="30" customHeight="1">
      <c r="A71" s="14" t="inlineStr">
        <is>
          <t>TC-EVENT-070</t>
        </is>
      </c>
      <c r="B71" s="15" t="inlineStr">
        <is>
          <t>Lịch &amp; Sự kiện</t>
        </is>
      </c>
      <c r="C71" s="15" t="inlineStr">
        <is>
          <t>Xuất lịch (.ics)</t>
        </is>
      </c>
      <c r="D71" s="15" t="inlineStr">
        <is>
          <t>.ics cả cộng đồng: mọi sự kiện photo trong một VCALENDAR, tên tệp và tên lịch</t>
        </is>
      </c>
      <c r="E71" s="15" t="inlineStr">
        <is>
          <t>Chức năng</t>
        </is>
      </c>
      <c r="F71" s="16" t="inlineStr">
        <is>
          <t>Cao</t>
        </is>
      </c>
      <c r="G71" s="17" t="inlineStr">
        <is>
          <t>Đã hoàn thiện</t>
        </is>
      </c>
      <c r="H71" s="17" t="inlineStr">
        <is>
          <t>Có</t>
        </is>
      </c>
      <c r="I7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GET /api/courses/photo/events.ics</t>
        </is>
      </c>
      <c r="K71" s="15" t="inlineStr">
        <is>
          <t>-</t>
        </is>
      </c>
      <c r="L71" s="15" t="inlineStr">
        <is>
          <t>200; Content-Type text/calendar; charset=utf-8; Content-Disposition filename="photo-events.ics"; X-WR-CALNAME chứa "SofinHub — " + tên khóa photo; số VEVENT bằng số sự kiện của GET /courses/photo/events, mỗi UID duy nhất.</t>
        </is>
      </c>
      <c r="M71" s="15" t="inlineStr"/>
      <c r="N71" s="18" t="inlineStr">
        <is>
          <t>Chưa test</t>
        </is>
      </c>
      <c r="O71" s="15" t="inlineStr"/>
      <c r="P71" s="15" t="inlineStr"/>
      <c r="Q71" s="18" t="inlineStr">
        <is>
          <t>Chưa test</t>
        </is>
      </c>
      <c r="R71" s="15" t="inlineStr"/>
    </row>
    <row r="72" ht="30" customHeight="1">
      <c r="A72" s="14" t="inlineStr">
        <is>
          <t>TC-EVENT-071</t>
        </is>
      </c>
      <c r="B72" s="15" t="inlineStr">
        <is>
          <t>Lịch &amp; Sự kiện</t>
        </is>
      </c>
      <c r="C72" s="15" t="inlineStr">
        <is>
          <t>Xuất lịch (.ics)</t>
        </is>
      </c>
      <c r="D72" s="15" t="inlineStr">
        <is>
          <t>.ics của cộng đồng chưa có sự kiện: lịch rỗng hợp lệ</t>
        </is>
      </c>
      <c r="E72" s="15" t="inlineStr">
        <is>
          <t>Chức năng</t>
        </is>
      </c>
      <c r="F72" s="17" t="inlineStr">
        <is>
          <t>Thấp</t>
        </is>
      </c>
      <c r="G72" s="17" t="inlineStr">
        <is>
          <t>Đã hoàn thiện</t>
        </is>
      </c>
      <c r="H72" s="17" t="inlineStr">
        <is>
          <t>Có</t>
        </is>
      </c>
      <c r="I72"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72" s="15" t="inlineStr">
        <is>
          <t>1. Đăng nhập owner@sofinhub.test (POST /api/auth/login, lấy accessToken, gắn header Authorization: Bearer).
2. GET /api/courses/&lt;id&gt;/events.ics</t>
        </is>
      </c>
      <c r="K72" s="15" t="inlineStr">
        <is>
          <t>-</t>
        </is>
      </c>
      <c r="L72" s="15" t="inlineStr">
        <is>
          <t>200; file chỉ có BEGIN/END:VCALENDAR và header, 0 VEVENT; import không lỗi.</t>
        </is>
      </c>
      <c r="M72" s="15" t="inlineStr"/>
      <c r="N72" s="18" t="inlineStr">
        <is>
          <t>Chưa test</t>
        </is>
      </c>
      <c r="O72" s="15" t="inlineStr"/>
      <c r="P72" s="15" t="inlineStr"/>
      <c r="Q72" s="18" t="inlineStr">
        <is>
          <t>Chưa test</t>
        </is>
      </c>
      <c r="R72" s="15" t="inlineStr"/>
    </row>
    <row r="73" ht="60" customHeight="1">
      <c r="A73" s="14" t="inlineStr">
        <is>
          <t>TC-EVENT-072</t>
        </is>
      </c>
      <c r="B73" s="15" t="inlineStr">
        <is>
          <t>Lịch &amp; Sự kiện</t>
        </is>
      </c>
      <c r="C73" s="15" t="inlineStr">
        <is>
          <t>Xuất lịch (.ics)</t>
        </is>
      </c>
      <c r="D73" s="15" t="inlineStr">
        <is>
          <t>.ics: người ngoài cộng đồng, banned, khách và sự kiện không tồn tại</t>
        </is>
      </c>
      <c r="E73" s="15" t="inlineStr">
        <is>
          <t>Bảo mật</t>
        </is>
      </c>
      <c r="F73" s="16" t="inlineStr">
        <is>
          <t>Cao</t>
        </is>
      </c>
      <c r="G73" s="17" t="inlineStr">
        <is>
          <t>Đã hoàn thiện</t>
        </is>
      </c>
      <c r="H73" s="17" t="inlineStr">
        <is>
          <t>Có</t>
        </is>
      </c>
      <c r="I7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3" s="15" t="inlineStr">
        <is>
          <t>1. newbie GET /api/events/seed-event-photo-limited/ics
2. banned GET /api/courses/photo/events.ics
3. không token GET .ics
4. member1 GET /api/events/khong-co/ics</t>
        </is>
      </c>
      <c r="K73" s="15" t="inlineStr">
        <is>
          <t>-</t>
        </is>
      </c>
      <c r="L73" s="15" t="inlineStr">
        <is>
          <t>newbie, banned: 403 FORBIDDEN, message "Bạn cần tham gia cộng đồng này trước". Không token: 401 UNAUTHORIZED, message "Vui lòng đăng nhập để tiếp tục". Sự kiện không có: 404 "Không tìm thấy sự kiện".</t>
        </is>
      </c>
      <c r="M73" s="15" t="inlineStr"/>
      <c r="N73" s="18" t="inlineStr">
        <is>
          <t>Chưa test</t>
        </is>
      </c>
      <c r="O73" s="15" t="inlineStr"/>
      <c r="P73" s="15" t="inlineStr"/>
      <c r="Q73" s="18" t="inlineStr">
        <is>
          <t>Chưa test</t>
        </is>
      </c>
      <c r="R73" s="15" t="inlineStr"/>
    </row>
    <row r="74" ht="45" customHeight="1">
      <c r="A74" s="14" t="inlineStr">
        <is>
          <t>TC-EVENT-073</t>
        </is>
      </c>
      <c r="B74" s="15" t="inlineStr">
        <is>
          <t>Lịch &amp; Sự kiện</t>
        </is>
      </c>
      <c r="C74" s="15" t="inlineStr">
        <is>
          <t>Xuất lịch (.ics)</t>
        </is>
      </c>
      <c r="D74" s="15" t="inlineStr">
        <is>
          <t>Đường dẫn events.ics không bị nuốt bởi route /events/:id (thứ tự route)</t>
        </is>
      </c>
      <c r="E74" s="15" t="inlineStr">
        <is>
          <t>Tích hợp</t>
        </is>
      </c>
      <c r="F74" s="17" t="inlineStr">
        <is>
          <t>Thấp</t>
        </is>
      </c>
      <c r="G74" s="17" t="inlineStr">
        <is>
          <t>Đã hoàn thiện</t>
        </is>
      </c>
      <c r="H74" s="17" t="inlineStr">
        <is>
          <t>Có</t>
        </is>
      </c>
      <c r="I7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4" s="15" t="inlineStr">
        <is>
          <t>1. Đăng nhập member1@sofinhub.test (POST /api/auth/login, lấy accessToken, gắn header Authorization: Bearer).
2. GET /api/courses/photo/events.ics
3. GET /api/courses/photo/events</t>
        </is>
      </c>
      <c r="K74" s="15" t="inlineStr">
        <is>
          <t>-</t>
        </is>
      </c>
      <c r="L74" s="15" t="inlineStr">
        <is>
          <t>events.ics trả text/calendar (không phải JSON lỗi 404); events trả JSON danh sách.</t>
        </is>
      </c>
      <c r="M74" s="15" t="inlineStr"/>
      <c r="N74" s="18" t="inlineStr">
        <is>
          <t>Chưa test</t>
        </is>
      </c>
      <c r="O74" s="15" t="inlineStr"/>
      <c r="P74" s="15" t="inlineStr"/>
      <c r="Q74" s="18" t="inlineStr">
        <is>
          <t>Chưa test</t>
        </is>
      </c>
      <c r="R74" s="15" t="inlineStr"/>
    </row>
    <row r="75" ht="60" customHeight="1">
      <c r="A75" s="14" t="inlineStr">
        <is>
          <t>TC-EVENT-074</t>
        </is>
      </c>
      <c r="B75" s="15" t="inlineStr">
        <is>
          <t>Lịch &amp; Sự kiện</t>
        </is>
      </c>
      <c r="C75" s="15" t="inlineStr">
        <is>
          <t>Xuất lịch (.ics)</t>
        </is>
      </c>
      <c r="D75" s="15" t="inlineStr">
        <is>
          <t>Sửa sự kiện rồi tải lại .ics: SEQUENCE/DTSTART cập nhật, UID giữ nguyên</t>
        </is>
      </c>
      <c r="E75" s="15" t="inlineStr">
        <is>
          <t>Chức năng</t>
        </is>
      </c>
      <c r="F75" s="20" t="inlineStr">
        <is>
          <t>Trung bình</t>
        </is>
      </c>
      <c r="G75" s="17" t="inlineStr">
        <is>
          <t>Đã hoàn thiện</t>
        </is>
      </c>
      <c r="H75" s="17" t="inlineStr">
        <is>
          <t>Có</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Đăng nhập mod@sofinhub.test (POST /api/auth/login, lấy accessToken, gắn header Authorization: Bearer).
2. Tải .ics của sự kiện A
3. PATCH title và startAt
4. Tải .ics lại và so sánh</t>
        </is>
      </c>
      <c r="K75" s="15" t="inlineStr">
        <is>
          <t>-</t>
        </is>
      </c>
      <c r="L75" s="15" t="inlineStr">
        <is>
          <t>UID không đổi; SUMMARY, DTSTART đổi; SEQUENCE tăng (dựa vào updatedAt) để ứng dụng lịch nhận biết bản cập nhật.</t>
        </is>
      </c>
      <c r="M75" s="15" t="inlineStr"/>
      <c r="N75" s="18" t="inlineStr">
        <is>
          <t>Chưa test</t>
        </is>
      </c>
      <c r="O75" s="15" t="inlineStr"/>
      <c r="P75" s="15" t="inlineStr"/>
      <c r="Q75" s="18" t="inlineStr">
        <is>
          <t>Chưa test</t>
        </is>
      </c>
      <c r="R75" s="15" t="inlineStr"/>
    </row>
    <row r="76" ht="60" customHeight="1">
      <c r="A76" s="14" t="inlineStr">
        <is>
          <t>TC-EVENT-075</t>
        </is>
      </c>
      <c r="B76" s="15" t="inlineStr">
        <is>
          <t>Lịch &amp; Sự kiện</t>
        </is>
      </c>
      <c r="C76" s="15" t="inlineStr">
        <is>
          <t>Xuất lịch (.ics)</t>
        </is>
      </c>
      <c r="D76" s="15" t="inlineStr">
        <is>
          <t>Xóa sự kiện không phát METHOD:CANCEL cho lịch đã nhập (giới hạn đã biết)</t>
        </is>
      </c>
      <c r="E76" s="15" t="inlineStr">
        <is>
          <t>Chức năng</t>
        </is>
      </c>
      <c r="F76" s="17" t="inlineStr">
        <is>
          <t>Thấp</t>
        </is>
      </c>
      <c r="G76" s="17" t="inlineStr">
        <is>
          <t>Đã hoàn thiện</t>
        </is>
      </c>
      <c r="H76" s="16" t="inlineStr">
        <is>
          <t>Không</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mod@sofinhub.test (POST /api/auth/login, lấy accessToken, gắn header Authorization: Bearer).
2. Nhập .ics vào lịch ngoài
3. Xóa sự kiện trên hệ thống
4. Kiểm tra lịch ngoài</t>
        </is>
      </c>
      <c r="K76" s="15" t="inlineStr">
        <is>
          <t>-</t>
        </is>
      </c>
      <c r="L76" s="15" t="inlineStr">
        <is>
          <t>Sự kiện vẫn còn trong lịch ngoài (tài liệu ghi rõ chưa hỗ trợ CANCEL); .ics cộng đồng tải lại thì không còn VEVENT đó.</t>
        </is>
      </c>
      <c r="M76" s="15" t="inlineStr"/>
      <c r="N76" s="18" t="inlineStr">
        <is>
          <t>Chưa test</t>
        </is>
      </c>
      <c r="O76" s="15" t="inlineStr"/>
      <c r="P76" s="15" t="inlineStr"/>
      <c r="Q76" s="18" t="inlineStr">
        <is>
          <t>Chưa test</t>
        </is>
      </c>
      <c r="R76" s="15" t="inlineStr"/>
    </row>
    <row r="77" ht="45" customHeight="1">
      <c r="A77" s="14" t="inlineStr">
        <is>
          <t>TC-EVENT-076</t>
        </is>
      </c>
      <c r="B77" s="15" t="inlineStr">
        <is>
          <t>Lịch &amp; Sự kiện</t>
        </is>
      </c>
      <c r="C77" s="15" t="inlineStr">
        <is>
          <t>Xuất lịch (.ics)</t>
        </is>
      </c>
      <c r="D77" s="15" t="inlineStr">
        <is>
          <t>UI: nút "Thêm vào lịch (.ics)" và "Đăng ký lịch cả cộng đồng" tải đúng tệp và toast</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Đăng nhập member2, mở lịch
2. Mở chi tiết sự kiện &gt; "Thêm vào lịch (.ics)"
3. Đóng, bấm "Đăng ký lịch cả cộng đồng"</t>
        </is>
      </c>
      <c r="K77" s="15" t="inlineStr">
        <is>
          <t>-</t>
        </is>
      </c>
      <c r="L77" s="15" t="inlineStr">
        <is>
          <t>Bước 2: tải tệp .ics, toast "Đã tải file lịch (.ics)". Bước 3: tải tệp lịch cả cộng đồng, toast "Đã tải lịch cộng đồng (.ics)". Không mở tab mới (token gửi qua header).</t>
        </is>
      </c>
      <c r="M77" s="15" t="inlineStr"/>
      <c r="N77" s="18" t="inlineStr">
        <is>
          <t>Chưa test</t>
        </is>
      </c>
      <c r="O77" s="15" t="inlineStr"/>
      <c r="P77" s="15" t="inlineStr"/>
      <c r="Q77" s="18" t="inlineStr">
        <is>
          <t>Chưa test</t>
        </is>
      </c>
      <c r="R77" s="15" t="inlineStr"/>
    </row>
    <row r="78" ht="90" customHeight="1">
      <c r="A78" s="14" t="inlineStr">
        <is>
          <t>TC-EVENT-077</t>
        </is>
      </c>
      <c r="B78" s="15" t="inlineStr">
        <is>
          <t>Lịch &amp; Sự kiện</t>
        </is>
      </c>
      <c r="C78" s="15" t="inlineStr">
        <is>
          <t>Nhắc lịch</t>
        </is>
      </c>
      <c r="D78" s="15" t="inlineStr">
        <is>
          <t>Nhắc lịch: người đã RSVP nhận event_reminder khi còn ≤ 60 phút</t>
        </is>
      </c>
      <c r="E78" s="15" t="inlineStr">
        <is>
          <t>Tích hợp</t>
        </is>
      </c>
      <c r="F78" s="16" t="inlineStr">
        <is>
          <t>Cao</t>
        </is>
      </c>
      <c r="G78" s="17" t="inlineStr">
        <is>
          <t>Đã hoàn thiện</t>
        </is>
      </c>
      <c r="H78" s="20" t="inlineStr">
        <is>
          <t>Một phần</t>
        </is>
      </c>
      <c r="I78"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78" s="15" t="inlineStr">
        <is>
          <t>startAt = now + 30 phút</t>
        </is>
      </c>
      <c r="L78" s="15" t="inlineStr">
        <is>
          <t>member1 nhận thông báo type=event_reminder, title "Sự kiện sắp diễn ra", body `"&lt;tên&gt;" sẽ bắt đầu trong khoảng ~30 phút nữa` (số phút làm tròn), link /courses/photo/community/lich (đã sửa, trước đây /calendar).</t>
        </is>
      </c>
      <c r="M78" s="15" t="inlineStr"/>
      <c r="N78" s="18" t="inlineStr">
        <is>
          <t>Chưa test</t>
        </is>
      </c>
      <c r="O78" s="15" t="inlineStr"/>
      <c r="P78" s="15" t="inlineStr"/>
      <c r="Q78" s="18" t="inlineStr">
        <is>
          <t>Chưa test</t>
        </is>
      </c>
      <c r="R78" s="15" t="inlineStr"/>
    </row>
    <row r="79" ht="30" customHeight="1">
      <c r="A79" s="14" t="inlineStr">
        <is>
          <t>TC-EVENT-078</t>
        </is>
      </c>
      <c r="B79" s="15" t="inlineStr">
        <is>
          <t>Lịch &amp; Sự kiện</t>
        </is>
      </c>
      <c r="C79" s="15" t="inlineStr">
        <is>
          <t>Nhắc lịch</t>
        </is>
      </c>
      <c r="D79" s="15" t="inlineStr">
        <is>
          <t>Chống trùng: nhiều lần chạy bộ nhắc vẫn chỉ nhắc mỗi (sự kiện, user) một lần</t>
        </is>
      </c>
      <c r="E79" s="15" t="inlineStr">
        <is>
          <t>Tích hợp</t>
        </is>
      </c>
      <c r="F79" s="16" t="inlineStr">
        <is>
          <t>Cao</t>
        </is>
      </c>
      <c r="G79" s="17" t="inlineStr">
        <is>
          <t>Đã hoàn thiện</t>
        </is>
      </c>
      <c r="H79" s="20" t="inlineStr">
        <is>
          <t>Một phần</t>
        </is>
      </c>
      <c r="I79" s="15" t="inlineStr">
        <is>
          <t>Như trên. Tài khoản seed @sofinhub.test / Passw0rd!x: owner, cadmin (admin photo), mod, member1, member2, member3 (member photo), newbie (chưa ở cộng đồng nào), banned (bị cấm khỏi photo), admin (Platform Admin, KHÔNG ghi danh photo).</t>
        </is>
      </c>
      <c r="J79" s="15" t="inlineStr">
        <is>
          <t>1. Sau khi member1 nhận nhắc, đợi thêm 3 chu kỳ (~3 phút)
2. GET /api/notifications lọc type=event_reminder cho sự kiện đó</t>
        </is>
      </c>
      <c r="K79" s="15" t="inlineStr">
        <is>
          <t>-</t>
        </is>
      </c>
      <c r="L79" s="15" t="inlineStr">
        <is>
          <t>Vẫn đúng 1 thông báo event_reminder cho member1 với sự kiện đó (cột remindedAt được ghi).</t>
        </is>
      </c>
      <c r="M79" s="15" t="inlineStr"/>
      <c r="N79" s="18" t="inlineStr">
        <is>
          <t>Chưa test</t>
        </is>
      </c>
      <c r="O79" s="15" t="inlineStr"/>
      <c r="P79" s="15" t="inlineStr"/>
      <c r="Q79" s="18" t="inlineStr">
        <is>
          <t>Chưa test</t>
        </is>
      </c>
      <c r="R79" s="15" t="inlineStr"/>
    </row>
    <row r="80" ht="45" customHeight="1">
      <c r="A80" s="14" t="inlineStr">
        <is>
          <t>TC-EVENT-079</t>
        </is>
      </c>
      <c r="B80" s="15" t="inlineStr">
        <is>
          <t>Lịch &amp; Sự kiện</t>
        </is>
      </c>
      <c r="C80" s="15" t="inlineStr">
        <is>
          <t>Nhắc lịch</t>
        </is>
      </c>
      <c r="D80" s="15" t="inlineStr">
        <is>
          <t>Chỉ người đã RSVP được nhắc; người không RSVP hoặc đã hủy không nhận</t>
        </is>
      </c>
      <c r="E80" s="15" t="inlineStr">
        <is>
          <t>Tích hợp</t>
        </is>
      </c>
      <c r="F80" s="16" t="inlineStr">
        <is>
          <t>Cao</t>
        </is>
      </c>
      <c r="G80" s="17" t="inlineStr">
        <is>
          <t>Đã hoàn thiện</t>
        </is>
      </c>
      <c r="H80" s="20" t="inlineStr">
        <is>
          <t>Một phần</t>
        </is>
      </c>
      <c r="I80" s="15" t="inlineStr">
        <is>
          <t>Như trên. Tài khoản seed @sofinhub.test / Passw0rd!x: owner, cadmin (admin photo), mod, member1, member2, member3 (member photo), newbie (chưa ở cộng đồng nào), banned (bị cấm khỏi photo), admin (Platform Admin, KHÔNG ghi danh photo).</t>
        </is>
      </c>
      <c r="J80" s="15" t="inlineStr">
        <is>
          <t>1. Tạo sự kiện +30 phút; member1, member2 RSVP; member2 hủy trước chu kỳ nhắc
2. Đợi chu kỳ
3. Đọc thông báo của member1, member2, member3</t>
        </is>
      </c>
      <c r="K80" s="15" t="inlineStr">
        <is>
          <t>-</t>
        </is>
      </c>
      <c r="L80" s="15" t="inlineStr">
        <is>
          <t>Chỉ member1 nhận event_reminder; member2 (đã hủy) và member3 (không RSVP) không nhận.</t>
        </is>
      </c>
      <c r="M80" s="15" t="inlineStr"/>
      <c r="N80" s="18" t="inlineStr">
        <is>
          <t>Chưa test</t>
        </is>
      </c>
      <c r="O80" s="15" t="inlineStr"/>
      <c r="P80" s="15" t="inlineStr"/>
      <c r="Q80" s="18" t="inlineStr">
        <is>
          <t>Chưa test</t>
        </is>
      </c>
      <c r="R80" s="15" t="inlineStr"/>
    </row>
    <row r="81" ht="45" customHeight="1">
      <c r="A81" s="14" t="inlineStr">
        <is>
          <t>TC-EVENT-080</t>
        </is>
      </c>
      <c r="B81" s="15" t="inlineStr">
        <is>
          <t>Lịch &amp; Sự kiện</t>
        </is>
      </c>
      <c r="C81" s="15" t="inlineStr">
        <is>
          <t>Nhắc lịch</t>
        </is>
      </c>
      <c r="D81" s="15" t="inlineStr">
        <is>
          <t>Sự kiện còn &gt; 60 phút chưa nhắc; đã bắt đầu không nhắc</t>
        </is>
      </c>
      <c r="E81" s="15" t="inlineStr">
        <is>
          <t>Tích hợp</t>
        </is>
      </c>
      <c r="F81" s="20" t="inlineStr">
        <is>
          <t>Trung bình</t>
        </is>
      </c>
      <c r="G81" s="17" t="inlineStr">
        <is>
          <t>Đã hoàn thiện</t>
        </is>
      </c>
      <c r="H81" s="20" t="inlineStr">
        <is>
          <t>Một phần</t>
        </is>
      </c>
      <c r="I81" s="15" t="inlineStr">
        <is>
          <t>Như trên. Tài khoản seed @sofinhub.test / Passw0rd!x: owner, cadmin (admin photo), mod, member1, member2, member3 (member photo), newbie (chưa ở cộng đồng nào), banned (bị cấm khỏi photo), admin (Platform Admin, KHÔNG ghi danh photo).</t>
        </is>
      </c>
      <c r="J81" s="15" t="inlineStr">
        <is>
          <t>1. Tạo sự kiện A (+90 phút) và B (+5 giây sau đó để qua thời điểm), có RSVP
2. Đợi 2 chu kỳ
3. Đọc thông báo</t>
        </is>
      </c>
      <c r="K81" s="15" t="inlineStr">
        <is>
          <t>-</t>
        </is>
      </c>
      <c r="L81" s="15" t="inlineStr">
        <is>
          <t>A: chưa có nhắc. B (đã bắt đầu): không nhắc. Khi A chỉ còn ≤ 60 phút mới nhận nhắc.</t>
        </is>
      </c>
      <c r="M81" s="15" t="inlineStr"/>
      <c r="N81" s="18" t="inlineStr">
        <is>
          <t>Chưa test</t>
        </is>
      </c>
      <c r="O81" s="15" t="inlineStr"/>
      <c r="P81" s="15" t="inlineStr"/>
      <c r="Q81" s="18" t="inlineStr">
        <is>
          <t>Chưa test</t>
        </is>
      </c>
      <c r="R81" s="15" t="inlineStr"/>
    </row>
    <row r="82" ht="45" customHeight="1">
      <c r="A82" s="14" t="inlineStr">
        <is>
          <t>TC-EVENT-081</t>
        </is>
      </c>
      <c r="B82" s="15" t="inlineStr">
        <is>
          <t>Lịch &amp; Sự kiện</t>
        </is>
      </c>
      <c r="C82" s="15" t="inlineStr">
        <is>
          <t>Nhắc lịch</t>
        </is>
      </c>
      <c r="D82" s="15" t="inlineStr">
        <is>
          <t>Đổi giờ bắt đầu xóa dấu đã nhắc: nhắc lại theo giờ mới</t>
        </is>
      </c>
      <c r="E82" s="15" t="inlineStr">
        <is>
          <t>Tích hợp</t>
        </is>
      </c>
      <c r="F82" s="20" t="inlineStr">
        <is>
          <t>Trung bình</t>
        </is>
      </c>
      <c r="G82" s="17" t="inlineStr">
        <is>
          <t>Đã hoàn thiện</t>
        </is>
      </c>
      <c r="H82" s="20" t="inlineStr">
        <is>
          <t>Một phần</t>
        </is>
      </c>
      <c r="I82" s="15" t="inlineStr">
        <is>
          <t>Như trên. Tài khoản seed @sofinhub.test / Passw0rd!x: owner, cadmin (admin photo), mod, member1, member2, member3 (member photo), newbie (chưa ở cộng đồng nào), banned (bị cấm khỏi photo), admin (Platform Admin, KHÔNG ghi danh photo).</t>
        </is>
      </c>
      <c r="J82" s="15" t="inlineStr">
        <is>
          <t>1. Sự kiện +30 phút, member1 RSVP, đợi nhận nhắc lần 1
2. mod PATCH startAt = now + 40 phút
3. Đợi chu kỳ tiếp theo</t>
        </is>
      </c>
      <c r="K82" s="15" t="inlineStr">
        <is>
          <t>-</t>
        </is>
      </c>
      <c r="L82" s="15" t="inlineStr">
        <is>
          <t>member1 nhận thêm 1 nhắc mới (tổng 2 thông báo event_reminder cho sự kiện này) vì đổi startAt gọi clearReminded.</t>
        </is>
      </c>
      <c r="M82" s="15" t="inlineStr"/>
      <c r="N82" s="18" t="inlineStr">
        <is>
          <t>Chưa test</t>
        </is>
      </c>
      <c r="O82" s="15" t="inlineStr"/>
      <c r="P82" s="15" t="inlineStr"/>
      <c r="Q82" s="18" t="inlineStr">
        <is>
          <t>Chưa test</t>
        </is>
      </c>
      <c r="R82" s="15" t="inlineStr"/>
    </row>
    <row r="83" ht="45" customHeight="1">
      <c r="A83" s="14" t="inlineStr">
        <is>
          <t>TC-EVENT-082</t>
        </is>
      </c>
      <c r="B83" s="15" t="inlineStr">
        <is>
          <t>Lịch &amp; Sự kiện</t>
        </is>
      </c>
      <c r="C83" s="15" t="inlineStr">
        <is>
          <t>Nhắc lịch</t>
        </is>
      </c>
      <c r="D83" s="15" t="inlineStr">
        <is>
          <t>Hủy RSVP rồi RSVP lại sau khi đã nhắc: nhận nhắc lần nữa (ghi nhận điểm yếu chống trùng)</t>
        </is>
      </c>
      <c r="E83" s="15" t="inlineStr">
        <is>
          <t>Tích hợp</t>
        </is>
      </c>
      <c r="F83" s="17" t="inlineStr">
        <is>
          <t>Thấp</t>
        </is>
      </c>
      <c r="G83" s="17" t="inlineStr">
        <is>
          <t>Đã hoàn thiện</t>
        </is>
      </c>
      <c r="H83" s="20" t="inlineStr">
        <is>
          <t>Một phần</t>
        </is>
      </c>
      <c r="I83" s="15" t="inlineStr">
        <is>
          <t>Như trên. Tài khoản seed @sofinhub.test / Passw0rd!x: owner, cadmin (admin photo), mod, member1, member2, member3 (member photo), newbie (chưa ở cộng đồng nào), banned (bị cấm khỏi photo), admin (Platform Admin, KHÔNG ghi danh photo).</t>
        </is>
      </c>
      <c r="J83" s="15" t="inlineStr">
        <is>
          <t>1. Sự kiện +30 phút, member1 RSVP, nhận nhắc
2. member1 DELETE rsvp rồi POST rsvp lại
3. Đợi chu kỳ</t>
        </is>
      </c>
      <c r="K83" s="15" t="inlineStr">
        <is>
          <t>-</t>
        </is>
      </c>
      <c r="L83" s="15" t="inlineStr">
        <is>
          <t>Do bản ghi RSVP được tạo mới (remindedAt rỗng) nên member1 có thể nhận nhắc lần 2 — chưa chốt có cần chặn hay không.</t>
        </is>
      </c>
      <c r="M83" s="15" t="inlineStr"/>
      <c r="N83" s="18" t="inlineStr">
        <is>
          <t>Chưa test</t>
        </is>
      </c>
      <c r="O83" s="15" t="inlineStr"/>
      <c r="P83" s="15" t="inlineStr"/>
      <c r="Q83" s="18" t="inlineStr">
        <is>
          <t>Chưa test</t>
        </is>
      </c>
      <c r="R83" s="15" t="inlineStr"/>
    </row>
    <row r="84" ht="45" customHeight="1">
      <c r="A84" s="14" t="inlineStr">
        <is>
          <t>TC-EVENT-083</t>
        </is>
      </c>
      <c r="B84" s="15" t="inlineStr">
        <is>
          <t>Lịch &amp; Sự kiện</t>
        </is>
      </c>
      <c r="C84" s="15" t="inlineStr">
        <is>
          <t>Nhắc lịch</t>
        </is>
      </c>
      <c r="D84" s="15" t="inlineStr">
        <is>
          <t>Xóa sự kiện trước giờ nhắc: không có nhắc, chỉ có thông báo hủy</t>
        </is>
      </c>
      <c r="E84" s="15" t="inlineStr">
        <is>
          <t>Tích hợp</t>
        </is>
      </c>
      <c r="F84" s="20" t="inlineStr">
        <is>
          <t>Trung bình</t>
        </is>
      </c>
      <c r="G84" s="17" t="inlineStr">
        <is>
          <t>Đã hoàn thiện</t>
        </is>
      </c>
      <c r="H84" s="20" t="inlineStr">
        <is>
          <t>Một phần</t>
        </is>
      </c>
      <c r="I84" s="15" t="inlineStr">
        <is>
          <t>Như trên. Tài khoản seed @sofinhub.test / Passw0rd!x: owner, cadmin (admin photo), mod, member1, member2, member3 (member photo), newbie (chưa ở cộng đồng nào), banned (bị cấm khỏi photo), admin (Platform Admin, KHÔNG ghi danh photo).</t>
        </is>
      </c>
      <c r="J84" s="15" t="inlineStr">
        <is>
          <t>1. Sự kiện +30 phút, member1 RSVP
2. mod xóa sự kiện ngay
3. Đợi chu kỳ</t>
        </is>
      </c>
      <c r="K84" s="15" t="inlineStr">
        <is>
          <t>-</t>
        </is>
      </c>
      <c r="L84" s="15" t="inlineStr">
        <is>
          <t>member1 nhận thông báo "Sự kiện đã bị hủy" và không nhận event_reminder.</t>
        </is>
      </c>
      <c r="M84" s="15" t="inlineStr"/>
      <c r="N84" s="18" t="inlineStr">
        <is>
          <t>Chưa test</t>
        </is>
      </c>
      <c r="O84" s="15" t="inlineStr"/>
      <c r="P84" s="15" t="inlineStr"/>
      <c r="Q84" s="18" t="inlineStr">
        <is>
          <t>Chưa test</t>
        </is>
      </c>
      <c r="R84" s="15" t="inlineStr"/>
    </row>
    <row r="85" ht="45" customHeight="1">
      <c r="A85" s="14" t="inlineStr">
        <is>
          <t>TC-EVENT-084</t>
        </is>
      </c>
      <c r="B85" s="15" t="inlineStr">
        <is>
          <t>Lịch &amp; Sự kiện</t>
        </is>
      </c>
      <c r="C85" s="15" t="inlineStr">
        <is>
          <t>Nhắc lịch</t>
        </is>
      </c>
      <c r="D85" s="15" t="inlineStr">
        <is>
          <t>Thông báo hiển thị ở chuông và SSE realtime cho event_reminder</t>
        </is>
      </c>
      <c r="E85" s="15" t="inlineStr">
        <is>
          <t>Giao diện</t>
        </is>
      </c>
      <c r="F85" s="20" t="inlineStr">
        <is>
          <t>Trung bình</t>
        </is>
      </c>
      <c r="G85" s="17" t="inlineStr">
        <is>
          <t>Đã hoàn thiện</t>
        </is>
      </c>
      <c r="H85" s="20" t="inlineStr">
        <is>
          <t>Một phần</t>
        </is>
      </c>
      <c r="I85" s="15" t="inlineStr">
        <is>
          <t>Như trên. Tài khoản seed @sofinhub.test / Passw0rd!x: owner, cadmin (admin photo), mod, member1, member2, member3 (member photo), newbie (chưa ở cộng đồng nào), banned (bị cấm khỏi photo), admin (Platform Admin, KHÔNG ghi danh photo).</t>
        </is>
      </c>
      <c r="J85" s="15" t="inlineStr">
        <is>
          <t>1. member1 mở giao diện bất kỳ đang đăng nhập (SSE mở)
2. Chờ chu kỳ nhắc
3. Quan sát chuông/danh sách thông báo</t>
        </is>
      </c>
      <c r="K85" s="15" t="inlineStr">
        <is>
          <t>-</t>
        </is>
      </c>
      <c r="L85" s="15" t="inlineStr">
        <is>
          <t>Số chưa đọc tăng, thông báo "Sự kiện sắp diễn ra" xuất hiện không cần tải lại; bấm vào mở /courses/photo/community/lich (tab Lịch sự kiện).</t>
        </is>
      </c>
      <c r="M85" s="15" t="inlineStr"/>
      <c r="N85" s="18" t="inlineStr">
        <is>
          <t>Chưa test</t>
        </is>
      </c>
      <c r="O85" s="15" t="inlineStr"/>
      <c r="P85" s="15" t="inlineStr"/>
      <c r="Q85" s="18" t="inlineStr">
        <is>
          <t>Chưa test</t>
        </is>
      </c>
      <c r="R85" s="15" t="inlineStr"/>
    </row>
    <row r="86" ht="45" customHeight="1">
      <c r="A86" s="14" t="inlineStr">
        <is>
          <t>TC-EVENT-085</t>
        </is>
      </c>
      <c r="B86" s="15" t="inlineStr">
        <is>
          <t>Lịch &amp; Sự kiện</t>
        </is>
      </c>
      <c r="C86" s="15" t="inlineStr">
        <is>
          <t>Nhắc lịch</t>
        </is>
      </c>
      <c r="D86" s="15" t="inlineStr">
        <is>
          <t>Nhắc lịch qua email trước giờ sự kiện</t>
        </is>
      </c>
      <c r="E86" s="15" t="inlineStr">
        <is>
          <t>Tích hợp</t>
        </is>
      </c>
      <c r="F86" s="17" t="inlineStr">
        <is>
          <t>Thấp</t>
        </is>
      </c>
      <c r="G86" s="20" t="inlineStr">
        <is>
          <t>Kế hoạch</t>
        </is>
      </c>
      <c r="H86" s="16" t="inlineStr">
        <is>
          <t>Không</t>
        </is>
      </c>
      <c r="I86"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86" s="15" t="inlineStr">
        <is>
          <t>1. RSVP một sự kiện
2. Chờ tới trước giờ 1 giờ
3. Kiểm tra hộp thư</t>
        </is>
      </c>
      <c r="K86" s="15" t="inlineStr">
        <is>
          <t>-</t>
        </is>
      </c>
      <c r="L86" s="15" t="inlineStr">
        <is>
          <t>(Dự kiến) Người đã RSVP nhận email nhắc; hiện chỉ có event_reminder trong ứng dụng.</t>
        </is>
      </c>
      <c r="M86" s="15" t="inlineStr"/>
      <c r="N86" s="18" t="inlineStr">
        <is>
          <t>Chưa test</t>
        </is>
      </c>
      <c r="O86" s="15" t="inlineStr"/>
      <c r="P86" s="15" t="inlineStr"/>
      <c r="Q86" s="18" t="inlineStr">
        <is>
          <t>Chưa test</t>
        </is>
      </c>
      <c r="R86" s="15" t="inlineStr"/>
    </row>
    <row r="87" ht="45" customHeight="1">
      <c r="A87" s="14" t="inlineStr">
        <is>
          <t>TC-EVENT-086</t>
        </is>
      </c>
      <c r="B87" s="15" t="inlineStr">
        <is>
          <t>Lịch &amp; Sự kiện</t>
        </is>
      </c>
      <c r="C87" s="15" t="inlineStr">
        <is>
          <t>Nhắc lịch</t>
        </is>
      </c>
      <c r="D87" s="15" t="inlineStr">
        <is>
          <t>Chạy nhiều instance backend không nhắc trùng (claimReminders atomic)</t>
        </is>
      </c>
      <c r="E87" s="15" t="inlineStr">
        <is>
          <t>Tích hợp</t>
        </is>
      </c>
      <c r="F87" s="17" t="inlineStr">
        <is>
          <t>Thấp</t>
        </is>
      </c>
      <c r="G87" s="17" t="inlineStr">
        <is>
          <t>Đã hoàn thiện</t>
        </is>
      </c>
      <c r="H87" s="16" t="inlineStr">
        <is>
          <t>Không</t>
        </is>
      </c>
      <c r="I87"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87" s="15" t="inlineStr">
        <is>
          <t>1. Chạy 2 backend, tạo sự kiện +30 phút, member1 RSVP
2. Đợi 2 chu kỳ
3. Đếm thông báo</t>
        </is>
      </c>
      <c r="K87" s="15" t="inlineStr">
        <is>
          <t>-</t>
        </is>
      </c>
      <c r="L87" s="15" t="inlineStr">
        <is>
          <t>Đúng 1 thông báo event_reminder (UPDATE ... WHERE remindedAt IS NULL RETURNING).</t>
        </is>
      </c>
      <c r="M87" s="15" t="inlineStr"/>
      <c r="N87" s="18" t="inlineStr">
        <is>
          <t>Chưa test</t>
        </is>
      </c>
      <c r="O87" s="15" t="inlineStr"/>
      <c r="P87" s="15" t="inlineStr"/>
      <c r="Q87" s="18" t="inlineStr">
        <is>
          <t>Chưa test</t>
        </is>
      </c>
      <c r="R87" s="15" t="inlineStr"/>
    </row>
    <row r="88" ht="45" customHeight="1">
      <c r="A88" s="14" t="inlineStr">
        <is>
          <t>TC-EVENT-087</t>
        </is>
      </c>
      <c r="B88" s="15" t="inlineStr">
        <is>
          <t>Lịch &amp; Sự kiện</t>
        </is>
      </c>
      <c r="C88" s="15" t="inlineStr">
        <is>
          <t>Thông báo sự kiện</t>
        </is>
      </c>
      <c r="D88" s="15" t="inlineStr">
        <is>
          <t>Thành viên nhận event_created, bấm thông báo mở tab lịch</t>
        </is>
      </c>
      <c r="E88" s="15" t="inlineStr">
        <is>
          <t>Giao diện</t>
        </is>
      </c>
      <c r="F88" s="20" t="inlineStr">
        <is>
          <t>Trung bình</t>
        </is>
      </c>
      <c r="G88" s="17" t="inlineStr">
        <is>
          <t>Đã hoàn thiện</t>
        </is>
      </c>
      <c r="H88" s="20" t="inlineStr">
        <is>
          <t>Một phần</t>
        </is>
      </c>
      <c r="I8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8" s="15" t="inlineStr">
        <is>
          <t>1. mod tạo sự kiện mới
2. member2 mở chuông thông báo
3. Bấm thông báo "Sự kiện mới"</t>
        </is>
      </c>
      <c r="K88" s="15" t="inlineStr">
        <is>
          <t>-</t>
        </is>
      </c>
      <c r="L88"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88" s="15" t="inlineStr"/>
      <c r="N88" s="18" t="inlineStr">
        <is>
          <t>Chưa test</t>
        </is>
      </c>
      <c r="O88" s="15" t="inlineStr"/>
      <c r="P88" s="15" t="inlineStr"/>
      <c r="Q88" s="18" t="inlineStr">
        <is>
          <t>Chưa test</t>
        </is>
      </c>
      <c r="R88" s="15" t="inlineStr"/>
    </row>
    <row r="89" ht="90" customHeight="1">
      <c r="A89" s="14" t="inlineStr">
        <is>
          <t>TC-EVENT-088</t>
        </is>
      </c>
      <c r="B89" s="15" t="inlineStr">
        <is>
          <t>Lịch &amp; Sự kiện</t>
        </is>
      </c>
      <c r="C89" s="15" t="inlineStr">
        <is>
          <t>Thông báo sự kiện</t>
        </is>
      </c>
      <c r="D89" s="15" t="inlineStr">
        <is>
          <t>Thành viên tắt thông báo sự kiện trong tùy chọn: không nhận event_created</t>
        </is>
      </c>
      <c r="E89" s="15" t="inlineStr">
        <is>
          <t>Chức năng</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89" s="15" t="inlineStr">
        <is>
          <t>-</t>
        </is>
      </c>
      <c r="L89" s="15" t="inlineStr">
        <is>
          <t>member2 không nhận thông báo event_created; member1 (không tắt) vẫn nhận.</t>
        </is>
      </c>
      <c r="M89" s="15" t="inlineStr"/>
      <c r="N89" s="18" t="inlineStr">
        <is>
          <t>Chưa test</t>
        </is>
      </c>
      <c r="O89" s="15" t="inlineStr"/>
      <c r="P89" s="15" t="inlineStr"/>
      <c r="Q89" s="18" t="inlineStr">
        <is>
          <t>Chưa test</t>
        </is>
      </c>
      <c r="R89" s="15" t="inlineStr"/>
    </row>
    <row r="90" ht="30" customHeight="1">
      <c r="A90" s="14" t="inlineStr">
        <is>
          <t>TC-EVENT-089</t>
        </is>
      </c>
      <c r="B90" s="15" t="inlineStr">
        <is>
          <t>Lịch &amp; Sự kiện</t>
        </is>
      </c>
      <c r="C90" s="15" t="inlineStr">
        <is>
          <t>Múi giờ</t>
        </is>
      </c>
      <c r="D90" s="15" t="inlineStr">
        <is>
          <t>Giờ sự kiện hiển thị theo múi giờ trình duyệt của người xem (GMT+7 vs khác)</t>
        </is>
      </c>
      <c r="E90" s="15" t="inlineStr">
        <is>
          <t>Giao diện</t>
        </is>
      </c>
      <c r="F90" s="20" t="inlineStr">
        <is>
          <t>Trung bình</t>
        </is>
      </c>
      <c r="G90" s="17" t="inlineStr">
        <is>
          <t>Đã hoàn thiện</t>
        </is>
      </c>
      <c r="H90" s="17" t="inlineStr">
        <is>
          <t>Có</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Đặt múi giờ trình duyệt/OS là Asia/Ho_Chi_Minh, mở lịch, ghi giờ sự kiện seed-event-photo-full (20:00)
2. Đổi múi giờ sang America/New_York (Playwright timezoneId), tải lại</t>
        </is>
      </c>
      <c r="K90" s="15" t="inlineStr">
        <is>
          <t>-</t>
        </is>
      </c>
      <c r="L90" s="15" t="inlineStr">
        <is>
          <t>startAt (UTC ISO) không đổi; giờ hiển thị đổi tương ứng (20:00 GMT+7 =&gt; 09:00 New York); vẫn ghi nhãn "GMT+7 • Hồ Chí Minh" cố định ở thanh công cụ (ghi nhận: nhãn không theo múi giờ người xem).</t>
        </is>
      </c>
      <c r="M90" s="15" t="inlineStr"/>
      <c r="N90" s="18" t="inlineStr">
        <is>
          <t>Chưa test</t>
        </is>
      </c>
      <c r="O90" s="15" t="inlineStr"/>
      <c r="P90" s="15" t="inlineStr"/>
      <c r="Q90" s="18" t="inlineStr">
        <is>
          <t>Chưa test</t>
        </is>
      </c>
      <c r="R90" s="15" t="inlineStr"/>
    </row>
    <row r="91" ht="45" customHeight="1">
      <c r="A91" s="14" t="inlineStr">
        <is>
          <t>TC-EVENT-090</t>
        </is>
      </c>
      <c r="B91" s="15" t="inlineStr">
        <is>
          <t>Lịch &amp; Sự kiện</t>
        </is>
      </c>
      <c r="C91" s="15" t="inlineStr">
        <is>
          <t>Múi giờ</t>
        </is>
      </c>
      <c r="D91" s="15" t="inlineStr">
        <is>
          <t>Sự kiện lưu timezone khác: .ics vẫn dùng UTC, múi giờ gốc trong DESCRIPTION</t>
        </is>
      </c>
      <c r="E91" s="15" t="inlineStr">
        <is>
          <t>Chức năng</t>
        </is>
      </c>
      <c r="F91" s="20" t="inlineStr">
        <is>
          <t>Trung bình</t>
        </is>
      </c>
      <c r="G91" s="17" t="inlineStr">
        <is>
          <t>Đã hoàn thiện</t>
        </is>
      </c>
      <c r="H91" s="17" t="inlineStr">
        <is>
          <t>Có</t>
        </is>
      </c>
      <c r="I91" s="15" t="inlineStr">
        <is>
          <t>Tài khoản seed @sofinhub.test / Passw0rd!x: owner, cadmin (admin photo), mod, member1, member2, member3 (member photo), newbie (chưa ở cộng đồng nào), banned (bị cấm khỏi photo), admin (Platform Admin, KHÔNG ghi danh photo).</t>
        </is>
      </c>
      <c r="J91" s="15" t="inlineStr">
        <is>
          <t>1. Đăng nhập mod@sofinhub.test (POST /api/auth/login, lấy accessToken, gắn header Authorization: Bearer).
2. Tạo sự kiện startAt=2030-06-01T13:00:00.000Z timezone="America/New_York"
3. GET .ics</t>
        </is>
      </c>
      <c r="K91" s="15" t="inlineStr">
        <is>
          <t>-</t>
        </is>
      </c>
      <c r="L91" s="15" t="inlineStr">
        <is>
          <t>DTSTART:20300601T130000Z; DESCRIPTION có "Múi giờ gốc: America/New_York"; không có VTIMEZONE (giới hạn đã biết).</t>
        </is>
      </c>
      <c r="M91" s="15" t="inlineStr"/>
      <c r="N91" s="18" t="inlineStr">
        <is>
          <t>Chưa test</t>
        </is>
      </c>
      <c r="O91" s="15" t="inlineStr"/>
      <c r="P91" s="15" t="inlineStr"/>
      <c r="Q91" s="18" t="inlineStr">
        <is>
          <t>Chưa test</t>
        </is>
      </c>
      <c r="R91" s="15" t="inlineStr"/>
    </row>
    <row r="92" ht="30" customHeight="1">
      <c r="A92" s="14" t="inlineStr">
        <is>
          <t>TC-EVENT-091</t>
        </is>
      </c>
      <c r="B92" s="15" t="inlineStr">
        <is>
          <t>Lịch &amp; Sự kiện</t>
        </is>
      </c>
      <c r="C92" s="15" t="inlineStr">
        <is>
          <t>Múi giờ</t>
        </is>
      </c>
      <c r="D92" s="15" t="inlineStr">
        <is>
          <t>Sự kiện lúc 00:00 và 23:59 giờ địa phương hiển thị đúng ngày trên lịch tháng</t>
        </is>
      </c>
      <c r="E92" s="15" t="inlineStr">
        <is>
          <t>Giao diện</t>
        </is>
      </c>
      <c r="F92" s="17" t="inlineStr">
        <is>
          <t>Thấp</t>
        </is>
      </c>
      <c r="G92" s="17" t="inlineStr">
        <is>
          <t>Đã hoàn thiện</t>
        </is>
      </c>
      <c r="H92" s="17" t="inlineStr">
        <is>
          <t>Có</t>
        </is>
      </c>
      <c r="I92" s="15" t="inlineStr">
        <is>
          <t>Tài khoản seed @sofinhub.test / Passw0rd!x: owner, cadmin (admin photo), mod, member1, member2, member3 (member photo), newbie (chưa ở cộng đồng nào), banned (bị cấm khỏi photo), admin (Platform Admin, KHÔNG ghi danh photo).</t>
        </is>
      </c>
      <c r="J92" s="15" t="inlineStr">
        <is>
          <t>1. mod tạo 2 sự kiện: 00:00 và 23:59 giờ Việt Nam cùng một ngày (UTC tương ứng)
2. Mở lịch tháng và ngày</t>
        </is>
      </c>
      <c r="K92" s="15" t="inlineStr">
        <is>
          <t>-</t>
        </is>
      </c>
      <c r="L92" s="15" t="inlineStr">
        <is>
          <t>Cả hai nằm đúng ngày dự kiến theo giờ địa phương của người xem, không nhảy sang ngày trước/sau.</t>
        </is>
      </c>
      <c r="M92" s="15" t="inlineStr"/>
      <c r="N92" s="18" t="inlineStr">
        <is>
          <t>Chưa test</t>
        </is>
      </c>
      <c r="O92" s="15" t="inlineStr"/>
      <c r="P92" s="15" t="inlineStr"/>
      <c r="Q92" s="18" t="inlineStr">
        <is>
          <t>Chưa test</t>
        </is>
      </c>
      <c r="R92" s="15" t="inlineStr"/>
    </row>
    <row r="93" ht="60" customHeight="1">
      <c r="A93" s="14" t="inlineStr">
        <is>
          <t>TC-EVENT-092</t>
        </is>
      </c>
      <c r="B93" s="15" t="inlineStr">
        <is>
          <t>Lịch &amp; Sự kiện</t>
        </is>
      </c>
      <c r="C93" s="15" t="inlineStr">
        <is>
          <t>Kịch bản seed sự kiện</t>
        </is>
      </c>
      <c r="D93" s="15" t="inlineStr">
        <is>
          <t>Seed: kịch bản 'chỗ cuối' cho seed-event-photo-limited: member1 vào, member3 bị từ chối</t>
        </is>
      </c>
      <c r="E93" s="15" t="inlineStr">
        <is>
          <t>Chức năng</t>
        </is>
      </c>
      <c r="F93" s="16" t="inlineStr">
        <is>
          <t>Cao</t>
        </is>
      </c>
      <c r="G93" s="17" t="inlineStr">
        <is>
          <t>Đã hoàn thiện</t>
        </is>
      </c>
      <c r="H93" s="17" t="inlineStr">
        <is>
          <t>Có</t>
        </is>
      </c>
      <c r="I9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3" s="15" t="inlineStr">
        <is>
          <t>1. member1 RSVP seed-event-photo-limited (thành công, 3/3)
2. member3 RSVP (409)
3. member2 hủy RSVP
4. member3 RSVP lại (thành công)</t>
        </is>
      </c>
      <c r="K93" s="15" t="inlineStr">
        <is>
          <t>-</t>
        </is>
      </c>
      <c r="L93" s="15" t="inlineStr">
        <is>
          <t>Lần lượt 200, 409 "Sự kiện đã đủ số lượng đăng ký", 200 {rsvped:false}, 200 {rsvped:true}; sau cùng rsvpCount=3.</t>
        </is>
      </c>
      <c r="M93" s="15" t="inlineStr"/>
      <c r="N93" s="18" t="inlineStr">
        <is>
          <t>Chưa test</t>
        </is>
      </c>
      <c r="O93" s="15" t="inlineStr"/>
      <c r="P93" s="15" t="inlineStr"/>
      <c r="Q93" s="18" t="inlineStr">
        <is>
          <t>Chưa test</t>
        </is>
      </c>
      <c r="R93" s="15" t="inlineStr"/>
    </row>
    <row r="94" ht="30" customHeight="1">
      <c r="A94" s="14" t="inlineStr">
        <is>
          <t>TC-EVENT-093</t>
        </is>
      </c>
      <c r="B94" s="15" t="inlineStr">
        <is>
          <t>Lịch &amp; Sự kiện</t>
        </is>
      </c>
      <c r="C94" s="15" t="inlineStr">
        <is>
          <t>Kịch bản seed sự kiện</t>
        </is>
      </c>
      <c r="D94" s="15" t="inlineStr">
        <is>
          <t>Seed: sự kiện đầy (photo-full) - danh sách hiển thị đủ chỗ, host là owner</t>
        </is>
      </c>
      <c r="E94" s="15" t="inlineStr">
        <is>
          <t>Chức năng</t>
        </is>
      </c>
      <c r="F94" s="20" t="inlineStr">
        <is>
          <t>Trung bình</t>
        </is>
      </c>
      <c r="G94" s="17" t="inlineStr">
        <is>
          <t>Đã hoàn thiện</t>
        </is>
      </c>
      <c r="H94" s="17" t="inlineStr">
        <is>
          <t>Có</t>
        </is>
      </c>
      <c r="I9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4" s="15" t="inlineStr">
        <is>
          <t>1. Đăng nhập member2@sofinhub.test (POST /api/auth/login, lấy accessToken, gắn header Authorization: Bearer).
2. GET /api/events/seed-event-photo-full</t>
        </is>
      </c>
      <c r="K94" s="15" t="inlineStr">
        <is>
          <t>-</t>
        </is>
      </c>
      <c r="L94" s="15" t="inlineStr">
        <is>
          <t>title "Photowalk phố cổ (đã đủ người)", capacity=2, rsvpCount=2, viewerRsvped=false, isPast=false, meetingLink https://meet.example.com/photowalk.</t>
        </is>
      </c>
      <c r="M94" s="15" t="inlineStr"/>
      <c r="N94" s="18" t="inlineStr">
        <is>
          <t>Chưa test</t>
        </is>
      </c>
      <c r="O94" s="15" t="inlineStr"/>
      <c r="P94" s="15" t="inlineStr"/>
      <c r="Q94" s="18" t="inlineStr">
        <is>
          <t>Chưa test</t>
        </is>
      </c>
      <c r="R94" s="15" t="inlineStr"/>
    </row>
    <row r="95" ht="30" customHeight="1">
      <c r="A95" s="14" t="inlineStr">
        <is>
          <t>TC-EVENT-094</t>
        </is>
      </c>
      <c r="B95" s="15" t="inlineStr">
        <is>
          <t>Lịch &amp; Sự kiện</t>
        </is>
      </c>
      <c r="C95" s="15" t="inlineStr">
        <is>
          <t>Kịch bản seed sự kiện</t>
        </is>
      </c>
      <c r="D95" s="15" t="inlineStr">
        <is>
          <t>Seed: sự kiện đã qua (photo-past) - isPast=true, member1/member2 từng tham gia (viewerRsvped=true)</t>
        </is>
      </c>
      <c r="E95" s="15" t="inlineStr">
        <is>
          <t>Chức năng</t>
        </is>
      </c>
      <c r="F95" s="20" t="inlineStr">
        <is>
          <t>Trung bình</t>
        </is>
      </c>
      <c r="G95" s="17" t="inlineStr">
        <is>
          <t>Đã hoàn thiện</t>
        </is>
      </c>
      <c r="H95" s="17" t="inlineStr">
        <is>
          <t>Có</t>
        </is>
      </c>
      <c r="I9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5" s="15" t="inlineStr">
        <is>
          <t>1. Đăng nhập member1@sofinhub.test (POST /api/auth/login, lấy accessToken, gắn header Authorization: Bearer).
2. GET /api/events/seed-event-photo-past</t>
        </is>
      </c>
      <c r="K95" s="15" t="inlineStr">
        <is>
          <t>-</t>
        </is>
      </c>
      <c r="L95" s="15" t="inlineStr">
        <is>
          <t>isPast=true, rsvpCount=3, viewerRsvped=true; title "Livestream chấm ảnh tháng trước".</t>
        </is>
      </c>
      <c r="M95" s="15" t="inlineStr"/>
      <c r="N95" s="18" t="inlineStr">
        <is>
          <t>Chưa test</t>
        </is>
      </c>
      <c r="O95" s="15" t="inlineStr"/>
      <c r="P95" s="15" t="inlineStr"/>
      <c r="Q95" s="18" t="inlineStr">
        <is>
          <t>Chưa test</t>
        </is>
      </c>
      <c r="R95" s="15" t="inlineStr"/>
    </row>
    <row r="96" ht="30" customHeight="1">
      <c r="A96" s="14" t="inlineStr">
        <is>
          <t>TC-EVENT-095</t>
        </is>
      </c>
      <c r="B96" s="15" t="inlineStr">
        <is>
          <t>Lịch &amp; Sự kiện</t>
        </is>
      </c>
      <c r="C96" s="15" t="inlineStr">
        <is>
          <t>Kịch bản seed sự kiện</t>
        </is>
      </c>
      <c r="D96" s="15" t="inlineStr">
        <is>
          <t>Seed: mọi cộng đồng khác có Zoom Q&amp;A (+5 ngày, sức chứa 100) và buổi thực hành đã qua</t>
        </is>
      </c>
      <c r="E96" s="15" t="inlineStr">
        <is>
          <t>Chức năng</t>
        </is>
      </c>
      <c r="F96" s="17" t="inlineStr">
        <is>
          <t>Thấp</t>
        </is>
      </c>
      <c r="G96" s="17" t="inlineStr">
        <is>
          <t>Đã hoàn thiện</t>
        </is>
      </c>
      <c r="H96" s="17" t="inlineStr">
        <is>
          <t>Có</t>
        </is>
      </c>
      <c r="I9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6" s="15" t="inlineStr">
        <is>
          <t>1. Đăng nhập member1@sofinhub.test (POST /api/auth/login, lấy accessToken, gắn header Authorization: Bearer).
2. GET /api/courses/yt/events</t>
        </is>
      </c>
      <c r="K96" s="15" t="inlineStr">
        <is>
          <t>-</t>
        </is>
      </c>
      <c r="L96" s="15" t="inlineStr">
        <is>
          <t>2 sự kiện: seed-event-yt-qa (capacity 100, rsvpCount 12) và seed-event-yt-practice (isPast=true, rsvpCount 8); host là thành viên minh họa số 0.</t>
        </is>
      </c>
      <c r="M96" s="15" t="inlineStr"/>
      <c r="N96" s="18" t="inlineStr">
        <is>
          <t>Chưa test</t>
        </is>
      </c>
      <c r="O96" s="15" t="inlineStr"/>
      <c r="P96" s="15" t="inlineStr"/>
      <c r="Q96" s="18" t="inlineStr">
        <is>
          <t>Chưa test</t>
        </is>
      </c>
      <c r="R96" s="15" t="inlineStr"/>
    </row>
    <row r="97" ht="45" customHeight="1">
      <c r="A97" s="14" t="inlineStr">
        <is>
          <t>TC-EVENT-096</t>
        </is>
      </c>
      <c r="B97" s="15" t="inlineStr">
        <is>
          <t>Lịch &amp; Sự kiện</t>
        </is>
      </c>
      <c r="C97" s="15" t="inlineStr">
        <is>
          <t>Kịch bản seed sự kiện</t>
        </is>
      </c>
      <c r="D97" s="15" t="inlineStr">
        <is>
          <t>Chạy lại seed không nhân đôi sự kiện/RSVP</t>
        </is>
      </c>
      <c r="E97" s="15" t="inlineStr">
        <is>
          <t>Tích hợp</t>
        </is>
      </c>
      <c r="F97" s="17" t="inlineStr">
        <is>
          <t>Thấp</t>
        </is>
      </c>
      <c r="G97" s="17" t="inlineStr">
        <is>
          <t>Đã hoàn thiện</t>
        </is>
      </c>
      <c r="H97" s="16" t="inlineStr">
        <is>
          <t>Không</t>
        </is>
      </c>
      <c r="I9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97" s="15" t="inlineStr">
        <is>
          <t>1. Đếm CommunityEvent, EventRsvp
2. Chạy lại npm run db:seed
3. Đếm lại</t>
        </is>
      </c>
      <c r="K97" s="15" t="inlineStr">
        <is>
          <t>-</t>
        </is>
      </c>
      <c r="L97" s="15" t="inlineStr">
        <is>
          <t>Số bản ghi không đổi (id xác định + skipDuplicates); RSVP mới do người dùng thêm không bị ghi đè.</t>
        </is>
      </c>
      <c r="M97" s="15" t="inlineStr"/>
      <c r="N97" s="18" t="inlineStr">
        <is>
          <t>Chưa test</t>
        </is>
      </c>
      <c r="O97" s="15" t="inlineStr"/>
      <c r="P97" s="15" t="inlineStr"/>
      <c r="Q97" s="18" t="inlineStr">
        <is>
          <t>Chưa test</t>
        </is>
      </c>
      <c r="R97" s="15" t="inlineStr"/>
    </row>
    <row r="98" ht="30" customHeight="1">
      <c r="A98" s="14" t="inlineStr">
        <is>
          <t>TC-EVENT-097</t>
        </is>
      </c>
      <c r="B98" s="15" t="inlineStr">
        <is>
          <t>Lịch &amp; Sự kiện</t>
        </is>
      </c>
      <c r="C98" s="15" t="inlineStr">
        <is>
          <t>Tích hợp sự kiện</t>
        </is>
      </c>
      <c r="D98" s="15" t="inlineStr">
        <is>
          <t>Danh sách sự kiện photo gọi nhanh: N sự kiện không sinh N truy vấn (rsvpCounts gom lô)</t>
        </is>
      </c>
      <c r="E98" s="15" t="inlineStr">
        <is>
          <t>Hiệu năng</t>
        </is>
      </c>
      <c r="F98" s="17" t="inlineStr">
        <is>
          <t>Thấp</t>
        </is>
      </c>
      <c r="G98" s="17" t="inlineStr">
        <is>
          <t>Đã hoàn thiện</t>
        </is>
      </c>
      <c r="H98" s="16" t="inlineStr">
        <is>
          <t>Không</t>
        </is>
      </c>
      <c r="I98"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98" s="15" t="inlineStr">
        <is>
          <t>1. Đăng nhập member1@sofinhub.test (POST /api/auth/login, lấy accessToken, gắn header Authorization: Bearer).
2. Đo thời gian GET /api/courses/photo/events</t>
        </is>
      </c>
      <c r="K98" s="15" t="inlineStr">
        <is>
          <t>-</t>
        </is>
      </c>
      <c r="L98" s="15" t="inlineStr">
        <is>
          <t>Thời gian &lt; 500ms (giá trị tạm); rsvpCount/viewerRsvped đúng cho từng sự kiện.</t>
        </is>
      </c>
      <c r="M98" s="15" t="inlineStr"/>
      <c r="N98" s="18" t="inlineStr">
        <is>
          <t>Chưa test</t>
        </is>
      </c>
      <c r="O98" s="15" t="inlineStr"/>
      <c r="P98" s="15" t="inlineStr"/>
      <c r="Q98" s="18" t="inlineStr">
        <is>
          <t>Chưa test</t>
        </is>
      </c>
      <c r="R98" s="15" t="inlineStr"/>
    </row>
    <row r="99" ht="30" customHeight="1">
      <c r="A99" s="14" t="inlineStr">
        <is>
          <t>TC-EVENT-098</t>
        </is>
      </c>
      <c r="B99" s="15" t="inlineStr">
        <is>
          <t>Lịch &amp; Sự kiện</t>
        </is>
      </c>
      <c r="C99" s="15" t="inlineStr">
        <is>
          <t>Tích hợp sự kiện</t>
        </is>
      </c>
      <c r="D99" s="15" t="inlineStr">
        <is>
          <t>Điều hướng từ Header/Sidebar tới tab Lịch sự kiện đúng route</t>
        </is>
      </c>
      <c r="E99" s="15" t="inlineStr">
        <is>
          <t>Giao diện</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member1, mở /courses/photo/community
2. Bấm mục "Lịch sự kiện" trong sidebar cộng đồng</t>
        </is>
      </c>
      <c r="K99" s="15" t="inlineStr">
        <is>
          <t>-</t>
        </is>
      </c>
      <c r="L99" s="15" t="inlineStr">
        <is>
          <t>URL đổi thành /courses/photo/community/lich, tab được đánh dấu đang chọn, lịch hiển thị.</t>
        </is>
      </c>
      <c r="M99" s="15" t="inlineStr"/>
      <c r="N99" s="18" t="inlineStr">
        <is>
          <t>Chưa test</t>
        </is>
      </c>
      <c r="O99" s="15" t="inlineStr"/>
      <c r="P99" s="15" t="inlineStr"/>
      <c r="Q99" s="18" t="inlineStr">
        <is>
          <t>Chưa test</t>
        </is>
      </c>
      <c r="R99" s="15" t="inlineStr"/>
    </row>
    <row r="100" ht="30" customHeight="1">
      <c r="A100" s="14" t="inlineStr">
        <is>
          <t>TC-EVENT-099</t>
        </is>
      </c>
      <c r="B100" s="15" t="inlineStr">
        <is>
          <t>Lịch &amp; Sự kiện</t>
        </is>
      </c>
      <c r="C100" s="15" t="inlineStr">
        <is>
          <t>Tích hợp sự kiện</t>
        </is>
      </c>
      <c r="D100" s="15" t="inlineStr">
        <is>
          <t>Khách chưa đăng nhập mở /courses/photo/community/lich</t>
        </is>
      </c>
      <c r="E100" s="15" t="inlineStr">
        <is>
          <t>Bảo mật</t>
        </is>
      </c>
      <c r="F100" s="20" t="inlineStr">
        <is>
          <t>Trung bình</t>
        </is>
      </c>
      <c r="G100" s="17" t="inlineStr">
        <is>
          <t>Đã hoàn thiện</t>
        </is>
      </c>
      <c r="H100" s="17" t="inlineStr">
        <is>
          <t>Có</t>
        </is>
      </c>
      <c r="I100" s="15" t="inlineStr">
        <is>
          <t>Tài khoản seed @sofinhub.test / Passw0rd!x: owner, cadmin (admin photo), mod, member1, member2, member3 (member photo), newbie (chưa ở cộng đồng nào), banned (bị cấm khỏi photo), admin (Platform Admin, KHÔNG ghi danh photo).</t>
        </is>
      </c>
      <c r="J100" s="15" t="inlineStr">
        <is>
          <t>1. Mở trình duyệt ẩn danh, vào /courses/photo/community/lich</t>
        </is>
      </c>
      <c r="K100" s="15" t="inlineStr">
        <is>
          <t>-</t>
        </is>
      </c>
      <c r="L100" s="15" t="inlineStr">
        <is>
          <t>Bị chuyển tới trang đăng nhập/không thấy dữ liệu sự kiện; API events trả 401 nếu gọi thẳng.</t>
        </is>
      </c>
      <c r="M100" s="15" t="inlineStr"/>
      <c r="N100" s="18" t="inlineStr">
        <is>
          <t>Chưa test</t>
        </is>
      </c>
      <c r="O100" s="15" t="inlineStr"/>
      <c r="P100" s="15" t="inlineStr"/>
      <c r="Q100" s="18" t="inlineStr">
        <is>
          <t>Chưa test</t>
        </is>
      </c>
      <c r="R100" s="15" t="inlineStr"/>
    </row>
    <row r="101" ht="45" customHeight="1">
      <c r="A101" s="14" t="inlineStr">
        <is>
          <t>TC-EVENT-100</t>
        </is>
      </c>
      <c r="B101" s="15" t="inlineStr">
        <is>
          <t>Lịch &amp; Sự kiện</t>
        </is>
      </c>
      <c r="C101" s="15" t="inlineStr">
        <is>
          <t>Tích hợp sự kiện</t>
        </is>
      </c>
      <c r="D101" s="15" t="inlineStr">
        <is>
          <t>Nhắc-lỗi mạng: tạo sự kiện thất bại (mất mạng) hiển thị lỗi và không tạo trùng khi thử lại</t>
        </is>
      </c>
      <c r="E101" s="15" t="inlineStr">
        <is>
          <t>Giao diện</t>
        </is>
      </c>
      <c r="F101" s="17" t="inlineStr">
        <is>
          <t>Thấp</t>
        </is>
      </c>
      <c r="G101" s="17" t="inlineStr">
        <is>
          <t>Đã hoàn thiện</t>
        </is>
      </c>
      <c r="H101" s="20" t="inlineStr">
        <is>
          <t>Một phần</t>
        </is>
      </c>
      <c r="I101" s="15" t="inlineStr">
        <is>
          <t>Tài khoản seed @sofinhub.test / Passw0rd!x: owner, cadmin (admin photo), mod, member1, member2, member3 (member photo), newbie (chưa ở cộng đồng nào), banned (bị cấm khỏi photo), admin (Platform Admin, KHÔNG ghi danh photo).</t>
        </is>
      </c>
      <c r="J101" s="15" t="inlineStr">
        <is>
          <t>1. Đăng nhập mod, mở form tạo, điền dữ liệu
2. Bật chế độ offline của DevTools, bấm tạo
3. Tắt offline, bấm tạo lại</t>
        </is>
      </c>
      <c r="K101" s="15" t="inlineStr">
        <is>
          <t>-</t>
        </is>
      </c>
      <c r="L101" s="15" t="inlineStr">
        <is>
          <t>Lần 1 báo lỗi chữ đỏ, form giữ nguyên dữ liệu; lần 2 chỉ tạo đúng 1 sự kiện.</t>
        </is>
      </c>
      <c r="M101" s="15" t="inlineStr"/>
      <c r="N101" s="18" t="inlineStr">
        <is>
          <t>Chưa test</t>
        </is>
      </c>
      <c r="O101" s="15" t="inlineStr"/>
      <c r="P101" s="15" t="inlineStr"/>
      <c r="Q101" s="18" t="inlineStr">
        <is>
          <t>Chưa test</t>
        </is>
      </c>
      <c r="R101" s="15" t="inlineStr"/>
    </row>
    <row r="102" ht="60" customHeight="1">
      <c r="A102" s="14" t="inlineStr">
        <is>
          <t>TC-EVENT-101</t>
        </is>
      </c>
      <c r="B102" s="15" t="inlineStr">
        <is>
          <t>Lịch &amp; Sự kiện</t>
        </is>
      </c>
      <c r="C102" s="15" t="inlineStr">
        <is>
          <t>Tích hợp sự kiện</t>
        </is>
      </c>
      <c r="D102" s="15" t="inlineStr">
        <is>
          <t>Người vừa bị cấm mất quyền: sự kiện đã RSVP không còn truy cập được</t>
        </is>
      </c>
      <c r="E102" s="15" t="inlineStr">
        <is>
          <t>Bảo mật</t>
        </is>
      </c>
      <c r="F102" s="17" t="inlineStr">
        <is>
          <t>Thấp</t>
        </is>
      </c>
      <c r="G102" s="17" t="inlineStr">
        <is>
          <t>Đã hoàn thiện</t>
        </is>
      </c>
      <c r="H102" s="20" t="inlineStr">
        <is>
          <t>Một phần</t>
        </is>
      </c>
      <c r="I10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02" s="15" t="inlineStr">
        <is>
          <t>1. Đăng nhập member3@sofinhub.test (POST /api/auth/login, lấy accessToken, gắn header Authorization: Bearer).
2. RSVP một sự kiện
3. Cấm member3 khỏi photo (owner)
4. member3 GET /api/events/&lt;id&gt; và DELETE rsvp</t>
        </is>
      </c>
      <c r="K102" s="15" t="inlineStr">
        <is>
          <t>-</t>
        </is>
      </c>
      <c r="L102" s="15" t="inlineStr">
        <is>
          <t>403 FORBIDDEN, message "Bạn cần tham gia cộng đồng này trước"; RSVP cũ không tự xóa (tùy chọn dọn dẹp — ghi nhận); khôi phục dữ liệu seed sau test.</t>
        </is>
      </c>
      <c r="M102" s="15" t="inlineStr"/>
      <c r="N102" s="18" t="inlineStr">
        <is>
          <t>Chưa test</t>
        </is>
      </c>
      <c r="O102" s="15" t="inlineStr"/>
      <c r="P102" s="15" t="inlineStr"/>
      <c r="Q102" s="18" t="inlineStr">
        <is>
          <t>Chưa test</t>
        </is>
      </c>
      <c r="R102" s="15" t="inlineStr"/>
    </row>
    <row r="103" ht="30" customHeight="1">
      <c r="A103" s="14" t="inlineStr">
        <is>
          <t>TC-EVENT-102</t>
        </is>
      </c>
      <c r="B103" s="15" t="inlineStr">
        <is>
          <t>Lịch &amp; Sự kiện</t>
        </is>
      </c>
      <c r="C103" s="15" t="inlineStr">
        <is>
          <t>Tích hợp sự kiện</t>
        </is>
      </c>
      <c r="D103" s="15" t="inlineStr">
        <is>
          <t>Điểm rsvp của thành viên bị cấm không tính vào bảng xếp hạng</t>
        </is>
      </c>
      <c r="E103" s="15" t="inlineStr">
        <is>
          <t>Chức năng</t>
        </is>
      </c>
      <c r="F103" s="17" t="inlineStr">
        <is>
          <t>Thấp</t>
        </is>
      </c>
      <c r="G103" s="17" t="inlineStr">
        <is>
          <t>Đã hoàn thiện</t>
        </is>
      </c>
      <c r="H103" s="20" t="inlineStr">
        <is>
          <t>Một phần</t>
        </is>
      </c>
      <c r="I10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03" s="15" t="inlineStr">
        <is>
          <t>1. member3 RSVP (+1 điểm), sau đó bị cấm
2. GET /api/courses/photo/leaderboard</t>
        </is>
      </c>
      <c r="K103" s="15" t="inlineStr">
        <is>
          <t>-</t>
        </is>
      </c>
      <c r="L103" s="15" t="inlineStr">
        <is>
          <t>member3 không còn trong bảng xếp hạng photo (totalsByCourse loại người bị cấm).</t>
        </is>
      </c>
      <c r="M103" s="15" t="inlineStr"/>
      <c r="N103" s="18" t="inlineStr">
        <is>
          <t>Chưa test</t>
        </is>
      </c>
      <c r="O103" s="15" t="inlineStr"/>
      <c r="P103" s="15" t="inlineStr"/>
      <c r="Q103" s="18" t="inlineStr">
        <is>
          <t>Chưa test</t>
        </is>
      </c>
      <c r="R103" s="15" t="inlineStr"/>
    </row>
  </sheetData>
  <autoFilter ref="A1:R103"/>
  <conditionalFormatting sqref="N2:N1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3" showDropDown="0" showInputMessage="0" showErrorMessage="0" allowBlank="1" type="list">
      <formula1>"Chưa test,Pass,Fail,Blocked,N/A"</formula1>
    </dataValidation>
    <dataValidation sqref="Q2:Q103" showDropDown="0" showInputMessage="0" showErrorMessage="0" allowBlank="1" type="list">
      <formula1>"Chưa test,Pass,Fail,Blocked,N/A"</formula1>
    </dataValidation>
    <dataValidation sqref="F2:F103" showDropDown="0" showInputMessage="0" showErrorMessage="0" allowBlank="1" type="list">
      <formula1>"Cao,Trung bình,Thấp"</formula1>
    </dataValidation>
    <dataValidation sqref="G2:G103" showDropDown="0" showInputMessage="0" showErrorMessage="0" allowBlank="1" type="list">
      <formula1>"Đã hoàn thiện,Kế hoạch"</formula1>
    </dataValidation>
    <dataValidation sqref="H2:H103"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TC-NOTI-001</t>
        </is>
      </c>
      <c r="B2" s="15" t="inlineStr">
        <is>
          <t>Thông báo &amp; Nhắn tin</t>
        </is>
      </c>
      <c r="C2" s="15" t="inlineStr">
        <is>
          <t>Chuông thông báo</t>
        </is>
      </c>
      <c r="D2" s="15" t="inlineStr">
        <is>
          <t>Nhận thông báo khi có người bình luận bài viết của mình</t>
        </is>
      </c>
      <c r="E2" s="15" t="inlineStr">
        <is>
          <t>Chức năng</t>
        </is>
      </c>
      <c r="F2" s="20" t="inlineStr">
        <is>
          <t>Trung bình</t>
        </is>
      </c>
      <c r="G2" s="17" t="inlineStr">
        <is>
          <t>Đã hoàn thiện</t>
        </is>
      </c>
      <c r="H2" s="17" t="inlineStr">
        <is>
          <t>Có</t>
        </is>
      </c>
      <c r="I2" s="15" t="inlineStr">
        <is>
          <t>Có bài viết của người dùng A</t>
        </is>
      </c>
      <c r="J2" s="15" t="inlineStr">
        <is>
          <t>1. Người dùng B bình luận vào bài viết của A
2. Kiểm tra chuông thông báo của A</t>
        </is>
      </c>
      <c r="K2" s="15" t="inlineStr">
        <is>
          <t>-</t>
        </is>
      </c>
      <c r="L2" s="15" t="inlineStr">
        <is>
          <t>A nhận được thông báo mới về bình luận, số đếm chuông thông báo tăng</t>
        </is>
      </c>
      <c r="M2" s="15" t="inlineStr"/>
      <c r="N2" s="18" t="inlineStr">
        <is>
          <t>Chưa test</t>
        </is>
      </c>
      <c r="O2" s="15" t="inlineStr"/>
      <c r="P2" s="15" t="inlineStr"/>
      <c r="Q2" s="18" t="inlineStr">
        <is>
          <t>Chưa test</t>
        </is>
      </c>
      <c r="R2" s="15" t="inlineStr"/>
    </row>
    <row r="3" ht="30" customHeight="1">
      <c r="A3" s="14" t="inlineStr">
        <is>
          <t>TC-NOTI-002</t>
        </is>
      </c>
      <c r="B3" s="15" t="inlineStr">
        <is>
          <t>Thông báo &amp; Nhắn tin</t>
        </is>
      </c>
      <c r="C3" s="15" t="inlineStr">
        <is>
          <t>Chuông thông báo</t>
        </is>
      </c>
      <c r="D3" s="15" t="inlineStr">
        <is>
          <t>Nhận thông báo khi bài viết/bình luận được thích</t>
        </is>
      </c>
      <c r="E3" s="15" t="inlineStr">
        <is>
          <t>Chức năng</t>
        </is>
      </c>
      <c r="F3" s="17" t="inlineStr">
        <is>
          <t>Thấp</t>
        </is>
      </c>
      <c r="G3" s="17" t="inlineStr">
        <is>
          <t>Đã hoàn thiện</t>
        </is>
      </c>
      <c r="H3" s="17" t="inlineStr">
        <is>
          <t>Có</t>
        </is>
      </c>
      <c r="I3" s="15" t="inlineStr">
        <is>
          <t>Có bài viết/bình luận của người dùng A</t>
        </is>
      </c>
      <c r="J3" s="15" t="inlineStr">
        <is>
          <t>1. Người dùng B thích bài viết/bình luận của A
2. Kiểm tra chuông thông báo của A</t>
        </is>
      </c>
      <c r="K3" s="15" t="inlineStr">
        <is>
          <t>-</t>
        </is>
      </c>
      <c r="L3" s="15" t="inlineStr">
        <is>
          <t>A nhận được thông báo về lượt thích mới</t>
        </is>
      </c>
      <c r="M3" s="15" t="inlineStr"/>
      <c r="N3" s="18" t="inlineStr">
        <is>
          <t>Chưa test</t>
        </is>
      </c>
      <c r="O3" s="15" t="inlineStr"/>
      <c r="P3" s="15" t="inlineStr"/>
      <c r="Q3" s="18" t="inlineStr">
        <is>
          <t>Chưa test</t>
        </is>
      </c>
      <c r="R3" s="15" t="inlineStr"/>
    </row>
    <row r="4" ht="30" customHeight="1">
      <c r="A4" s="14" t="inlineStr">
        <is>
          <t>TC-NOTI-003</t>
        </is>
      </c>
      <c r="B4" s="15" t="inlineStr">
        <is>
          <t>Thông báo &amp; Nhắn tin</t>
        </is>
      </c>
      <c r="C4" s="15" t="inlineStr">
        <is>
          <t>Chuông thông báo</t>
        </is>
      </c>
      <c r="D4" s="15" t="inlineStr">
        <is>
          <t>Nhận thông báo khi được mời vào cộng đồng</t>
        </is>
      </c>
      <c r="E4" s="15" t="inlineStr">
        <is>
          <t>Chức năng</t>
        </is>
      </c>
      <c r="F4" s="20" t="inlineStr">
        <is>
          <t>Trung bình</t>
        </is>
      </c>
      <c r="G4" s="17" t="inlineStr">
        <is>
          <t>Đã hoàn thiện</t>
        </is>
      </c>
      <c r="H4" s="17" t="inlineStr">
        <is>
          <t>Có</t>
        </is>
      </c>
      <c r="I4" s="15" t="inlineStr">
        <is>
          <t>Owner gửi lời mời tới người dùng A</t>
        </is>
      </c>
      <c r="J4" s="15" t="inlineStr">
        <is>
          <t>1. Owner mời A vào cộng đồng riêng tư
2. Kiểm tra chuông thông báo của A</t>
        </is>
      </c>
      <c r="K4" s="15" t="inlineStr">
        <is>
          <t>-</t>
        </is>
      </c>
      <c r="L4" s="15" t="inlineStr">
        <is>
          <t>A nhận được thông báo lời mời kèm hành động chấp nhận/từ chối</t>
        </is>
      </c>
      <c r="M4" s="15" t="inlineStr"/>
      <c r="N4" s="18" t="inlineStr">
        <is>
          <t>Chưa test</t>
        </is>
      </c>
      <c r="O4" s="15" t="inlineStr"/>
      <c r="P4" s="15" t="inlineStr"/>
      <c r="Q4" s="18" t="inlineStr">
        <is>
          <t>Chưa test</t>
        </is>
      </c>
      <c r="R4" s="15" t="inlineStr"/>
    </row>
    <row r="5" ht="45" customHeight="1">
      <c r="A5" s="14" t="inlineStr">
        <is>
          <t>TC-NOTI-004</t>
        </is>
      </c>
      <c r="B5" s="15" t="inlineStr">
        <is>
          <t>Thông báo &amp; Nhắn tin</t>
        </is>
      </c>
      <c r="C5" s="15" t="inlineStr">
        <is>
          <t>Tin nhắn trực tiếp</t>
        </is>
      </c>
      <c r="D5" s="15" t="inlineStr">
        <is>
          <t>Gửi tin nhắn 1-1 tới thành viên khác</t>
        </is>
      </c>
      <c r="E5" s="15" t="inlineStr">
        <is>
          <t>Chức năng</t>
        </is>
      </c>
      <c r="F5" s="20" t="inlineStr">
        <is>
          <t>Trung bình</t>
        </is>
      </c>
      <c r="G5" s="17" t="inlineStr">
        <is>
          <t>Đã hoàn thiện</t>
        </is>
      </c>
      <c r="H5" s="17" t="inlineStr">
        <is>
          <t>Có</t>
        </is>
      </c>
      <c r="I5" s="15" t="inlineStr">
        <is>
          <t>2 tài khoản cùng ở chung 1 cộng đồng</t>
        </is>
      </c>
      <c r="J5" s="15" t="inlineStr">
        <is>
          <t>1. Mở hồ sơ 1 thành viên
2. Bấm 'Nhắn tin'
3. Nhập nội dung và gửi</t>
        </is>
      </c>
      <c r="K5" s="15" t="inlineStr">
        <is>
          <t>-</t>
        </is>
      </c>
      <c r="L5" s="15" t="inlineStr">
        <is>
          <t>Tin nhắn được gửi và hiển thị đúng trong khung chat của cả 2 bên</t>
        </is>
      </c>
      <c r="M5" s="15" t="inlineStr"/>
      <c r="N5" s="18" t="inlineStr">
        <is>
          <t>Chưa test</t>
        </is>
      </c>
      <c r="O5" s="15" t="inlineStr"/>
      <c r="P5" s="15" t="inlineStr"/>
      <c r="Q5" s="18" t="inlineStr">
        <is>
          <t>Chưa test</t>
        </is>
      </c>
      <c r="R5" s="15" t="inlineStr"/>
    </row>
    <row r="6" ht="30" customHeight="1">
      <c r="A6" s="14" t="inlineStr">
        <is>
          <t>TC-NOTI-005</t>
        </is>
      </c>
      <c r="B6" s="15" t="inlineStr">
        <is>
          <t>Thông báo &amp; Nhắn tin</t>
        </is>
      </c>
      <c r="C6" s="15" t="inlineStr">
        <is>
          <t>Tin nhắn trực tiếp</t>
        </is>
      </c>
      <c r="D6" s="15" t="inlineStr">
        <is>
          <t>Nhận tin nhắn trực tiếp theo thời gian thực</t>
        </is>
      </c>
      <c r="E6" s="15" t="inlineStr">
        <is>
          <t>Chức năng</t>
        </is>
      </c>
      <c r="F6" s="20" t="inlineStr">
        <is>
          <t>Trung bình</t>
        </is>
      </c>
      <c r="G6" s="17" t="inlineStr">
        <is>
          <t>Đã hoàn thiện</t>
        </is>
      </c>
      <c r="H6" s="20" t="inlineStr">
        <is>
          <t>Một phần</t>
        </is>
      </c>
      <c r="I6" s="15" t="inlineStr">
        <is>
          <t>Đang mở cuộc trò chuyện 1-1</t>
        </is>
      </c>
      <c r="J6" s="15" t="inlineStr">
        <is>
          <t>1. Người A gửi tin nhắn cho người B đang online
2. Quan sát màn hình của B</t>
        </is>
      </c>
      <c r="K6" s="15" t="inlineStr">
        <is>
          <t>-</t>
        </is>
      </c>
      <c r="L6" s="15" t="inlineStr">
        <is>
          <t>B nhận được tin nhắn ngay không cần tải lại trang (real-time)</t>
        </is>
      </c>
      <c r="M6" s="15" t="inlineStr"/>
      <c r="N6" s="18" t="inlineStr">
        <is>
          <t>Chưa test</t>
        </is>
      </c>
      <c r="O6" s="15" t="inlineStr"/>
      <c r="P6" s="15" t="inlineStr"/>
      <c r="Q6" s="18" t="inlineStr">
        <is>
          <t>Chưa test</t>
        </is>
      </c>
      <c r="R6" s="15" t="inlineStr"/>
    </row>
    <row r="7" ht="30" customHeight="1">
      <c r="A7" s="14" t="inlineStr">
        <is>
          <t>TC-NOTI-006</t>
        </is>
      </c>
      <c r="B7" s="15" t="inlineStr">
        <is>
          <t>Thông báo &amp; Nhắn tin</t>
        </is>
      </c>
      <c r="C7" s="15" t="inlineStr">
        <is>
          <t>Email giao dịch</t>
        </is>
      </c>
      <c r="D7" s="15" t="inlineStr">
        <is>
          <t>Gửi email xác nhận khi đăng ký tài khoản/tham gia thành công</t>
        </is>
      </c>
      <c r="E7" s="15" t="inlineStr">
        <is>
          <t>Tích hợp</t>
        </is>
      </c>
      <c r="F7" s="20" t="inlineStr">
        <is>
          <t>Trung bình</t>
        </is>
      </c>
      <c r="G7" s="20" t="inlineStr">
        <is>
          <t>Kế hoạch</t>
        </is>
      </c>
      <c r="H7" s="16" t="inlineStr">
        <is>
          <t>Không</t>
        </is>
      </c>
      <c r="I7" s="15" t="inlineStr">
        <is>
          <t>Vừa đăng ký tài khoản hoặc tham gia gói trả phí</t>
        </is>
      </c>
      <c r="J7" s="15" t="inlineStr">
        <is>
          <t>1. Hoàn tất đăng ký/tham gia
2. Kiểm tra hộp thư email đã đăng ký</t>
        </is>
      </c>
      <c r="K7" s="15" t="inlineStr">
        <is>
          <t>-</t>
        </is>
      </c>
      <c r="L7" s="15" t="inlineStr">
        <is>
          <t>Nhận được email xác nhận đúng nội dung, đúng thời gian hợp lý (vài phút)</t>
        </is>
      </c>
      <c r="M7" s="15" t="inlineStr"/>
      <c r="N7" s="18" t="inlineStr">
        <is>
          <t>Chưa test</t>
        </is>
      </c>
      <c r="O7" s="15" t="inlineStr"/>
      <c r="P7" s="15" t="inlineStr"/>
      <c r="Q7" s="18" t="inlineStr">
        <is>
          <t>Chưa test</t>
        </is>
      </c>
      <c r="R7" s="15" t="inlineStr"/>
    </row>
    <row r="8" ht="30" customHeight="1">
      <c r="A8" s="14" t="inlineStr">
        <is>
          <t>TC-NOTI-007</t>
        </is>
      </c>
      <c r="B8" s="15" t="inlineStr">
        <is>
          <t>Thông báo &amp; Nhắn tin</t>
        </is>
      </c>
      <c r="C8" s="15" t="inlineStr">
        <is>
          <t>Email giao dịch</t>
        </is>
      </c>
      <c r="D8" s="15" t="inlineStr">
        <is>
          <t>Gửi email hóa đơn sau khi thanh toán thành công</t>
        </is>
      </c>
      <c r="E8" s="15" t="inlineStr">
        <is>
          <t>Tích hợp</t>
        </is>
      </c>
      <c r="F8" s="20" t="inlineStr">
        <is>
          <t>Trung bình</t>
        </is>
      </c>
      <c r="G8" s="20" t="inlineStr">
        <is>
          <t>Kế hoạch</t>
        </is>
      </c>
      <c r="H8" s="16" t="inlineStr">
        <is>
          <t>Không</t>
        </is>
      </c>
      <c r="I8" s="15" t="inlineStr">
        <is>
          <t>Vừa thanh toán thành công 1 gói</t>
        </is>
      </c>
      <c r="J8" s="15" t="inlineStr">
        <is>
          <t>1. Thanh toán thành công
2. Kiểm tra hộp thư email</t>
        </is>
      </c>
      <c r="K8" s="15" t="inlineStr">
        <is>
          <t>-</t>
        </is>
      </c>
      <c r="L8" s="15" t="inlineStr">
        <is>
          <t>Nhận được email hóa đơn với đầy đủ thông tin giao dịch, số tiền, gói đã mua</t>
        </is>
      </c>
      <c r="M8" s="15" t="inlineStr"/>
      <c r="N8" s="18" t="inlineStr">
        <is>
          <t>Chưa test</t>
        </is>
      </c>
      <c r="O8" s="15" t="inlineStr"/>
      <c r="P8" s="15" t="inlineStr"/>
      <c r="Q8" s="18" t="inlineStr">
        <is>
          <t>Chưa test</t>
        </is>
      </c>
      <c r="R8" s="15" t="inlineStr"/>
    </row>
    <row r="9" ht="30" customHeight="1">
      <c r="A9" s="14" t="inlineStr">
        <is>
          <t>TC-NOTI-008</t>
        </is>
      </c>
      <c r="B9" s="15" t="inlineStr">
        <is>
          <t>Thông báo &amp; Nhắn tin</t>
        </is>
      </c>
      <c r="C9" s="15" t="inlineStr">
        <is>
          <t>Email giao dịch</t>
        </is>
      </c>
      <c r="D9" s="15" t="inlineStr">
        <is>
          <t>Gửi email nhắc gia hạn trước ngày thu phí chu kỳ mới</t>
        </is>
      </c>
      <c r="E9" s="15" t="inlineStr">
        <is>
          <t>Tích hợp</t>
        </is>
      </c>
      <c r="F9" s="20" t="inlineStr">
        <is>
          <t>Trung bình</t>
        </is>
      </c>
      <c r="G9" s="20" t="inlineStr">
        <is>
          <t>Kế hoạch</t>
        </is>
      </c>
      <c r="H9" s="16" t="inlineStr">
        <is>
          <t>Không</t>
        </is>
      </c>
      <c r="I9" s="15" t="inlineStr">
        <is>
          <t>Có gói sắp tới chu kỳ gia hạn</t>
        </is>
      </c>
      <c r="J9" s="15" t="inlineStr">
        <is>
          <t>1. Chờ tới thời điểm nhắc trước gia hạn theo cấu hình</t>
        </is>
      </c>
      <c r="K9" s="15" t="inlineStr">
        <is>
          <t>-</t>
        </is>
      </c>
      <c r="L9" s="15" t="inlineStr">
        <is>
          <t>Nhận được email nhắc gia hạn trước ngày thu phí thực tế</t>
        </is>
      </c>
      <c r="M9" s="15" t="inlineStr"/>
      <c r="N9" s="18" t="inlineStr">
        <is>
          <t>Chưa test</t>
        </is>
      </c>
      <c r="O9" s="15" t="inlineStr"/>
      <c r="P9" s="15" t="inlineStr"/>
      <c r="Q9" s="18" t="inlineStr">
        <is>
          <t>Chưa test</t>
        </is>
      </c>
      <c r="R9" s="15" t="inlineStr"/>
    </row>
    <row r="10" ht="30" customHeight="1">
      <c r="A10" s="14" t="inlineStr">
        <is>
          <t>TC-NOTI-009</t>
        </is>
      </c>
      <c r="B10" s="15" t="inlineStr">
        <is>
          <t>Thông báo &amp; Nhắn tin</t>
        </is>
      </c>
      <c r="C10" s="15" t="inlineStr">
        <is>
          <t>Chuông thông báo</t>
        </is>
      </c>
      <c r="D10" s="15" t="inlineStr">
        <is>
          <t>Đánh dấu đã đọc một thông báo</t>
        </is>
      </c>
      <c r="E10" s="15" t="inlineStr">
        <is>
          <t>Chức năng</t>
        </is>
      </c>
      <c r="F10" s="17" t="inlineStr">
        <is>
          <t>Thấp</t>
        </is>
      </c>
      <c r="G10" s="17" t="inlineStr">
        <is>
          <t>Đã hoàn thiện</t>
        </is>
      </c>
      <c r="H10" s="17" t="inlineStr">
        <is>
          <t>Có</t>
        </is>
      </c>
      <c r="I10" s="15" t="inlineStr">
        <is>
          <t>Có thông báo chưa đọc</t>
        </is>
      </c>
      <c r="J10" s="15" t="inlineStr">
        <is>
          <t>1. Mở chuông thông báo
2. Bấm vào 1 thông báo chưa đọc</t>
        </is>
      </c>
      <c r="K10" s="15" t="inlineStr">
        <is>
          <t>-</t>
        </is>
      </c>
      <c r="L10" s="15" t="inlineStr">
        <is>
          <t>Thông báo chuyển trạng thái đã đọc, số đếm chưa đọc giảm tương ứng</t>
        </is>
      </c>
      <c r="M10" s="15" t="inlineStr"/>
      <c r="N10" s="18" t="inlineStr">
        <is>
          <t>Chưa test</t>
        </is>
      </c>
      <c r="O10" s="15" t="inlineStr"/>
      <c r="P10" s="15" t="inlineStr"/>
      <c r="Q10" s="18" t="inlineStr">
        <is>
          <t>Chưa test</t>
        </is>
      </c>
      <c r="R10" s="15" t="inlineStr"/>
    </row>
    <row r="11" ht="30" customHeight="1">
      <c r="A11" s="14" t="inlineStr">
        <is>
          <t>TC-NOTI-010</t>
        </is>
      </c>
      <c r="B11" s="15" t="inlineStr">
        <is>
          <t>Thông báo &amp; Nhắn tin</t>
        </is>
      </c>
      <c r="C11" s="15" t="inlineStr">
        <is>
          <t>Chuông thông báo</t>
        </is>
      </c>
      <c r="D11" s="15" t="inlineStr">
        <is>
          <t>Đánh dấu tất cả thông báo đã đọc</t>
        </is>
      </c>
      <c r="E11" s="15" t="inlineStr">
        <is>
          <t>Chức năng</t>
        </is>
      </c>
      <c r="F11" s="17" t="inlineStr">
        <is>
          <t>Thấp</t>
        </is>
      </c>
      <c r="G11" s="17" t="inlineStr">
        <is>
          <t>Đã hoàn thiện</t>
        </is>
      </c>
      <c r="H11" s="17" t="inlineStr">
        <is>
          <t>Có</t>
        </is>
      </c>
      <c r="I11" s="15" t="inlineStr">
        <is>
          <t>Có nhiều thông báo chưa đọc</t>
        </is>
      </c>
      <c r="J11" s="15" t="inlineStr">
        <is>
          <t>1. Mở chuông thông báo
2. Bấm 'Đánh dấu tất cả đã đọc'</t>
        </is>
      </c>
      <c r="K11" s="15" t="inlineStr">
        <is>
          <t>-</t>
        </is>
      </c>
      <c r="L11" s="15" t="inlineStr">
        <is>
          <t>Toàn bộ thông báo chuyển trạng thái đã đọc, số đếm về 0</t>
        </is>
      </c>
      <c r="M11" s="15" t="inlineStr"/>
      <c r="N11" s="18" t="inlineStr">
        <is>
          <t>Chưa test</t>
        </is>
      </c>
      <c r="O11" s="15" t="inlineStr"/>
      <c r="P11" s="15" t="inlineStr"/>
      <c r="Q11" s="18" t="inlineStr">
        <is>
          <t>Chưa test</t>
        </is>
      </c>
      <c r="R11" s="15" t="inlineStr"/>
    </row>
    <row r="12" ht="30" customHeight="1">
      <c r="A12" s="14" t="inlineStr">
        <is>
          <t>TC-NOTI-011</t>
        </is>
      </c>
      <c r="B12" s="15" t="inlineStr">
        <is>
          <t>Thông báo &amp; Nhắn tin</t>
        </is>
      </c>
      <c r="C12" s="15" t="inlineStr">
        <is>
          <t>Tin nhắn trực tiếp</t>
        </is>
      </c>
      <c r="D12" s="15" t="inlineStr">
        <is>
          <t>Không thể nhắn tin cho người không cùng cộng đồng nào</t>
        </is>
      </c>
      <c r="E12" s="15" t="inlineStr">
        <is>
          <t>Bảo mật</t>
        </is>
      </c>
      <c r="F12" s="20" t="inlineStr">
        <is>
          <t>Trung bình</t>
        </is>
      </c>
      <c r="G12" s="17" t="inlineStr">
        <is>
          <t>Đã hoàn thiện</t>
        </is>
      </c>
      <c r="H12" s="17" t="inlineStr">
        <is>
          <t>Có</t>
        </is>
      </c>
      <c r="I12" s="15" t="inlineStr">
        <is>
          <t>2 tài khoản không chung cộng đồng nào</t>
        </is>
      </c>
      <c r="J12" s="15" t="inlineStr">
        <is>
          <t>1. Thử mở khung chat/nhắn tin tới 1 tài khoản không cùng cộng đồng nào với mình</t>
        </is>
      </c>
      <c r="K12" s="15" t="inlineStr">
        <is>
          <t>-</t>
        </is>
      </c>
      <c r="L12" s="15" t="inlineStr">
        <is>
          <t>Bị chặn hoặc không có tùy chọn nhắn tin, tuân theo đúng quy tắc quyền riêng tư</t>
        </is>
      </c>
      <c r="M12" s="15" t="inlineStr"/>
      <c r="N12" s="18" t="inlineStr">
        <is>
          <t>Chưa test</t>
        </is>
      </c>
      <c r="O12" s="15" t="inlineStr"/>
      <c r="P12" s="15" t="inlineStr"/>
      <c r="Q12" s="18" t="inlineStr">
        <is>
          <t>Chưa test</t>
        </is>
      </c>
      <c r="R12" s="15" t="inlineStr"/>
    </row>
    <row r="13" ht="45" customHeight="1">
      <c r="A13" s="14" t="inlineStr">
        <is>
          <t>TC-NOTI-012</t>
        </is>
      </c>
      <c r="B13" s="15" t="inlineStr">
        <is>
          <t>Thông báo &amp; Nhắn tin</t>
        </is>
      </c>
      <c r="C13" s="15" t="inlineStr">
        <is>
          <t>Email giao dịch</t>
        </is>
      </c>
      <c r="D13" s="15" t="inlineStr">
        <is>
          <t>Email giao dịch gửi đúng ngôn ngữ theo cài đặt tài khoản</t>
        </is>
      </c>
      <c r="E13" s="15" t="inlineStr">
        <is>
          <t>Tích hợp</t>
        </is>
      </c>
      <c r="F13" s="17" t="inlineStr">
        <is>
          <t>Thấp</t>
        </is>
      </c>
      <c r="G13" s="20" t="inlineStr">
        <is>
          <t>Kế hoạch</t>
        </is>
      </c>
      <c r="H13" s="16" t="inlineStr">
        <is>
          <t>Không</t>
        </is>
      </c>
      <c r="I13" s="15" t="inlineStr">
        <is>
          <t>Tài khoản đã chọn ngôn ngữ English</t>
        </is>
      </c>
      <c r="J13" s="15" t="inlineStr">
        <is>
          <t>1. Đổi ngôn ngữ tài khoản sang English
2. Kích hoạt 1 sự kiện gửi email giao dịch (VD đăng ký thành công)
3. Kiểm tra nội dung email</t>
        </is>
      </c>
      <c r="K13" s="15" t="inlineStr">
        <is>
          <t>-</t>
        </is>
      </c>
      <c r="L13" s="15" t="inlineStr">
        <is>
          <t>Email nhận được có nội dung bằng tiếng Anh, đúng theo cài đặt ngôn ngữ tài khoản</t>
        </is>
      </c>
      <c r="M13" s="15" t="inlineStr"/>
      <c r="N13" s="18" t="inlineStr">
        <is>
          <t>Chưa test</t>
        </is>
      </c>
      <c r="O13" s="15" t="inlineStr"/>
      <c r="P13" s="15" t="inlineStr"/>
      <c r="Q13" s="18" t="inlineStr">
        <is>
          <t>Chưa test</t>
        </is>
      </c>
      <c r="R13" s="15" t="inlineStr"/>
    </row>
    <row r="14" ht="30" customHeight="1">
      <c r="A14" s="14" t="inlineStr">
        <is>
          <t>TC-NOTI-013</t>
        </is>
      </c>
      <c r="B14" s="15" t="inlineStr">
        <is>
          <t>Thông báo &amp; Nhắn tin</t>
        </is>
      </c>
      <c r="C14" s="15" t="inlineStr">
        <is>
          <t>Danh sách thông báo (API)</t>
        </is>
      </c>
      <c r="D14" s="15" t="inlineStr">
        <is>
          <t>Seed member1: danh sách mặc định trả 7 thông báo, mới nhất trước</t>
        </is>
      </c>
      <c r="E14" s="15" t="inlineStr">
        <is>
          <t>Chức năng</t>
        </is>
      </c>
      <c r="F14" s="16" t="inlineStr">
        <is>
          <t>Cao</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Đăng nhập lấy accessToken của member1
2. Gọi GET /api/notifications không tham số</t>
        </is>
      </c>
      <c r="K14" s="15" t="inlineStr">
        <is>
          <t>Không query</t>
        </is>
      </c>
      <c r="L14" s="15" t="inlineStr">
        <is>
          <t>200; data có 7 phần tử theo thứ tự seed-notif-member1-1 (10 phút trước) ... -7 (5 ngày trước); meta.page=1, limit=20 (mặc định), total=7; mọi phần tử userId=member1; 4 phần tử đầu readAt=null, 3 phần tử sau readAt khác null.</t>
        </is>
      </c>
      <c r="M14" s="15" t="inlineStr"/>
      <c r="N14" s="18" t="inlineStr">
        <is>
          <t>Chưa test</t>
        </is>
      </c>
      <c r="O14" s="15" t="inlineStr"/>
      <c r="P14" s="15" t="inlineStr"/>
      <c r="Q14" s="18" t="inlineStr">
        <is>
          <t>Chưa test</t>
        </is>
      </c>
      <c r="R14" s="15" t="inlineStr"/>
    </row>
    <row r="15" ht="30" customHeight="1">
      <c r="A15" s="14" t="inlineStr">
        <is>
          <t>TC-NOTI-014</t>
        </is>
      </c>
      <c r="B15" s="15" t="inlineStr">
        <is>
          <t>Thông báo &amp; Nhắn tin</t>
        </is>
      </c>
      <c r="C15" s="15" t="inlineStr">
        <is>
          <t>Danh sách thông báo (API)</t>
        </is>
      </c>
      <c r="D15" s="15" t="inlineStr">
        <is>
          <t>Lọc unread=true chỉ trả 4 thông báo chưa đọc của seed</t>
        </is>
      </c>
      <c r="E15" s="15" t="inlineStr">
        <is>
          <t>Chức năng</t>
        </is>
      </c>
      <c r="F15" s="16" t="inlineStr">
        <is>
          <t>Cao</t>
        </is>
      </c>
      <c r="G15" s="17" t="inlineStr">
        <is>
          <t>Đã hoàn thiện</t>
        </is>
      </c>
      <c r="H15" s="17" t="inlineStr">
        <is>
          <t>Có</t>
        </is>
      </c>
      <c r="I15" s="15" t="inlineStr">
        <is>
          <t>Vừa chạy db:seed, chưa thao tác gì (kịch bản seed member1: 7 thông báo, 4 chưa đọc: seed-notif-member1-1..4; 3 đã đọc: -5..-7). Đăng nhập member1@sofinhub.test / Passw0rd!x</t>
        </is>
      </c>
      <c r="J15" s="15" t="inlineStr">
        <is>
          <t>1. GET /api/notifications?unread=true</t>
        </is>
      </c>
      <c r="K15" s="15" t="inlineStr">
        <is>
          <t>unread=true</t>
        </is>
      </c>
      <c r="L15" s="15" t="inlineStr">
        <is>
          <t>200; data gồm đúng seed-notif-member1-1, -2, -3, -4 (post_liked, post_commented, event_reminder, message_received), meta.total=4; không có thông báo đã đọc.</t>
        </is>
      </c>
      <c r="M15" s="15" t="inlineStr"/>
      <c r="N15" s="18" t="inlineStr">
        <is>
          <t>Chưa test</t>
        </is>
      </c>
      <c r="O15" s="15" t="inlineStr"/>
      <c r="P15" s="15" t="inlineStr"/>
      <c r="Q15" s="18" t="inlineStr">
        <is>
          <t>Chưa test</t>
        </is>
      </c>
      <c r="R15" s="15" t="inlineStr"/>
    </row>
    <row r="16" ht="30" customHeight="1">
      <c r="A16" s="14" t="inlineStr">
        <is>
          <t>TC-NOTI-015</t>
        </is>
      </c>
      <c r="B16" s="15" t="inlineStr">
        <is>
          <t>Thông báo &amp; Nhắn tin</t>
        </is>
      </c>
      <c r="C16" s="15" t="inlineStr">
        <is>
          <t>Danh sách thông báo (API)</t>
        </is>
      </c>
      <c r="D16" s="15" t="inlineStr">
        <is>
          <t>unread=false không lọc (vẫn trả cả đã đọc lẫn chưa đọc)</t>
        </is>
      </c>
      <c r="E16" s="15" t="inlineStr">
        <is>
          <t>Chức năng</t>
        </is>
      </c>
      <c r="F16" s="20" t="inlineStr">
        <is>
          <t>Trung bình</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t>
        </is>
      </c>
      <c r="J16" s="15" t="inlineStr">
        <is>
          <t>1. GET /api/notifications?unread=false</t>
        </is>
      </c>
      <c r="K16" s="15" t="inlineStr">
        <is>
          <t>unread=false</t>
        </is>
      </c>
      <c r="L16" s="15" t="inlineStr">
        <is>
          <t>200; total=7 (theo code, unread=false được đổi thành false = không áp dụng bộ lọc, KHÔNG phải "chỉ đã đọc"; hành vi cần chốt với FE).</t>
        </is>
      </c>
      <c r="M16" s="15" t="inlineStr"/>
      <c r="N16" s="18" t="inlineStr">
        <is>
          <t>Chưa test</t>
        </is>
      </c>
      <c r="O16" s="15" t="inlineStr"/>
      <c r="P16" s="15" t="inlineStr"/>
      <c r="Q16" s="18" t="inlineStr">
        <is>
          <t>Chưa test</t>
        </is>
      </c>
      <c r="R16" s="15" t="inlineStr"/>
    </row>
    <row r="17" ht="60" customHeight="1">
      <c r="A17" s="14" t="inlineStr">
        <is>
          <t>TC-NOTI-016</t>
        </is>
      </c>
      <c r="B17" s="15" t="inlineStr">
        <is>
          <t>Thông báo &amp; Nhắn tin</t>
        </is>
      </c>
      <c r="C17" s="15" t="inlineStr">
        <is>
          <t>Danh sách thông báo (API)</t>
        </is>
      </c>
      <c r="D17" s="15" t="inlineStr">
        <is>
          <t>Phân trang limit=3: 3 trang có 3/3/1 phần tử</t>
        </is>
      </c>
      <c r="E17" s="15" t="inlineStr">
        <is>
          <t>Chức năng</t>
        </is>
      </c>
      <c r="F17" s="16" t="inlineStr">
        <is>
          <t>Cao</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/api/notifications?limit=3&amp;page=1
2. GET ...?limit=3&amp;page=2
3. GET ...?limit=3&amp;page=3
4. GET ...?limit=3&amp;page=4</t>
        </is>
      </c>
      <c r="K17" s="15" t="inlineStr">
        <is>
          <t>limit=3, page=1..4</t>
        </is>
      </c>
      <c r="L17" s="15" t="inlineStr">
        <is>
          <t>Trang 1: -1,-2,-3; trang 2: -4,-5,-6; trang 3: chỉ -7; meta.totalPages=3, total=7; trang 4 trả 200 với data=[] (không lỗi), không phần tử nào lặp giữa các trang.</t>
        </is>
      </c>
      <c r="M17" s="15" t="inlineStr"/>
      <c r="N17" s="18" t="inlineStr">
        <is>
          <t>Chưa test</t>
        </is>
      </c>
      <c r="O17" s="15" t="inlineStr"/>
      <c r="P17" s="15" t="inlineStr"/>
      <c r="Q17" s="18" t="inlineStr">
        <is>
          <t>Chưa test</t>
        </is>
      </c>
      <c r="R17" s="15" t="inlineStr"/>
    </row>
    <row r="18" ht="30" customHeight="1">
      <c r="A18" s="14" t="inlineStr">
        <is>
          <t>TC-NOTI-017</t>
        </is>
      </c>
      <c r="B18" s="15" t="inlineStr">
        <is>
          <t>Thông báo &amp; Nhắn tin</t>
        </is>
      </c>
      <c r="C18" s="15" t="inlineStr">
        <is>
          <t>Danh sách thông báo (API)</t>
        </is>
      </c>
      <c r="D18" s="15" t="inlineStr">
        <is>
          <t>Tham số không hợp lệ bị từ chối: limit=51 vượt tối đa 50</t>
        </is>
      </c>
      <c r="E18" s="15" t="inlineStr">
        <is>
          <t>Chức năng</t>
        </is>
      </c>
      <c r="F18" s="20" t="inlineStr">
        <is>
          <t>Trung bình</t>
        </is>
      </c>
      <c r="G18" s="17" t="inlineStr">
        <is>
          <t>Đã hoàn thiện</t>
        </is>
      </c>
      <c r="H18" s="17" t="inlineStr">
        <is>
          <t>Có</t>
        </is>
      </c>
      <c r="I18" s="15" t="inlineStr">
        <is>
          <t>Đăng nhập member1 (Passw0rd!x)</t>
        </is>
      </c>
      <c r="J18" s="15" t="inlineStr">
        <is>
          <t>1. GET /api/notifications?limit=51</t>
        </is>
      </c>
      <c r="K18" s="15" t="inlineStr">
        <is>
          <t>limit=51</t>
        </is>
      </c>
      <c r="L18" s="15" t="inlineStr">
        <is>
          <t>400 VALIDATION_ERROR, message "Tham số không hợp lệ"; details.fieldErrors chỉ ra tham số sai; không trả dữ liệu.</t>
        </is>
      </c>
      <c r="M18" s="15" t="inlineStr"/>
      <c r="N18" s="18" t="inlineStr">
        <is>
          <t>Chưa test</t>
        </is>
      </c>
      <c r="O18" s="15" t="inlineStr"/>
      <c r="P18" s="15" t="inlineStr"/>
      <c r="Q18" s="18" t="inlineStr">
        <is>
          <t>Chưa test</t>
        </is>
      </c>
      <c r="R18" s="15" t="inlineStr"/>
    </row>
    <row r="19" ht="30" customHeight="1">
      <c r="A19" s="14" t="inlineStr">
        <is>
          <t>TC-NOTI-018</t>
        </is>
      </c>
      <c r="B19" s="15" t="inlineStr">
        <is>
          <t>Thông báo &amp; Nhắn tin</t>
        </is>
      </c>
      <c r="C19" s="15" t="inlineStr">
        <is>
          <t>Danh sách thông báo (API)</t>
        </is>
      </c>
      <c r="D19" s="15" t="inlineStr">
        <is>
          <t>Tham số không hợp lệ bị từ chối: limit=0</t>
        </is>
      </c>
      <c r="E19" s="15" t="inlineStr">
        <is>
          <t>Chức năng</t>
        </is>
      </c>
      <c r="F19" s="20" t="inlineStr">
        <is>
          <t>Trung bình</t>
        </is>
      </c>
      <c r="G19" s="17" t="inlineStr">
        <is>
          <t>Đã hoàn thiện</t>
        </is>
      </c>
      <c r="H19" s="17" t="inlineStr">
        <is>
          <t>Có</t>
        </is>
      </c>
      <c r="I19" s="15" t="inlineStr">
        <is>
          <t>Đăng nhập member1 (Passw0rd!x)</t>
        </is>
      </c>
      <c r="J19" s="15" t="inlineStr">
        <is>
          <t>1. GET /api/notifications?limit=0</t>
        </is>
      </c>
      <c r="K19" s="15" t="inlineStr">
        <is>
          <t>limit=0</t>
        </is>
      </c>
      <c r="L19" s="15" t="inlineStr">
        <is>
          <t>400 VALIDATION_ERROR, message "Tham số không hợp lệ"; details.fieldErrors chỉ ra tham số sai; không trả dữ liệu.</t>
        </is>
      </c>
      <c r="M19" s="15" t="inlineStr"/>
      <c r="N19" s="18" t="inlineStr">
        <is>
          <t>Chưa test</t>
        </is>
      </c>
      <c r="O19" s="15" t="inlineStr"/>
      <c r="P19" s="15" t="inlineStr"/>
      <c r="Q19" s="18" t="inlineStr">
        <is>
          <t>Chưa test</t>
        </is>
      </c>
      <c r="R19" s="15" t="inlineStr"/>
    </row>
    <row r="20" ht="30" customHeight="1">
      <c r="A20" s="14" t="inlineStr">
        <is>
          <t>TC-NOTI-019</t>
        </is>
      </c>
      <c r="B20" s="15" t="inlineStr">
        <is>
          <t>Thông báo &amp; Nhắn tin</t>
        </is>
      </c>
      <c r="C20" s="15" t="inlineStr">
        <is>
          <t>Danh sách thông báo (API)</t>
        </is>
      </c>
      <c r="D20" s="15" t="inlineStr">
        <is>
          <t>Tham số không hợp lệ bị từ chối: page=0</t>
        </is>
      </c>
      <c r="E20" s="15" t="inlineStr">
        <is>
          <t>Chức năng</t>
        </is>
      </c>
      <c r="F20" s="20" t="inlineStr">
        <is>
          <t>Trung bình</t>
        </is>
      </c>
      <c r="G20" s="17" t="inlineStr">
        <is>
          <t>Đã hoàn thiện</t>
        </is>
      </c>
      <c r="H20" s="17" t="inlineStr">
        <is>
          <t>Có</t>
        </is>
      </c>
      <c r="I20" s="15" t="inlineStr">
        <is>
          <t>Đăng nhập member1 (Passw0rd!x)</t>
        </is>
      </c>
      <c r="J20" s="15" t="inlineStr">
        <is>
          <t>1. GET /api/notifications?page=0</t>
        </is>
      </c>
      <c r="K20" s="15" t="inlineStr">
        <is>
          <t>page=0</t>
        </is>
      </c>
      <c r="L20" s="15" t="inlineStr">
        <is>
          <t>400 VALIDATION_ERROR, message "Tham số không hợp lệ"; details.fieldErrors chỉ ra tham số sai; không trả dữ liệu.</t>
        </is>
      </c>
      <c r="M20" s="15" t="inlineStr"/>
      <c r="N20" s="18" t="inlineStr">
        <is>
          <t>Chưa test</t>
        </is>
      </c>
      <c r="O20" s="15" t="inlineStr"/>
      <c r="P20" s="15" t="inlineStr"/>
      <c r="Q20" s="18" t="inlineStr">
        <is>
          <t>Chưa test</t>
        </is>
      </c>
      <c r="R20" s="15" t="inlineStr"/>
    </row>
    <row r="21" ht="30" customHeight="1">
      <c r="A21" s="14" t="inlineStr">
        <is>
          <t>TC-NOTI-020</t>
        </is>
      </c>
      <c r="B21" s="15" t="inlineStr">
        <is>
          <t>Thông báo &amp; Nhắn tin</t>
        </is>
      </c>
      <c r="C21" s="15" t="inlineStr">
        <is>
          <t>Danh sách thông báo (API)</t>
        </is>
      </c>
      <c r="D21" s="15" t="inlineStr">
        <is>
          <t>Tham số không hợp lệ bị từ chối: limit=abc không phải số</t>
        </is>
      </c>
      <c r="E21" s="15" t="inlineStr">
        <is>
          <t>Chức năng</t>
        </is>
      </c>
      <c r="F21" s="20" t="inlineStr">
        <is>
          <t>Trung bình</t>
        </is>
      </c>
      <c r="G21" s="17" t="inlineStr">
        <is>
          <t>Đã hoàn thiện</t>
        </is>
      </c>
      <c r="H21" s="17" t="inlineStr">
        <is>
          <t>Có</t>
        </is>
      </c>
      <c r="I21" s="15" t="inlineStr">
        <is>
          <t>Đăng nhập member1 (Passw0rd!x)</t>
        </is>
      </c>
      <c r="J21" s="15" t="inlineStr">
        <is>
          <t>1. GET /api/notifications?limit=abc</t>
        </is>
      </c>
      <c r="K21" s="15" t="inlineStr">
        <is>
          <t>limit=abc</t>
        </is>
      </c>
      <c r="L21" s="15" t="inlineStr">
        <is>
          <t>400 VALIDATION_ERROR, message "Tham số không hợp lệ"; details.fieldErrors chỉ ra tham số sai; không trả dữ liệu.</t>
        </is>
      </c>
      <c r="M21" s="15" t="inlineStr"/>
      <c r="N21" s="18" t="inlineStr">
        <is>
          <t>Chưa test</t>
        </is>
      </c>
      <c r="O21" s="15" t="inlineStr"/>
      <c r="P21" s="15" t="inlineStr"/>
      <c r="Q21" s="18" t="inlineStr">
        <is>
          <t>Chưa test</t>
        </is>
      </c>
      <c r="R21" s="15" t="inlineStr"/>
    </row>
    <row r="22" ht="30" customHeight="1">
      <c r="A22" s="14" t="inlineStr">
        <is>
          <t>TC-NOTI-021</t>
        </is>
      </c>
      <c r="B22" s="15" t="inlineStr">
        <is>
          <t>Thông báo &amp; Nhắn tin</t>
        </is>
      </c>
      <c r="C22" s="15" t="inlineStr">
        <is>
          <t>Danh sách thông báo (API)</t>
        </is>
      </c>
      <c r="D22" s="15" t="inlineStr">
        <is>
          <t>Tham số không hợp lệ bị từ chối: unread=abc ngoài enum</t>
        </is>
      </c>
      <c r="E22" s="15" t="inlineStr">
        <is>
          <t>Chức năng</t>
        </is>
      </c>
      <c r="F22" s="20" t="inlineStr">
        <is>
          <t>Trung bình</t>
        </is>
      </c>
      <c r="G22" s="17" t="inlineStr">
        <is>
          <t>Đã hoàn thiện</t>
        </is>
      </c>
      <c r="H22" s="17" t="inlineStr">
        <is>
          <t>Có</t>
        </is>
      </c>
      <c r="I22" s="15" t="inlineStr">
        <is>
          <t>Đăng nhập member1 (Passw0rd!x)</t>
        </is>
      </c>
      <c r="J22" s="15" t="inlineStr">
        <is>
          <t>1. GET /api/notifications?unread=abc</t>
        </is>
      </c>
      <c r="K22" s="15" t="inlineStr">
        <is>
          <t>unread=abc</t>
        </is>
      </c>
      <c r="L22" s="15" t="inlineStr">
        <is>
          <t>400 VALIDATION_ERROR, message "Tham số không hợp lệ"; details.fieldErrors chỉ ra tham số sai; không trả dữ liệu.</t>
        </is>
      </c>
      <c r="M22" s="15" t="inlineStr"/>
      <c r="N22" s="18" t="inlineStr">
        <is>
          <t>Chưa test</t>
        </is>
      </c>
      <c r="O22" s="15" t="inlineStr"/>
      <c r="P22" s="15" t="inlineStr"/>
      <c r="Q22" s="18" t="inlineStr">
        <is>
          <t>Chưa test</t>
        </is>
      </c>
      <c r="R22" s="15" t="inlineStr"/>
    </row>
    <row r="23" ht="30" customHeight="1">
      <c r="A23" s="14" t="inlineStr">
        <is>
          <t>TC-NOTI-022</t>
        </is>
      </c>
      <c r="B23" s="15" t="inlineStr">
        <is>
          <t>Thông báo &amp; Nhắn tin</t>
        </is>
      </c>
      <c r="C23" s="15" t="inlineStr">
        <is>
          <t>Danh sách thông báo (API)</t>
        </is>
      </c>
      <c r="D23" s="15" t="inlineStr">
        <is>
          <t>limit=50 (biên tối đa) được chấp nhận</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GET /api/notifications?limit=50</t>
        </is>
      </c>
      <c r="K23" s="15" t="inlineStr">
        <is>
          <t>limit=50</t>
        </is>
      </c>
      <c r="L23" s="15" t="inlineStr">
        <is>
          <t>200; meta.limit=50; data 7 phần tử.</t>
        </is>
      </c>
      <c r="M23" s="15" t="inlineStr"/>
      <c r="N23" s="18" t="inlineStr">
        <is>
          <t>Chưa test</t>
        </is>
      </c>
      <c r="O23" s="15" t="inlineStr"/>
      <c r="P23" s="15" t="inlineStr"/>
      <c r="Q23" s="18" t="inlineStr">
        <is>
          <t>Chưa test</t>
        </is>
      </c>
      <c r="R23" s="15" t="inlineStr"/>
    </row>
    <row r="24" ht="120" customHeight="1">
      <c r="A24" s="14" t="inlineStr">
        <is>
          <t>TC-NOTI-023</t>
        </is>
      </c>
      <c r="B24" s="15" t="inlineStr">
        <is>
          <t>Thông báo &amp; Nhắn tin</t>
        </is>
      </c>
      <c r="C24" s="15" t="inlineStr">
        <is>
          <t>Danh sách thông báo (API)</t>
        </is>
      </c>
      <c r="D24" s="15" t="inlineStr">
        <is>
          <t>Không có token: mọi endpoint thông báo trả 401</t>
        </is>
      </c>
      <c r="E24" s="15" t="inlineStr">
        <is>
          <t>Bảo mật</t>
        </is>
      </c>
      <c r="F24" s="16" t="inlineStr">
        <is>
          <t>Cao</t>
        </is>
      </c>
      <c r="G24" s="17" t="inlineStr">
        <is>
          <t>Đã hoàn thiện</t>
        </is>
      </c>
      <c r="H24" s="17" t="inlineStr">
        <is>
          <t>Có</t>
        </is>
      </c>
      <c r="I24" s="15" t="inlineStr">
        <is>
          <t>Không đăng nhập</t>
        </is>
      </c>
      <c r="J24"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24" s="15" t="inlineStr">
        <is>
          <t>Không gửi Authorization</t>
        </is>
      </c>
      <c r="L24" s="15" t="inlineStr">
        <is>
          <t>Cả 8 request đều 401 UNAUTHORIZED, message "Vui lòng đăng nhập để tiếp tục"; DB không đổi.</t>
        </is>
      </c>
      <c r="M24" s="15" t="inlineStr"/>
      <c r="N24" s="18" t="inlineStr">
        <is>
          <t>Chưa test</t>
        </is>
      </c>
      <c r="O24" s="15" t="inlineStr"/>
      <c r="P24" s="15" t="inlineStr"/>
      <c r="Q24" s="18" t="inlineStr">
        <is>
          <t>Chưa test</t>
        </is>
      </c>
      <c r="R24" s="15" t="inlineStr"/>
    </row>
    <row r="25" ht="30" customHeight="1">
      <c r="A25" s="14" t="inlineStr">
        <is>
          <t>TC-NOTI-024</t>
        </is>
      </c>
      <c r="B25" s="15" t="inlineStr">
        <is>
          <t>Thông báo &amp; Nhắn tin</t>
        </is>
      </c>
      <c r="C25" s="15" t="inlineStr">
        <is>
          <t>Danh sách thông báo (API)</t>
        </is>
      </c>
      <c r="D25" s="15" t="inlineStr">
        <is>
          <t>Cô lập dữ liệu: member2 không thấy thông báo của member1</t>
        </is>
      </c>
      <c r="E25" s="15" t="inlineStr">
        <is>
          <t>Bảo mật</t>
        </is>
      </c>
      <c r="F25" s="16" t="inlineStr">
        <is>
          <t>Cao</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đồng thời có member2@sofinhub.test</t>
        </is>
      </c>
      <c r="J25" s="15" t="inlineStr">
        <is>
          <t>1. Đăng nhập member2, GET /api/notifications
2. Đối chiếu id trả về với 7 id seed-notif-member1-*</t>
        </is>
      </c>
      <c r="K25" s="15" t="inlineStr">
        <is>
          <t>member2</t>
        </is>
      </c>
      <c r="L25" s="15" t="inlineStr">
        <is>
          <t>200; không phần tử nào có id seed-notif-member1-*; mọi phần tử userId=member2; unread-count của member2 độc lập với member1 (4).</t>
        </is>
      </c>
      <c r="M25" s="15" t="inlineStr"/>
      <c r="N25" s="18" t="inlineStr">
        <is>
          <t>Chưa test</t>
        </is>
      </c>
      <c r="O25" s="15" t="inlineStr"/>
      <c r="P25" s="15" t="inlineStr"/>
      <c r="Q25" s="18" t="inlineStr">
        <is>
          <t>Chưa test</t>
        </is>
      </c>
      <c r="R25" s="15" t="inlineStr"/>
    </row>
    <row r="26" ht="30" customHeight="1">
      <c r="A26" s="14" t="inlineStr">
        <is>
          <t>TC-NOTI-025</t>
        </is>
      </c>
      <c r="B26" s="15" t="inlineStr">
        <is>
          <t>Thông báo &amp; Nhắn tin</t>
        </is>
      </c>
      <c r="C26" s="15" t="inlineStr">
        <is>
          <t>Danh sách thông báo (API)</t>
        </is>
      </c>
      <c r="D26" s="15" t="inlineStr">
        <is>
          <t>Seed: 7 thông báo đúng loại + link vào trang FE</t>
        </is>
      </c>
      <c r="E26" s="15" t="inlineStr">
        <is>
          <t>Chức năng</t>
        </is>
      </c>
      <c r="F26" s="20" t="inlineStr">
        <is>
          <t>Trung bình</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GET /api/notifications
2. Đối chiếu từng phần tử với kịch bản seed</t>
        </is>
      </c>
      <c r="K26" s="15" t="inlineStr">
        <is>
          <t>type/link/courseId của 7 thông báo</t>
        </is>
      </c>
      <c r="L26"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26" s="15" t="inlineStr"/>
      <c r="N26" s="18" t="inlineStr">
        <is>
          <t>Chưa test</t>
        </is>
      </c>
      <c r="O26" s="15" t="inlineStr"/>
      <c r="P26" s="15" t="inlineStr"/>
      <c r="Q26" s="18" t="inlineStr">
        <is>
          <t>Chưa test</t>
        </is>
      </c>
      <c r="R26" s="15" t="inlineStr"/>
    </row>
    <row r="27" ht="30" customHeight="1">
      <c r="A27" s="14" t="inlineStr">
        <is>
          <t>TC-NOTI-026</t>
        </is>
      </c>
      <c r="B27" s="15" t="inlineStr">
        <is>
          <t>Thông báo &amp; Nhắn tin</t>
        </is>
      </c>
      <c r="C27" s="15" t="inlineStr">
        <is>
          <t>Số chưa đọc &amp; đánh dấu đã đọc</t>
        </is>
      </c>
      <c r="D27" s="15" t="inlineStr">
        <is>
          <t>unread-count của member1 sau seed = 4</t>
        </is>
      </c>
      <c r="E27" s="15" t="inlineStr">
        <is>
          <t>Chức năng</t>
        </is>
      </c>
      <c r="F27" s="16" t="inlineStr">
        <is>
          <t>Cao</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GET /api/notifications/unread-count</t>
        </is>
      </c>
      <c r="K27" s="15" t="inlineStr">
        <is>
          <t>-</t>
        </is>
      </c>
      <c r="L27" s="15" t="inlineStr">
        <is>
          <t>200 {data:{count:4}}.</t>
        </is>
      </c>
      <c r="M27" s="15" t="inlineStr"/>
      <c r="N27" s="18" t="inlineStr">
        <is>
          <t>Chưa test</t>
        </is>
      </c>
      <c r="O27" s="15" t="inlineStr"/>
      <c r="P27" s="15" t="inlineStr"/>
      <c r="Q27" s="18" t="inlineStr">
        <is>
          <t>Chưa test</t>
        </is>
      </c>
      <c r="R27" s="15" t="inlineStr"/>
    </row>
    <row r="28" ht="45" customHeight="1">
      <c r="A28" s="14" t="inlineStr">
        <is>
          <t>TC-NOTI-027</t>
        </is>
      </c>
      <c r="B28" s="15" t="inlineStr">
        <is>
          <t>Thông báo &amp; Nhắn tin</t>
        </is>
      </c>
      <c r="C28" s="15" t="inlineStr">
        <is>
          <t>Số chưa đọc &amp; đánh dấu đã đọc</t>
        </is>
      </c>
      <c r="D28" s="15" t="inlineStr">
        <is>
          <t>Đánh dấu đã đọc 1 thông báo: readAt được gán, count giảm 4 -&gt; 3</t>
        </is>
      </c>
      <c r="E28" s="15" t="inlineStr">
        <is>
          <t>Chức năng</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t>
        </is>
      </c>
      <c r="J28" s="15" t="inlineStr">
        <is>
          <t>1. POST /api/notifications/seed-notif-member1-1/read
2. GET /api/notifications/unread-count
3. GET /api/notifications?unread=true</t>
        </is>
      </c>
      <c r="K28" s="15" t="inlineStr">
        <is>
          <t>id=seed-notif-member1-1</t>
        </is>
      </c>
      <c r="L28" s="15" t="inlineStr">
        <is>
          <t>200 data là Notification với readAt là chuỗi ISO (khác null); count=3; danh sách unread chỉ còn -2,-3,-4.</t>
        </is>
      </c>
      <c r="M28" s="15" t="inlineStr"/>
      <c r="N28" s="18" t="inlineStr">
        <is>
          <t>Chưa test</t>
        </is>
      </c>
      <c r="O28" s="15" t="inlineStr"/>
      <c r="P28" s="15" t="inlineStr"/>
      <c r="Q28" s="18" t="inlineStr">
        <is>
          <t>Chưa test</t>
        </is>
      </c>
      <c r="R28" s="15" t="inlineStr"/>
    </row>
    <row r="29" ht="30" customHeight="1">
      <c r="A29" s="14" t="inlineStr">
        <is>
          <t>TC-NOTI-028</t>
        </is>
      </c>
      <c r="B29" s="15" t="inlineStr">
        <is>
          <t>Thông báo &amp; Nhắn tin</t>
        </is>
      </c>
      <c r="C29" s="15" t="inlineStr">
        <is>
          <t>Số chưa đọc &amp; đánh dấu đã đọc</t>
        </is>
      </c>
      <c r="D29" s="15" t="inlineStr">
        <is>
          <t>Đánh dấu đã đọc là idempotent (gọi 2 lần không đổi readAt)</t>
        </is>
      </c>
      <c r="E29" s="15" t="inlineStr">
        <is>
          <t>Chức năng</t>
        </is>
      </c>
      <c r="F29" s="20" t="inlineStr">
        <is>
          <t>Trung bình</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t>
        </is>
      </c>
      <c r="J29" s="15" t="inlineStr">
        <is>
          <t>1. POST .../seed-notif-member1-2/read, ghi readAt = T1
2. Chờ 2 giây, gọi lại đúng request đó</t>
        </is>
      </c>
      <c r="K29" s="15" t="inlineStr">
        <is>
          <t>id=seed-notif-member1-2</t>
        </is>
      </c>
      <c r="L29" s="15" t="inlineStr">
        <is>
          <t>Cả hai lần 200; readAt lần 2 vẫn = T1 (không bị ghi đè); count chỉ giảm 1 lần (4 -&gt; 3).</t>
        </is>
      </c>
      <c r="M29" s="15" t="inlineStr"/>
      <c r="N29" s="18" t="inlineStr">
        <is>
          <t>Chưa test</t>
        </is>
      </c>
      <c r="O29" s="15" t="inlineStr"/>
      <c r="P29" s="15" t="inlineStr"/>
      <c r="Q29" s="18" t="inlineStr">
        <is>
          <t>Chưa test</t>
        </is>
      </c>
      <c r="R29" s="15" t="inlineStr"/>
    </row>
    <row r="30" ht="30" customHeight="1">
      <c r="A30" s="14" t="inlineStr">
        <is>
          <t>TC-NOTI-029</t>
        </is>
      </c>
      <c r="B30" s="15" t="inlineStr">
        <is>
          <t>Thông báo &amp; Nhắn tin</t>
        </is>
      </c>
      <c r="C30" s="15" t="inlineStr">
        <is>
          <t>Số chưa đọc &amp; đánh dấu đã đọc</t>
        </is>
      </c>
      <c r="D30" s="15" t="inlineStr">
        <is>
          <t>Đánh dấu đã đọc thông báo đã đọc sẵn (seed -5) vẫn 200</t>
        </is>
      </c>
      <c r="E30" s="15" t="inlineStr">
        <is>
          <t>Chức năng</t>
        </is>
      </c>
      <c r="F30" s="17" t="inlineStr">
        <is>
          <t>Thấp</t>
        </is>
      </c>
      <c r="G30" s="17" t="inlineStr">
        <is>
          <t>Đã hoàn thiện</t>
        </is>
      </c>
      <c r="H30" s="17" t="inlineStr">
        <is>
          <t>Có</t>
        </is>
      </c>
      <c r="I30" s="15" t="inlineStr">
        <is>
          <t>Vừa chạy db:seed, chưa thao tác gì (kịch bản seed member1: 7 thông báo, 4 chưa đọc: seed-notif-member1-1..4; 3 đã đọc: -5..-7). Đăng nhập member1@sofinhub.test / Passw0rd!x</t>
        </is>
      </c>
      <c r="J30" s="15" t="inlineStr">
        <is>
          <t>1. POST /api/notifications/seed-notif-member1-5/read
2. GET /api/notifications/unread-count</t>
        </is>
      </c>
      <c r="K30" s="15" t="inlineStr">
        <is>
          <t>id=seed-notif-member1-5</t>
        </is>
      </c>
      <c r="L30" s="15" t="inlineStr">
        <is>
          <t>200, readAt giữ nguyên giá trị seed; count vẫn 4.</t>
        </is>
      </c>
      <c r="M30" s="15" t="inlineStr"/>
      <c r="N30" s="18" t="inlineStr">
        <is>
          <t>Chưa test</t>
        </is>
      </c>
      <c r="O30" s="15" t="inlineStr"/>
      <c r="P30" s="15" t="inlineStr"/>
      <c r="Q30" s="18" t="inlineStr">
        <is>
          <t>Chưa test</t>
        </is>
      </c>
      <c r="R30" s="15" t="inlineStr"/>
    </row>
    <row r="31" ht="30" customHeight="1">
      <c r="A31" s="14" t="inlineStr">
        <is>
          <t>TC-NOTI-030</t>
        </is>
      </c>
      <c r="B31" s="15" t="inlineStr">
        <is>
          <t>Thông báo &amp; Nhắn tin</t>
        </is>
      </c>
      <c r="C31" s="15" t="inlineStr">
        <is>
          <t>Số chưa đọc &amp; đánh dấu đã đọc</t>
        </is>
      </c>
      <c r="D31" s="15" t="inlineStr">
        <is>
          <t>IDOR: member2 đánh dấu đã đọc thông báo của member1 -&gt; 404</t>
        </is>
      </c>
      <c r="E31" s="15" t="inlineStr">
        <is>
          <t>Bảo mật</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 member2 cũng đăng nhập</t>
        </is>
      </c>
      <c r="J31" s="15" t="inlineStr">
        <is>
          <t>1. member2: POST /api/notifications/seed-notif-member1-1/read
2. member1: GET /api/notifications/unread-count</t>
        </is>
      </c>
      <c r="K31" s="15" t="inlineStr">
        <is>
          <t>id của member1</t>
        </is>
      </c>
      <c r="L31" s="15" t="inlineStr">
        <is>
          <t>member2 nhận 404 NOT_FOUND, message "Không tìm thấy thông báo" (không lộ tồn tại, không 403); member1 vẫn count=4, seed-notif-member1-1 vẫn readAt=null.</t>
        </is>
      </c>
      <c r="M31" s="15" t="inlineStr"/>
      <c r="N31" s="18" t="inlineStr">
        <is>
          <t>Chưa test</t>
        </is>
      </c>
      <c r="O31" s="15" t="inlineStr"/>
      <c r="P31" s="15" t="inlineStr"/>
      <c r="Q31" s="18" t="inlineStr">
        <is>
          <t>Chưa test</t>
        </is>
      </c>
      <c r="R31" s="15" t="inlineStr"/>
    </row>
    <row r="32" ht="30" customHeight="1">
      <c r="A32" s="14" t="inlineStr">
        <is>
          <t>TC-NOTI-031</t>
        </is>
      </c>
      <c r="B32" s="15" t="inlineStr">
        <is>
          <t>Thông báo &amp; Nhắn tin</t>
        </is>
      </c>
      <c r="C32" s="15" t="inlineStr">
        <is>
          <t>Số chưa đọc &amp; đánh dấu đã đọc</t>
        </is>
      </c>
      <c r="D32" s="15" t="inlineStr">
        <is>
          <t>Đánh dấu đã đọc id không tồn tại -&gt; 404</t>
        </is>
      </c>
      <c r="E32" s="15" t="inlineStr">
        <is>
          <t>Chức năng</t>
        </is>
      </c>
      <c r="F32" s="17" t="inlineStr">
        <is>
          <t>Thấp</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POST /api/notifications/khong-ton-tai/read</t>
        </is>
      </c>
      <c r="K32" s="15" t="inlineStr">
        <is>
          <t>id=khong-ton-tai</t>
        </is>
      </c>
      <c r="L32" s="15" t="inlineStr">
        <is>
          <t>404 NOT_FOUND, message "Không tìm thấy thông báo".</t>
        </is>
      </c>
      <c r="M32" s="15" t="inlineStr"/>
      <c r="N32" s="18" t="inlineStr">
        <is>
          <t>Chưa test</t>
        </is>
      </c>
      <c r="O32" s="15" t="inlineStr"/>
      <c r="P32" s="15" t="inlineStr"/>
      <c r="Q32" s="18" t="inlineStr">
        <is>
          <t>Chưa test</t>
        </is>
      </c>
      <c r="R32" s="15" t="inlineStr"/>
    </row>
    <row r="33" ht="45" customHeight="1">
      <c r="A33" s="14" t="inlineStr">
        <is>
          <t>TC-NOTI-032</t>
        </is>
      </c>
      <c r="B33" s="15" t="inlineStr">
        <is>
          <t>Thông báo &amp; Nhắn tin</t>
        </is>
      </c>
      <c r="C33" s="15" t="inlineStr">
        <is>
          <t>Số chưa đọc &amp; đánh dấu đã đọc</t>
        </is>
      </c>
      <c r="D33" s="15" t="inlineStr">
        <is>
          <t>Đọc tất cả: trả updated=4 rồi lần 2 trả updated=0</t>
        </is>
      </c>
      <c r="E33" s="15" t="inlineStr">
        <is>
          <t>Chức năng</t>
        </is>
      </c>
      <c r="F33" s="16" t="inlineStr">
        <is>
          <t>Cao</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POST /api/notifications/read-all
2. GET /api/notifications/unread-count
3. POST /api/notifications/read-all lần nữa</t>
        </is>
      </c>
      <c r="K33" s="15" t="inlineStr">
        <is>
          <t>-</t>
        </is>
      </c>
      <c r="L33" s="15" t="inlineStr">
        <is>
          <t>Lần 1: 200 {data:{updated:4}}; count=0; lần 2: 200 {updated:0}; 7 thông báo vẫn còn (không bị xóa).</t>
        </is>
      </c>
      <c r="M33" s="15" t="inlineStr"/>
      <c r="N33" s="18" t="inlineStr">
        <is>
          <t>Chưa test</t>
        </is>
      </c>
      <c r="O33" s="15" t="inlineStr"/>
      <c r="P33" s="15" t="inlineStr"/>
      <c r="Q33" s="18" t="inlineStr">
        <is>
          <t>Chưa test</t>
        </is>
      </c>
      <c r="R33" s="15" t="inlineStr"/>
    </row>
    <row r="34" ht="45" customHeight="1">
      <c r="A34" s="14" t="inlineStr">
        <is>
          <t>TC-NOTI-033</t>
        </is>
      </c>
      <c r="B34" s="15" t="inlineStr">
        <is>
          <t>Thông báo &amp; Nhắn tin</t>
        </is>
      </c>
      <c r="C34" s="15" t="inlineStr">
        <is>
          <t>Số chưa đọc &amp; đánh dấu đã đọc</t>
        </is>
      </c>
      <c r="D34" s="15" t="inlineStr">
        <is>
          <t>Đọc tất cả của member1 không ảnh hưởng thông báo của member2</t>
        </is>
      </c>
      <c r="E34" s="15" t="inlineStr">
        <is>
          <t>Bảo mật</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34" s="15" t="inlineStr">
        <is>
          <t>1. member2: GET unread-count ghi lại
2. member1: POST /api/notifications/read-all
3. member2: GET unread-count</t>
        </is>
      </c>
      <c r="K34" s="15" t="inlineStr">
        <is>
          <t>-</t>
        </is>
      </c>
      <c r="L34" s="15" t="inlineStr">
        <is>
          <t>Số chưa đọc của member2 giữ nguyên trước/sau khi member1 đọc tất cả.</t>
        </is>
      </c>
      <c r="M34" s="15" t="inlineStr"/>
      <c r="N34" s="18" t="inlineStr">
        <is>
          <t>Chưa test</t>
        </is>
      </c>
      <c r="O34" s="15" t="inlineStr"/>
      <c r="P34" s="15" t="inlineStr"/>
      <c r="Q34" s="18" t="inlineStr">
        <is>
          <t>Chưa test</t>
        </is>
      </c>
      <c r="R34" s="15" t="inlineStr"/>
    </row>
    <row r="35" ht="45" customHeight="1">
      <c r="A35" s="14" t="inlineStr">
        <is>
          <t>TC-NOTI-034</t>
        </is>
      </c>
      <c r="B35" s="15" t="inlineStr">
        <is>
          <t>Thông báo &amp; Nhắn tin</t>
        </is>
      </c>
      <c r="C35" s="15" t="inlineStr">
        <is>
          <t>Xóa thông báo</t>
        </is>
      </c>
      <c r="D35" s="15" t="inlineStr">
        <is>
          <t>Xóa 1 thông báo của chính mình</t>
        </is>
      </c>
      <c r="E35" s="15" t="inlineStr">
        <is>
          <t>Chức năng</t>
        </is>
      </c>
      <c r="F35" s="16" t="inlineStr">
        <is>
          <t>Cao</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DELETE /api/notifications/seed-notif-member1-7
2. GET /api/notifications
3. DELETE lại đúng id đó</t>
        </is>
      </c>
      <c r="K35" s="15" t="inlineStr">
        <is>
          <t>id=seed-notif-member1-7</t>
        </is>
      </c>
      <c r="L35" s="15" t="inlineStr">
        <is>
          <t>Lần 1: 200 {data:{deleted:true}}; danh sách còn 6 (total=6); lần 2: 404 NOT_FOUND, message "Không tìm thấy thông báo".</t>
        </is>
      </c>
      <c r="M35" s="15" t="inlineStr"/>
      <c r="N35" s="18" t="inlineStr">
        <is>
          <t>Chưa test</t>
        </is>
      </c>
      <c r="O35" s="15" t="inlineStr"/>
      <c r="P35" s="15" t="inlineStr"/>
      <c r="Q35" s="18" t="inlineStr">
        <is>
          <t>Chưa test</t>
        </is>
      </c>
      <c r="R35" s="15" t="inlineStr"/>
    </row>
    <row r="36" ht="30" customHeight="1">
      <c r="A36" s="14" t="inlineStr">
        <is>
          <t>TC-NOTI-035</t>
        </is>
      </c>
      <c r="B36" s="15" t="inlineStr">
        <is>
          <t>Thông báo &amp; Nhắn tin</t>
        </is>
      </c>
      <c r="C36" s="15" t="inlineStr">
        <is>
          <t>Xóa thông báo</t>
        </is>
      </c>
      <c r="D36" s="15" t="inlineStr">
        <is>
          <t>Xóa thông báo CHƯA đọc làm giảm số chưa đọc</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DELETE /api/notifications/seed-notif-member1-3
2. GET /api/notifications/unread-count</t>
        </is>
      </c>
      <c r="K36" s="15" t="inlineStr">
        <is>
          <t>id=seed-notif-member1-3 (event_reminder, chưa đọc)</t>
        </is>
      </c>
      <c r="L36" s="15" t="inlineStr">
        <is>
          <t>200 deleted:true; count từ 4 xuống 3.</t>
        </is>
      </c>
      <c r="M36" s="15" t="inlineStr"/>
      <c r="N36" s="18" t="inlineStr">
        <is>
          <t>Chưa test</t>
        </is>
      </c>
      <c r="O36" s="15" t="inlineStr"/>
      <c r="P36" s="15" t="inlineStr"/>
      <c r="Q36" s="18" t="inlineStr">
        <is>
          <t>Chưa test</t>
        </is>
      </c>
      <c r="R36" s="15" t="inlineStr"/>
    </row>
    <row r="37" ht="30" customHeight="1">
      <c r="A37" s="14" t="inlineStr">
        <is>
          <t>TC-NOTI-036</t>
        </is>
      </c>
      <c r="B37" s="15" t="inlineStr">
        <is>
          <t>Thông báo &amp; Nhắn tin</t>
        </is>
      </c>
      <c r="C37" s="15" t="inlineStr">
        <is>
          <t>Xóa thông báo</t>
        </is>
      </c>
      <c r="D37" s="15" t="inlineStr">
        <is>
          <t>IDOR: member2 xóa thông báo của member1 -&gt; 404 và dữ liệu còn nguyên</t>
        </is>
      </c>
      <c r="E37" s="15" t="inlineStr">
        <is>
          <t>Bảo mật</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member2 đăng nhập</t>
        </is>
      </c>
      <c r="J37" s="15" t="inlineStr">
        <is>
          <t>1. member2: DELETE /api/notifications/seed-notif-member1-1
2. member1: GET /api/notifications</t>
        </is>
      </c>
      <c r="K37" s="15" t="inlineStr">
        <is>
          <t>id của member1</t>
        </is>
      </c>
      <c r="L37" s="15" t="inlineStr">
        <is>
          <t>member2 nhận 404 NOT_FOUND, message "Không tìm thấy thông báo"; member1 vẫn thấy đủ 7 thông báo.</t>
        </is>
      </c>
      <c r="M37" s="15" t="inlineStr"/>
      <c r="N37" s="18" t="inlineStr">
        <is>
          <t>Chưa test</t>
        </is>
      </c>
      <c r="O37" s="15" t="inlineStr"/>
      <c r="P37" s="15" t="inlineStr"/>
      <c r="Q37" s="18" t="inlineStr">
        <is>
          <t>Chưa test</t>
        </is>
      </c>
      <c r="R37" s="15" t="inlineStr"/>
    </row>
    <row r="38" ht="30" customHeight="1">
      <c r="A38" s="14" t="inlineStr">
        <is>
          <t>TC-NOTI-037</t>
        </is>
      </c>
      <c r="B38" s="15" t="inlineStr">
        <is>
          <t>Thông báo &amp; Nhắn tin</t>
        </is>
      </c>
      <c r="C38" s="15" t="inlineStr">
        <is>
          <t>Tùy chọn thông báo (NotificationPreference)</t>
        </is>
      </c>
      <c r="D38" s="15" t="inlineStr">
        <is>
          <t>member1 (không có dòng tùy chọn) nhận mặc định: 12 loại bật, emailDigest=off</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(member1 không có dòng NotificationPreference)</t>
        </is>
      </c>
      <c r="J38" s="15" t="inlineStr">
        <is>
          <t>1. GET /api/notifications/preferences</t>
        </is>
      </c>
      <c r="K38" s="15" t="inlineStr">
        <is>
          <t>-</t>
        </is>
      </c>
      <c r="L38" s="15" t="inlineStr">
        <is>
          <t>200; data.types có đủ 12 khóa (post_liked, post_commented, event_created, event_reminder, member_joined, role_changed, removed_from_community, payment_succeeded, payment_failed, report_resolved, message_received, system) đều true; emailDigest="off".</t>
        </is>
      </c>
      <c r="M38" s="15" t="inlineStr"/>
      <c r="N38" s="18" t="inlineStr">
        <is>
          <t>Chưa test</t>
        </is>
      </c>
      <c r="O38" s="15" t="inlineStr"/>
      <c r="P38" s="15" t="inlineStr"/>
      <c r="Q38" s="18" t="inlineStr">
        <is>
          <t>Chưa test</t>
        </is>
      </c>
      <c r="R38" s="15" t="inlineStr"/>
    </row>
    <row r="39" ht="30" customHeight="1">
      <c r="A39" s="14" t="inlineStr">
        <is>
          <t>TC-NOTI-038</t>
        </is>
      </c>
      <c r="B39" s="15" t="inlineStr">
        <is>
          <t>Thông báo &amp; Nhắn tin</t>
        </is>
      </c>
      <c r="C39" s="15" t="inlineStr">
        <is>
          <t>Tùy chọn thông báo (NotificationPreference)</t>
        </is>
      </c>
      <c r="D39" s="15" t="inlineStr">
        <is>
          <t>member3 có tùy chọn KHÔNG mặc định: post_liked &amp; member_joined tắt, emailDigest=weekly</t>
        </is>
      </c>
      <c r="E39" s="15" t="inlineStr">
        <is>
          <t>Chức năng</t>
        </is>
      </c>
      <c r="F39" s="16" t="inlineStr">
        <is>
          <t>Cao</t>
        </is>
      </c>
      <c r="G39" s="17" t="inlineStr">
        <is>
          <t>Đã hoàn thiện</t>
        </is>
      </c>
      <c r="H39" s="17" t="inlineStr">
        <is>
          <t>Có</t>
        </is>
      </c>
      <c r="I39" s="15" t="inlineStr">
        <is>
          <t>Vừa seed. Đăng nhập member3@sofinhub.test / Passw0rd!x</t>
        </is>
      </c>
      <c r="J39" s="15" t="inlineStr">
        <is>
          <t>1. GET /api/notifications/preferences</t>
        </is>
      </c>
      <c r="K39" s="15" t="inlineStr">
        <is>
          <t>-</t>
        </is>
      </c>
      <c r="L39" s="15" t="inlineStr">
        <is>
          <t>200; types.post_liked=false, types.member_joined=false, 10 loại còn lại true; emailDigest="weekly".</t>
        </is>
      </c>
      <c r="M39" s="15" t="inlineStr"/>
      <c r="N39" s="18" t="inlineStr">
        <is>
          <t>Chưa test</t>
        </is>
      </c>
      <c r="O39" s="15" t="inlineStr"/>
      <c r="P39" s="15" t="inlineStr"/>
      <c r="Q39" s="18" t="inlineStr">
        <is>
          <t>Chưa test</t>
        </is>
      </c>
      <c r="R39" s="15" t="inlineStr"/>
    </row>
    <row r="40" ht="30" customHeight="1">
      <c r="A40" s="14" t="inlineStr">
        <is>
          <t>TC-NOTI-039</t>
        </is>
      </c>
      <c r="B40" s="15" t="inlineStr">
        <is>
          <t>Thông báo &amp; Nhắn tin</t>
        </is>
      </c>
      <c r="C40" s="15" t="inlineStr">
        <is>
          <t>Tùy chọn thông báo (NotificationPreference)</t>
        </is>
      </c>
      <c r="D40" s="15" t="inlineStr">
        <is>
          <t>Cập nhật từng phần: tắt post_commented không đổi các loại khác</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t>
        </is>
      </c>
      <c r="J40" s="15" t="inlineStr">
        <is>
          <t>1. PUT /api/notifications/preferences body {"types":{"post_commented":false}}
2. GET /api/notifications/preferences</t>
        </is>
      </c>
      <c r="K40" s="15" t="inlineStr">
        <is>
          <t>{"types":{"post_commented":false}}</t>
        </is>
      </c>
      <c r="L40" s="15" t="inlineStr">
        <is>
          <t>200; types.post_commented=false, 11 loại còn lại true, emailDigest vẫn "off".</t>
        </is>
      </c>
      <c r="M40" s="15" t="inlineStr"/>
      <c r="N40" s="18" t="inlineStr">
        <is>
          <t>Chưa test</t>
        </is>
      </c>
      <c r="O40" s="15" t="inlineStr"/>
      <c r="P40" s="15" t="inlineStr"/>
      <c r="Q40" s="18" t="inlineStr">
        <is>
          <t>Chưa test</t>
        </is>
      </c>
      <c r="R40" s="15" t="inlineStr"/>
    </row>
    <row r="41" ht="60" customHeight="1">
      <c r="A41" s="14" t="inlineStr">
        <is>
          <t>TC-NOTI-040</t>
        </is>
      </c>
      <c r="B41" s="15" t="inlineStr">
        <is>
          <t>Thông báo &amp; Nhắn tin</t>
        </is>
      </c>
      <c r="C41" s="15" t="inlineStr">
        <is>
          <t>Tùy chọn thông báo (NotificationPreference)</t>
        </is>
      </c>
      <c r="D41" s="15" t="inlineStr">
        <is>
          <t>Đổi emailDigest sang daily/weekly/off được lưu bền</t>
        </is>
      </c>
      <c r="E41" s="15" t="inlineStr">
        <is>
          <t>Chức năng</t>
        </is>
      </c>
      <c r="F41" s="20" t="inlineStr">
        <is>
          <t>Trung bình</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t>
        </is>
      </c>
      <c r="J41" s="15" t="inlineStr">
        <is>
          <t>1. PUT {"emailDigest":"daily"}
2. PUT {"emailDigest":"weekly"}
3. PUT {"emailDigest":"off"}
4. Sau mỗi lần GET /preferences</t>
        </is>
      </c>
      <c r="K41" s="15" t="inlineStr">
        <is>
          <t>daily, weekly, off</t>
        </is>
      </c>
      <c r="L41" s="15" t="inlineStr">
        <is>
          <t>Mỗi lần 200 và GET trả đúng giá trị vừa đặt; types không thay đổi.</t>
        </is>
      </c>
      <c r="M41" s="15" t="inlineStr"/>
      <c r="N41" s="18" t="inlineStr">
        <is>
          <t>Chưa test</t>
        </is>
      </c>
      <c r="O41" s="15" t="inlineStr"/>
      <c r="P41" s="15" t="inlineStr"/>
      <c r="Q41" s="18" t="inlineStr">
        <is>
          <t>Chưa test</t>
        </is>
      </c>
      <c r="R41" s="15" t="inlineStr"/>
    </row>
    <row r="42" ht="30" customHeight="1">
      <c r="A42" s="14" t="inlineStr">
        <is>
          <t>TC-NOTI-041</t>
        </is>
      </c>
      <c r="B42" s="15" t="inlineStr">
        <is>
          <t>Thông báo &amp; Nhắn tin</t>
        </is>
      </c>
      <c r="C42" s="15" t="inlineStr">
        <is>
          <t>Tùy chọn thông báo (NotificationPreference)</t>
        </is>
      </c>
      <c r="D42" s="15" t="inlineStr">
        <is>
          <t>emailDigest ngoài enum (monthly) bị từ chối</t>
        </is>
      </c>
      <c r="E42" s="15" t="inlineStr">
        <is>
          <t>Chức năng</t>
        </is>
      </c>
      <c r="F42" s="20" t="inlineStr">
        <is>
          <t>Trung bình</t>
        </is>
      </c>
      <c r="G42" s="17" t="inlineStr">
        <is>
          <t>Đã hoàn thiện</t>
        </is>
      </c>
      <c r="H42" s="17" t="inlineStr">
        <is>
          <t>Có</t>
        </is>
      </c>
      <c r="I42" s="15" t="inlineStr">
        <is>
          <t>Vừa chạy db:seed, chưa thao tác gì (kịch bản seed member1: 7 thông báo, 4 chưa đọc: seed-notif-member1-1..4; 3 đã đọc: -5..-7). Đăng nhập member1@sofinhub.test / Passw0rd!x</t>
        </is>
      </c>
      <c r="J42" s="15" t="inlineStr">
        <is>
          <t>1. PUT /api/notifications/preferences body {"emailDigest":"monthly"}</t>
        </is>
      </c>
      <c r="K42" s="15" t="inlineStr">
        <is>
          <t>monthly</t>
        </is>
      </c>
      <c r="L42" s="15" t="inlineStr">
        <is>
          <t>400 VALIDATION_ERROR, message "Tham số không hợp lệ"; tùy chọn cũ không đổi.</t>
        </is>
      </c>
      <c r="M42" s="15" t="inlineStr"/>
      <c r="N42" s="18" t="inlineStr">
        <is>
          <t>Chưa test</t>
        </is>
      </c>
      <c r="O42" s="15" t="inlineStr"/>
      <c r="P42" s="15" t="inlineStr"/>
      <c r="Q42" s="18" t="inlineStr">
        <is>
          <t>Chưa test</t>
        </is>
      </c>
      <c r="R42" s="15" t="inlineStr"/>
    </row>
    <row r="43" ht="30" customHeight="1">
      <c r="A43" s="14" t="inlineStr">
        <is>
          <t>TC-NOTI-042</t>
        </is>
      </c>
      <c r="B43" s="15" t="inlineStr">
        <is>
          <t>Thông báo &amp; Nhắn tin</t>
        </is>
      </c>
      <c r="C43" s="15" t="inlineStr">
        <is>
          <t>Tùy chọn thông báo (NotificationPreference)</t>
        </is>
      </c>
      <c r="D43" s="15" t="inlineStr">
        <is>
          <t>Khóa loại thông báo lạ bị từ chối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body {"types":{"khong_ton_tai":true}}</t>
        </is>
      </c>
      <c r="K43" s="15" t="inlineStr">
        <is>
          <t>khóa lạ</t>
        </is>
      </c>
      <c r="L43" s="15" t="inlineStr">
        <is>
          <t>400 VALIDATION_ERROR, message "Tham số không hợp lệ"; không lưu.</t>
        </is>
      </c>
      <c r="M43" s="15" t="inlineStr"/>
      <c r="N43" s="18" t="inlineStr">
        <is>
          <t>Chưa test</t>
        </is>
      </c>
      <c r="O43" s="15" t="inlineStr"/>
      <c r="P43" s="15" t="inlineStr"/>
      <c r="Q43" s="18" t="inlineStr">
        <is>
          <t>Chưa test</t>
        </is>
      </c>
      <c r="R43" s="15" t="inlineStr"/>
    </row>
    <row r="44" ht="30" customHeight="1">
      <c r="A44" s="14" t="inlineStr">
        <is>
          <t>TC-NOTI-043</t>
        </is>
      </c>
      <c r="B44" s="15" t="inlineStr">
        <is>
          <t>Thông báo &amp; Nhắn tin</t>
        </is>
      </c>
      <c r="C44" s="15" t="inlineStr">
        <is>
          <t>Tùy chọn thông báo (NotificationPreference)</t>
        </is>
      </c>
      <c r="D44" s="15" t="inlineStr">
        <is>
          <t>Giá trị loại không phải boolean bị từ chối</t>
        </is>
      </c>
      <c r="E44" s="15" t="inlineStr">
        <is>
          <t>Chức năng</t>
        </is>
      </c>
      <c r="F44" s="17" t="inlineStr">
        <is>
          <t>Thấp</t>
        </is>
      </c>
      <c r="G44" s="17" t="inlineStr">
        <is>
          <t>Đã hoàn thiện</t>
        </is>
      </c>
      <c r="H44" s="17" t="inlineStr">
        <is>
          <t>Có</t>
        </is>
      </c>
      <c r="I44" s="15" t="inlineStr">
        <is>
          <t>Vừa chạy db:seed, chưa thao tác gì (kịch bản seed member1: 7 thông báo, 4 chưa đọc: seed-notif-member1-1..4; 3 đã đọc: -5..-7). Đăng nhập member1@sofinhub.test / Passw0rd!x</t>
        </is>
      </c>
      <c r="J44" s="15" t="inlineStr">
        <is>
          <t>1. PUT body {"types":{"post_liked":"no"}}</t>
        </is>
      </c>
      <c r="K44" s="15" t="inlineStr">
        <is>
          <t>"no"</t>
        </is>
      </c>
      <c r="L44" s="15" t="inlineStr">
        <is>
          <t>400 VALIDATION_ERROR, message "Tham số không hợp lệ".</t>
        </is>
      </c>
      <c r="M44" s="15" t="inlineStr"/>
      <c r="N44" s="18" t="inlineStr">
        <is>
          <t>Chưa test</t>
        </is>
      </c>
      <c r="O44" s="15" t="inlineStr"/>
      <c r="P44" s="15" t="inlineStr"/>
      <c r="Q44" s="18" t="inlineStr">
        <is>
          <t>Chưa test</t>
        </is>
      </c>
      <c r="R44" s="15" t="inlineStr"/>
    </row>
    <row r="45" ht="45" customHeight="1">
      <c r="A45" s="14" t="inlineStr">
        <is>
          <t>TC-NOTI-044</t>
        </is>
      </c>
      <c r="B45" s="15" t="inlineStr">
        <is>
          <t>Thông báo &amp; Nhắn tin</t>
        </is>
      </c>
      <c r="C45" s="15" t="inlineStr">
        <is>
          <t>Tùy chọn thông báo (NotificationPreference)</t>
        </is>
      </c>
      <c r="D45" s="15" t="inlineStr">
        <is>
          <t>Body rỗng {} hoặc thừa khóa bị từ chối</t>
        </is>
      </c>
      <c r="E45" s="15" t="inlineStr">
        <is>
          <t>Chức năng</t>
        </is>
      </c>
      <c r="F45" s="20" t="inlineStr">
        <is>
          <t>Trung bình</t>
        </is>
      </c>
      <c r="G45" s="17" t="inlineStr">
        <is>
          <t>Đã hoàn thiện</t>
        </is>
      </c>
      <c r="H45" s="17" t="inlineStr">
        <is>
          <t>Có</t>
        </is>
      </c>
      <c r="I45" s="15" t="inlineStr">
        <is>
          <t>Vừa chạy db:seed, chưa thao tác gì (kịch bản seed member1: 7 thông báo, 4 chưa đọc: seed-notif-member1-1..4; 3 đã đọc: -5..-7). Đăng nhập member1@sofinhub.test / Passw0rd!x</t>
        </is>
      </c>
      <c r="J45" s="15" t="inlineStr">
        <is>
          <t>1. PUT body {}
2. PUT body {"foo":1}
3. PUT body {"types":{}}</t>
        </is>
      </c>
      <c r="K45" s="15" t="inlineStr">
        <is>
          <t>3 body</t>
        </is>
      </c>
      <c r="L45"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45" s="15" t="inlineStr"/>
      <c r="N45" s="18" t="inlineStr">
        <is>
          <t>Chưa test</t>
        </is>
      </c>
      <c r="O45" s="15" t="inlineStr"/>
      <c r="P45" s="15" t="inlineStr"/>
      <c r="Q45" s="18" t="inlineStr">
        <is>
          <t>Chưa test</t>
        </is>
      </c>
      <c r="R45" s="15" t="inlineStr"/>
    </row>
    <row r="46" ht="30" customHeight="1">
      <c r="A46" s="14" t="inlineStr">
        <is>
          <t>TC-NOTI-045</t>
        </is>
      </c>
      <c r="B46" s="15" t="inlineStr">
        <is>
          <t>Thông báo &amp; Nhắn tin</t>
        </is>
      </c>
      <c r="C46" s="15" t="inlineStr">
        <is>
          <t>Tùy chọn thông báo (NotificationPreference)</t>
        </is>
      </c>
      <c r="D46" s="15" t="inlineStr">
        <is>
          <t>Không tắt được loại bắt buộc payment_succeeded</t>
        </is>
      </c>
      <c r="E46" s="15" t="inlineStr">
        <is>
          <t>Chức năng</t>
        </is>
      </c>
      <c r="F46" s="16" t="inlineStr">
        <is>
          <t>Cao</t>
        </is>
      </c>
      <c r="G46" s="17" t="inlineStr">
        <is>
          <t>Đã hoàn thiện</t>
        </is>
      </c>
      <c r="H46" s="17" t="inlineStr">
        <is>
          <t>Có</t>
        </is>
      </c>
      <c r="I46"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46" s="15" t="inlineStr">
        <is>
          <t>1. PUT /api/notifications/preferences body {"types":{"payment_succeeded":false}}
2. GET /api/notifications/preferences</t>
        </is>
      </c>
      <c r="K46" s="15" t="inlineStr">
        <is>
          <t>{"types":{"payment_succeeded":false}}</t>
        </is>
      </c>
      <c r="L46" s="15" t="inlineStr">
        <is>
          <t>400 BAD_REQUEST, message "Không thể tắt thông báo quan trọng: payment_succeeded"; GET vẫn types.payment_succeeded=true.</t>
        </is>
      </c>
      <c r="M46" s="15" t="inlineStr"/>
      <c r="N46" s="18" t="inlineStr">
        <is>
          <t>Chưa test</t>
        </is>
      </c>
      <c r="O46" s="15" t="inlineStr"/>
      <c r="P46" s="15" t="inlineStr"/>
      <c r="Q46" s="18" t="inlineStr">
        <is>
          <t>Chưa test</t>
        </is>
      </c>
      <c r="R46" s="15" t="inlineStr"/>
    </row>
    <row r="47" ht="30" customHeight="1">
      <c r="A47" s="14" t="inlineStr">
        <is>
          <t>TC-NOTI-046</t>
        </is>
      </c>
      <c r="B47" s="15" t="inlineStr">
        <is>
          <t>Thông báo &amp; Nhắn tin</t>
        </is>
      </c>
      <c r="C47" s="15" t="inlineStr">
        <is>
          <t>Tùy chọn thông báo (NotificationPreference)</t>
        </is>
      </c>
      <c r="D47" s="15" t="inlineStr">
        <is>
          <t>Không tắt được loại bắt buộc payment_failed</t>
        </is>
      </c>
      <c r="E47" s="15" t="inlineStr">
        <is>
          <t>Chức năng</t>
        </is>
      </c>
      <c r="F47" s="16" t="inlineStr">
        <is>
          <t>Cao</t>
        </is>
      </c>
      <c r="G47" s="17" t="inlineStr">
        <is>
          <t>Đã hoàn thiện</t>
        </is>
      </c>
      <c r="H47" s="17" t="inlineStr">
        <is>
          <t>Có</t>
        </is>
      </c>
      <c r="I47" s="15" t="inlineStr">
        <is>
          <t>Vừa chạy db:seed, chưa thao tác gì (kịch bản seed member1: 7 thông báo, 4 chưa đọc: seed-notif-member1-1..4; 3 đã đọc: -5..-7). Đăng nhập member1@sofinhub.test / Passw0rd!x (loại bắt buộc: luôn gửi khi thanh toán thất bại)</t>
        </is>
      </c>
      <c r="J47" s="15" t="inlineStr">
        <is>
          <t>1. PUT /api/notifications/preferences body {"types":{"payment_failed":false}}
2. GET /api/notifications/preferences</t>
        </is>
      </c>
      <c r="K47" s="15" t="inlineStr">
        <is>
          <t>{"types":{"payment_failed":false}}</t>
        </is>
      </c>
      <c r="L47" s="15" t="inlineStr">
        <is>
          <t>400 BAD_REQUEST, message "Không thể tắt thông báo quan trọng: payment_failed"; GET vẫn types.payment_failed=true.</t>
        </is>
      </c>
      <c r="M47" s="15" t="inlineStr"/>
      <c r="N47" s="18" t="inlineStr">
        <is>
          <t>Chưa test</t>
        </is>
      </c>
      <c r="O47" s="15" t="inlineStr"/>
      <c r="P47" s="15" t="inlineStr"/>
      <c r="Q47" s="18" t="inlineStr">
        <is>
          <t>Chưa test</t>
        </is>
      </c>
      <c r="R47" s="15" t="inlineStr"/>
    </row>
    <row r="48" ht="30" customHeight="1">
      <c r="A48" s="14" t="inlineStr">
        <is>
          <t>TC-NOTI-047</t>
        </is>
      </c>
      <c r="B48" s="15" t="inlineStr">
        <is>
          <t>Thông báo &amp; Nhắn tin</t>
        </is>
      </c>
      <c r="C48" s="15" t="inlineStr">
        <is>
          <t>Tùy chọn thông báo (NotificationPreference)</t>
        </is>
      </c>
      <c r="D48" s="15" t="inlineStr">
        <is>
          <t>Không tắt được loại bắt buộc role_changed</t>
        </is>
      </c>
      <c r="E48" s="15" t="inlineStr">
        <is>
          <t>Chức năng</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48" s="15" t="inlineStr">
        <is>
          <t>1. PUT /api/notifications/preferences body {"types":{"role_changed":false}}
2. GET /api/notifications/preferences</t>
        </is>
      </c>
      <c r="K48" s="15" t="inlineStr">
        <is>
          <t>{"types":{"role_changed":false}}</t>
        </is>
      </c>
      <c r="L48" s="15" t="inlineStr">
        <is>
          <t>400 BAD_REQUEST, message "Không thể tắt thông báo quan trọng: role_changed"; GET vẫn types.role_changed=true.</t>
        </is>
      </c>
      <c r="M48" s="15" t="inlineStr"/>
      <c r="N48" s="18" t="inlineStr">
        <is>
          <t>Chưa test</t>
        </is>
      </c>
      <c r="O48" s="15" t="inlineStr"/>
      <c r="P48" s="15" t="inlineStr"/>
      <c r="Q48" s="18" t="inlineStr">
        <is>
          <t>Chưa test</t>
        </is>
      </c>
      <c r="R48" s="15" t="inlineStr"/>
    </row>
    <row r="49" ht="30" customHeight="1">
      <c r="A49" s="14" t="inlineStr">
        <is>
          <t>TC-NOTI-048</t>
        </is>
      </c>
      <c r="B49" s="15" t="inlineStr">
        <is>
          <t>Thông báo &amp; Nhắn tin</t>
        </is>
      </c>
      <c r="C49" s="15" t="inlineStr">
        <is>
          <t>Tùy chọn thông báo (NotificationPreference)</t>
        </is>
      </c>
      <c r="D49" s="15" t="inlineStr">
        <is>
          <t>Không tắt được loại bắt buộc removed_from_community</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 (loại bắt buộc: luôn gửi khi bị xóa khỏi cộng đồng)</t>
        </is>
      </c>
      <c r="J49" s="15" t="inlineStr">
        <is>
          <t>1. PUT /api/notifications/preferences body {"types":{"removed_from_community":false}}
2. GET /api/notifications/preferences</t>
        </is>
      </c>
      <c r="K49" s="15" t="inlineStr">
        <is>
          <t>{"types":{"removed_from_community":false}}</t>
        </is>
      </c>
      <c r="L49" s="15" t="inlineStr">
        <is>
          <t>400 BAD_REQUEST, message "Không thể tắt thông báo quan trọng: removed_from_community"; GET vẫn types.removed_from_community=true.</t>
        </is>
      </c>
      <c r="M49" s="15" t="inlineStr"/>
      <c r="N49" s="18" t="inlineStr">
        <is>
          <t>Chưa test</t>
        </is>
      </c>
      <c r="O49" s="15" t="inlineStr"/>
      <c r="P49" s="15" t="inlineStr"/>
      <c r="Q49" s="18" t="inlineStr">
        <is>
          <t>Chưa test</t>
        </is>
      </c>
      <c r="R49" s="15" t="inlineStr"/>
    </row>
    <row r="50" ht="30" customHeight="1">
      <c r="A50" s="14" t="inlineStr">
        <is>
          <t>TC-NOTI-049</t>
        </is>
      </c>
      <c r="B50" s="15" t="inlineStr">
        <is>
          <t>Thông báo &amp; Nhắn tin</t>
        </is>
      </c>
      <c r="C50" s="15" t="inlineStr">
        <is>
          <t>Tùy chọn thông báo (NotificationPreference)</t>
        </is>
      </c>
      <c r="D50" s="15" t="inlineStr">
        <is>
          <t>Không tắt được loại bắt buộc report_resolved</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50" s="15" t="inlineStr">
        <is>
          <t>1. PUT /api/notifications/preferences body {"types":{"report_resolved":false}}
2. GET /api/notifications/preferences</t>
        </is>
      </c>
      <c r="K50" s="15" t="inlineStr">
        <is>
          <t>{"types":{"report_resolved":false}}</t>
        </is>
      </c>
      <c r="L50" s="15" t="inlineStr">
        <is>
          <t>400 BAD_REQUEST, message "Không thể tắt thông báo quan trọng: report_resolved"; GET vẫn types.report_resolved=true.</t>
        </is>
      </c>
      <c r="M50" s="15" t="inlineStr"/>
      <c r="N50" s="18" t="inlineStr">
        <is>
          <t>Chưa test</t>
        </is>
      </c>
      <c r="O50" s="15" t="inlineStr"/>
      <c r="P50" s="15" t="inlineStr"/>
      <c r="Q50" s="18" t="inlineStr">
        <is>
          <t>Chưa test</t>
        </is>
      </c>
      <c r="R50" s="15" t="inlineStr"/>
    </row>
    <row r="51" ht="30" customHeight="1">
      <c r="A51" s="14" t="inlineStr">
        <is>
          <t>TC-NOTI-050</t>
        </is>
      </c>
      <c r="B51" s="15" t="inlineStr">
        <is>
          <t>Thông báo &amp; Nhắn tin</t>
        </is>
      </c>
      <c r="C51" s="15" t="inlineStr">
        <is>
          <t>Tùy chọn thông báo (NotificationPreference)</t>
        </is>
      </c>
      <c r="D51" s="15" t="inlineStr">
        <is>
          <t>Bật lại loại đã tắt (post_liked của member3) có hiệu lực</t>
        </is>
      </c>
      <c r="E51" s="15" t="inlineStr">
        <is>
          <t>Chức năng</t>
        </is>
      </c>
      <c r="F51" s="20" t="inlineStr">
        <is>
          <t>Trung bình</t>
        </is>
      </c>
      <c r="G51" s="17" t="inlineStr">
        <is>
          <t>Đã hoàn thiện</t>
        </is>
      </c>
      <c r="H51" s="17" t="inlineStr">
        <is>
          <t>Có</t>
        </is>
      </c>
      <c r="I51" s="15" t="inlineStr">
        <is>
          <t>Vừa seed. member3 (post_liked đang false)</t>
        </is>
      </c>
      <c r="J51" s="15" t="inlineStr">
        <is>
          <t>1. member3: PUT {"types":{"post_liked":true}}
2. GET /preferences</t>
        </is>
      </c>
      <c r="K51" s="15" t="inlineStr">
        <is>
          <t>post_liked=true</t>
        </is>
      </c>
      <c r="L51" s="15" t="inlineStr">
        <is>
          <t>200; types.post_liked=true; các khóa khác (member_joined=false, emailDigest=weekly) giữ nguyên.</t>
        </is>
      </c>
      <c r="M51" s="15" t="inlineStr"/>
      <c r="N51" s="18" t="inlineStr">
        <is>
          <t>Chưa test</t>
        </is>
      </c>
      <c r="O51" s="15" t="inlineStr"/>
      <c r="P51" s="15" t="inlineStr"/>
      <c r="Q51" s="18" t="inlineStr">
        <is>
          <t>Chưa test</t>
        </is>
      </c>
      <c r="R51" s="15" t="inlineStr"/>
    </row>
    <row r="52" ht="45" customHeight="1">
      <c r="A52" s="14" t="inlineStr">
        <is>
          <t>TC-NOTI-051</t>
        </is>
      </c>
      <c r="B52" s="15" t="inlineStr">
        <is>
          <t>Thông báo &amp; Nhắn tin</t>
        </is>
      </c>
      <c r="C52" s="15" t="inlineStr">
        <is>
          <t>Tùy chọn thông báo (NotificationPreference)</t>
        </is>
      </c>
      <c r="D52" s="15" t="inlineStr">
        <is>
          <t>Tùy chọn được giữ sau khi đăng xuất/đăng nhập lại</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t>
        </is>
      </c>
      <c r="J52" s="15" t="inlineStr">
        <is>
          <t>1. PUT {"types":{"event_created":false}}
2. POST /api/auth/logout rồi đăng nhập lại
3. GET /preferences</t>
        </is>
      </c>
      <c r="K52" s="15" t="inlineStr">
        <is>
          <t>event_created=false</t>
        </is>
      </c>
      <c r="L52" s="15" t="inlineStr">
        <is>
          <t>types.event_created vẫn false (lưu Postgres bảng NotificationPreference, không phụ thuộc phiên).</t>
        </is>
      </c>
      <c r="M52" s="15" t="inlineStr"/>
      <c r="N52" s="18" t="inlineStr">
        <is>
          <t>Chưa test</t>
        </is>
      </c>
      <c r="O52" s="15" t="inlineStr"/>
      <c r="P52" s="15" t="inlineStr"/>
      <c r="Q52" s="18" t="inlineStr">
        <is>
          <t>Chưa test</t>
        </is>
      </c>
      <c r="R52" s="15" t="inlineStr"/>
    </row>
    <row r="53" ht="45" customHeight="1">
      <c r="A53" s="14" t="inlineStr">
        <is>
          <t>TC-NOTI-052</t>
        </is>
      </c>
      <c r="B53" s="15" t="inlineStr">
        <is>
          <t>Thông báo &amp; Nhắn tin</t>
        </is>
      </c>
      <c r="C53" s="15" t="inlineStr">
        <is>
          <t>Tùy chọn thông báo (NotificationPreference)</t>
        </is>
      </c>
      <c r="D53" s="15" t="inlineStr">
        <is>
          <t>Tắt post_liked: bị thích bài thì KHÔNG tạo thông báo</t>
        </is>
      </c>
      <c r="E53" s="15" t="inlineStr">
        <is>
          <t>Tích hợp</t>
        </is>
      </c>
      <c r="F53" s="16" t="inlineStr">
        <is>
          <t>Cao</t>
        </is>
      </c>
      <c r="G53" s="17" t="inlineStr">
        <is>
          <t>Đã hoàn thiện</t>
        </is>
      </c>
      <c r="H53" s="17" t="inlineStr">
        <is>
          <t>Có</t>
        </is>
      </c>
      <c r="I53" s="15" t="inlineStr">
        <is>
          <t>member1 đã tắt post_liked (PUT {"types":{"post_liked":false}}); có 1 bài viết của member1 ở cộng đồng photo; member2 đăng nhập</t>
        </is>
      </c>
      <c r="J53" s="15" t="inlineStr">
        <is>
          <t>1. member1: GET unread-count ghi lại = X
2. member2: thích bài viết của member1 (POST /api/courses/photo/posts/:postId/like)
3. member1: GET /api/notifications và unread-count</t>
        </is>
      </c>
      <c r="K53" s="15" t="inlineStr">
        <is>
          <t>Bài viết của member1 ở photo</t>
        </is>
      </c>
      <c r="L53" s="15" t="inlineStr">
        <is>
          <t>Số chưa đọc vẫn X, không có thông báo post_liked mới (loại bị tắt thì không lưu và không phát SSE).</t>
        </is>
      </c>
      <c r="M53" s="15" t="inlineStr"/>
      <c r="N53" s="18" t="inlineStr">
        <is>
          <t>Chưa test</t>
        </is>
      </c>
      <c r="O53" s="15" t="inlineStr"/>
      <c r="P53" s="15" t="inlineStr"/>
      <c r="Q53" s="18" t="inlineStr">
        <is>
          <t>Chưa test</t>
        </is>
      </c>
      <c r="R53" s="15" t="inlineStr"/>
    </row>
    <row r="54" ht="30" customHeight="1">
      <c r="A54" s="14" t="inlineStr">
        <is>
          <t>TC-NOTI-053</t>
        </is>
      </c>
      <c r="B54" s="15" t="inlineStr">
        <is>
          <t>Thông báo &amp; Nhắn tin</t>
        </is>
      </c>
      <c r="C54" s="15" t="inlineStr">
        <is>
          <t>Tùy chọn thông báo (NotificationPreference)</t>
        </is>
      </c>
      <c r="D54" s="15" t="inlineStr">
        <is>
          <t>Tắt post_liked không chặn loại khác: bình luận vẫn tạo post_commented</t>
        </is>
      </c>
      <c r="E54" s="15" t="inlineStr">
        <is>
          <t>Tích hợp</t>
        </is>
      </c>
      <c r="F54" s="20" t="inlineStr">
        <is>
          <t>Trung bình</t>
        </is>
      </c>
      <c r="G54" s="17" t="inlineStr">
        <is>
          <t>Đã hoàn thiện</t>
        </is>
      </c>
      <c r="H54" s="17" t="inlineStr">
        <is>
          <t>Có</t>
        </is>
      </c>
      <c r="I54" s="15" t="inlineStr">
        <is>
          <t>member1 đã tắt post_liked, chưa tắt post_commented; member2 đăng nhập</t>
        </is>
      </c>
      <c r="J54" s="15" t="inlineStr">
        <is>
          <t>1. member2: bình luận bài của member1 ("Ảnh đẹp quá")
2. member1: GET /api/notifications</t>
        </is>
      </c>
      <c r="K54" s="15" t="inlineStr">
        <is>
          <t>content="Ảnh đẹp quá"</t>
        </is>
      </c>
      <c r="L54" s="15" t="inlineStr">
        <is>
          <t>member1 có thêm 1 thông báo type=post_commented title "Bình luận mới"; không có post_liked.</t>
        </is>
      </c>
      <c r="M54" s="15" t="inlineStr"/>
      <c r="N54" s="18" t="inlineStr">
        <is>
          <t>Chưa test</t>
        </is>
      </c>
      <c r="O54" s="15" t="inlineStr"/>
      <c r="P54" s="15" t="inlineStr"/>
      <c r="Q54" s="18" t="inlineStr">
        <is>
          <t>Chưa test</t>
        </is>
      </c>
      <c r="R54" s="15" t="inlineStr"/>
    </row>
    <row r="55" ht="45" customHeight="1">
      <c r="A55" s="14" t="inlineStr">
        <is>
          <t>TC-NOTI-054</t>
        </is>
      </c>
      <c r="B55" s="15" t="inlineStr">
        <is>
          <t>Thông báo &amp; Nhắn tin</t>
        </is>
      </c>
      <c r="C55" s="15" t="inlineStr">
        <is>
          <t>Tùy chọn thông báo (NotificationPreference)</t>
        </is>
      </c>
      <c r="D55" s="15" t="inlineStr">
        <is>
          <t>member3 (post_liked đã tắt sẵn từ seed) không nhận thông báo khi bài được thích</t>
        </is>
      </c>
      <c r="E55" s="15" t="inlineStr">
        <is>
          <t>Tích hợp</t>
        </is>
      </c>
      <c r="F55" s="16" t="inlineStr">
        <is>
          <t>Cao</t>
        </is>
      </c>
      <c r="G55" s="17" t="inlineStr">
        <is>
          <t>Đã hoàn thiện</t>
        </is>
      </c>
      <c r="H55" s="17" t="inlineStr">
        <is>
          <t>Có</t>
        </is>
      </c>
      <c r="I55" s="15" t="inlineStr">
        <is>
          <t>Vừa seed; member3 có bài viết ở photo; đăng nhập member2</t>
        </is>
      </c>
      <c r="J55" s="15" t="inlineStr">
        <is>
          <t>1. member3: ghi unread-count
2. member2 thích bài của member3
3. member3: GET /api/notifications</t>
        </is>
      </c>
      <c r="K55" s="15" t="inlineStr">
        <is>
          <t>-</t>
        </is>
      </c>
      <c r="L55" s="15" t="inlineStr">
        <is>
          <t>Không có thông báo post_liked mới cho member3; unread-count giữ nguyên.</t>
        </is>
      </c>
      <c r="M55" s="15" t="inlineStr"/>
      <c r="N55" s="18" t="inlineStr">
        <is>
          <t>Chưa test</t>
        </is>
      </c>
      <c r="O55" s="15" t="inlineStr"/>
      <c r="P55" s="15" t="inlineStr"/>
      <c r="Q55" s="18" t="inlineStr">
        <is>
          <t>Chưa test</t>
        </is>
      </c>
      <c r="R55" s="15" t="inlineStr"/>
    </row>
    <row r="56" ht="45" customHeight="1">
      <c r="A56" s="14" t="inlineStr">
        <is>
          <t>TC-NOTI-055</t>
        </is>
      </c>
      <c r="B56" s="15" t="inlineStr">
        <is>
          <t>Thông báo &amp; Nhắn tin</t>
        </is>
      </c>
      <c r="C56" s="15" t="inlineStr">
        <is>
          <t>Tùy chọn thông báo (NotificationPreference)</t>
        </is>
      </c>
      <c r="D56" s="15" t="inlineStr">
        <is>
          <t>Cache tùy chọn 5 giây: đổi tùy chọn có hiệu lực (giá trị tạm)</t>
        </is>
      </c>
      <c r="E56" s="15" t="inlineStr">
        <is>
          <t>Tích hợp</t>
        </is>
      </c>
      <c r="F56" s="17" t="inlineStr">
        <is>
          <t>Thấp</t>
        </is>
      </c>
      <c r="G56" s="17" t="inlineStr">
        <is>
          <t>Đã hoàn thiện</t>
        </is>
      </c>
      <c r="H56" s="20" t="inlineStr">
        <is>
          <t>Một phần</t>
        </is>
      </c>
      <c r="I56" s="15" t="inlineStr">
        <is>
          <t>member1 vừa bật/tắt post_liked; member2 sẵn sàng thích bài</t>
        </is>
      </c>
      <c r="J56" s="15" t="inlineStr">
        <is>
          <t>1. member1 tắt post_liked
2. Ngay lập tức member2 thích bài (&lt; 5s)
3. Chờ &gt; 5s, thích lại sau khi bỏ thích rồi thích</t>
        </is>
      </c>
      <c r="K56" s="15" t="inlineStr">
        <is>
          <t>Cache preference 5s</t>
        </is>
      </c>
      <c r="L56" s="15" t="inlineStr">
        <is>
          <t>Sau PUT, notify() dùng lại tùy chọn mới (cache được làm mới/khả năng lệch tối đa 5s giữa các instance; 1 instance dev thì có hiệu lực ngay). Ghi nhận thực tế nếu lệch (giá trị tạm / chưa chốt).</t>
        </is>
      </c>
      <c r="M56" s="15" t="inlineStr"/>
      <c r="N56" s="18" t="inlineStr">
        <is>
          <t>Chưa test</t>
        </is>
      </c>
      <c r="O56" s="15" t="inlineStr"/>
      <c r="P56" s="15" t="inlineStr"/>
      <c r="Q56" s="18" t="inlineStr">
        <is>
          <t>Chưa test</t>
        </is>
      </c>
      <c r="R56" s="15" t="inlineStr"/>
    </row>
    <row r="57" ht="45" customHeight="1">
      <c r="A57" s="14" t="inlineStr">
        <is>
          <t>TC-NOTI-056</t>
        </is>
      </c>
      <c r="B57" s="15" t="inlineStr">
        <is>
          <t>Thông báo &amp; Nhắn tin</t>
        </is>
      </c>
      <c r="C57" s="15" t="inlineStr">
        <is>
          <t>Chuông &amp; trang /notifications (UI)</t>
        </is>
      </c>
      <c r="D57" s="15" t="inlineStr">
        <is>
          <t>Chuông member1: badge 4, dropdown tối đa 10, mục chưa đọc nền cam + chấm</t>
        </is>
      </c>
      <c r="E57" s="15" t="inlineStr">
        <is>
          <t>Giao diện</t>
        </is>
      </c>
      <c r="F57" s="16" t="inlineStr">
        <is>
          <t>Cao</t>
        </is>
      </c>
      <c r="G57" s="17" t="inlineStr">
        <is>
          <t>Đã hoàn thiện</t>
        </is>
      </c>
      <c r="H57" s="17" t="inlineStr">
        <is>
          <t>Có</t>
        </is>
      </c>
      <c r="I57" s="15" t="inlineStr">
        <is>
          <t>Vừa chạy db:seed, chưa thao tác gì (kịch bản seed member1: 7 thông báo, 4 chưa đọc: seed-notif-member1-1..4; 3 đã đọc: -5..-7). Đăng nhập member1@sofinhub.test / Passw0rd!x</t>
        </is>
      </c>
      <c r="J57" s="15" t="inlineStr">
        <is>
          <t>1. Vào /courses/photo/community
2. Quan sát chuông ở topbar
3. Bấm chuông</t>
        </is>
      </c>
      <c r="K57" s="15" t="inlineStr">
        <is>
          <t>-</t>
        </is>
      </c>
      <c r="L57" s="15" t="inlineStr">
        <is>
          <t>Badge hiện số 4; dropdown liệt kê 7 thông báo (tối đa 10) mới nhất trước; 4 mục chưa đọc có nền cam nhạt + chấm; có nút "Đọc tất cả" và "Xem tất cả thông báo".</t>
        </is>
      </c>
      <c r="M57" s="15" t="inlineStr"/>
      <c r="N57" s="18" t="inlineStr">
        <is>
          <t>Chưa test</t>
        </is>
      </c>
      <c r="O57" s="15" t="inlineStr"/>
      <c r="P57" s="15" t="inlineStr"/>
      <c r="Q57" s="18" t="inlineStr">
        <is>
          <t>Chưa test</t>
        </is>
      </c>
      <c r="R57" s="15" t="inlineStr"/>
    </row>
    <row r="58" ht="30" customHeight="1">
      <c r="A58" s="14" t="inlineStr">
        <is>
          <t>TC-NOTI-057</t>
        </is>
      </c>
      <c r="B58" s="15" t="inlineStr">
        <is>
          <t>Thông báo &amp; Nhắn tin</t>
        </is>
      </c>
      <c r="C58" s="15" t="inlineStr">
        <is>
          <t>Chuông &amp; trang /notifications (UI)</t>
        </is>
      </c>
      <c r="D58" s="15" t="inlineStr">
        <is>
          <t>Bấm 1 thông báo: đánh dấu đã đọc, badge giảm, chuyển đến link</t>
        </is>
      </c>
      <c r="E58" s="15" t="inlineStr">
        <is>
          <t>Chức năng</t>
        </is>
      </c>
      <c r="F58" s="16" t="inlineStr">
        <is>
          <t>Cao</t>
        </is>
      </c>
      <c r="G58" s="17" t="inlineStr">
        <is>
          <t>Đã hoàn thiện</t>
        </is>
      </c>
      <c r="H58" s="17" t="inlineStr">
        <is>
          <t>Có</t>
        </is>
      </c>
      <c r="I58" s="15" t="inlineStr">
        <is>
          <t>Vừa chạy db:seed, chưa thao tác gì (kịch bản seed member1: 7 thông báo, 4 chưa đọc: seed-notif-member1-1..4; 3 đã đọc: -5..-7). Đăng nhập member1@sofinhub.test / Passw0rd!x</t>
        </is>
      </c>
      <c r="J58" s="15" t="inlineStr">
        <is>
          <t>1. Bấm chuông, bấm thông báo "Sự kiện sắp diễn ra" (seed-notif-member1-3)</t>
        </is>
      </c>
      <c r="K58" s="15" t="inlineStr">
        <is>
          <t>link=/courses/photo/community/lich</t>
        </is>
      </c>
      <c r="L58" s="15" t="inlineStr">
        <is>
          <t>Gọi POST /notifications/seed-notif-member1-3/read; badge 4 -&gt; 3; chuyển sang /courses/photo/community/lich (tab Lịch sự kiện mở được, không 404); mục mất nền cam.</t>
        </is>
      </c>
      <c r="M58" s="15" t="inlineStr"/>
      <c r="N58" s="18" t="inlineStr">
        <is>
          <t>Chưa test</t>
        </is>
      </c>
      <c r="O58" s="15" t="inlineStr"/>
      <c r="P58" s="15" t="inlineStr"/>
      <c r="Q58" s="18" t="inlineStr">
        <is>
          <t>Chưa test</t>
        </is>
      </c>
      <c r="R58" s="15" t="inlineStr"/>
    </row>
    <row r="59" ht="30" customHeight="1">
      <c r="A59" s="14" t="inlineStr">
        <is>
          <t>TC-NOTI-058</t>
        </is>
      </c>
      <c r="B59" s="15" t="inlineStr">
        <is>
          <t>Thông báo &amp; Nhắn tin</t>
        </is>
      </c>
      <c r="C59" s="15" t="inlineStr">
        <is>
          <t>Chuông &amp; trang /notifications (UI)</t>
        </is>
      </c>
      <c r="D59" s="15" t="inlineStr">
        <is>
          <t>Nút "Đọc tất cả" đưa badge về 0 và ẩn badge</t>
        </is>
      </c>
      <c r="E59" s="15" t="inlineStr">
        <is>
          <t>Chức năng</t>
        </is>
      </c>
      <c r="F59" s="16" t="inlineStr">
        <is>
          <t>Cao</t>
        </is>
      </c>
      <c r="G59" s="17" t="inlineStr">
        <is>
          <t>Đã hoàn thiện</t>
        </is>
      </c>
      <c r="H59" s="17" t="inlineStr">
        <is>
          <t>Có</t>
        </is>
      </c>
      <c r="I59" s="15" t="inlineStr">
        <is>
          <t>Vừa chạy db:seed, chưa thao tác gì (kịch bản seed member1: 7 thông báo, 4 chưa đọc: seed-notif-member1-1..4; 3 đã đọc: -5..-7). Đăng nhập member1@sofinhub.test / Passw0rd!x</t>
        </is>
      </c>
      <c r="J59" s="15" t="inlineStr">
        <is>
          <t>1. Mở dropdown chuông
2. Bấm "Đọc tất cả"</t>
        </is>
      </c>
      <c r="K59" s="15" t="inlineStr">
        <is>
          <t>-</t>
        </is>
      </c>
      <c r="L59" s="15" t="inlineStr">
        <is>
          <t>Gọi POST /notifications/read-all; badge biến mất; toàn bộ mục hết nền cam.</t>
        </is>
      </c>
      <c r="M59" s="15" t="inlineStr"/>
      <c r="N59" s="18" t="inlineStr">
        <is>
          <t>Chưa test</t>
        </is>
      </c>
      <c r="O59" s="15" t="inlineStr"/>
      <c r="P59" s="15" t="inlineStr"/>
      <c r="Q59" s="18" t="inlineStr">
        <is>
          <t>Chưa test</t>
        </is>
      </c>
      <c r="R59" s="15" t="inlineStr"/>
    </row>
    <row r="60" ht="45" customHeight="1">
      <c r="A60" s="14" t="inlineStr">
        <is>
          <t>TC-NOTI-059</t>
        </is>
      </c>
      <c r="B60" s="15" t="inlineStr">
        <is>
          <t>Thông báo &amp; Nhắn tin</t>
        </is>
      </c>
      <c r="C60" s="15" t="inlineStr">
        <is>
          <t>Chuông &amp; trang /notifications (UI)</t>
        </is>
      </c>
      <c r="D60" s="15" t="inlineStr">
        <is>
          <t>Trang /notifications: lọc "Chưa đọc" và xóa bằng thùng rác</t>
        </is>
      </c>
      <c r="E60" s="15" t="inlineStr">
        <is>
          <t>Chức năng</t>
        </is>
      </c>
      <c r="F60" s="20" t="inlineStr">
        <is>
          <t>Trung bình</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Mở /notifications
2. Bấm lọc "Chưa đọc"
3. Bấm thùng rác trên thông báo seed-notif-member1-2</t>
        </is>
      </c>
      <c r="K60" s="15" t="inlineStr">
        <is>
          <t>-</t>
        </is>
      </c>
      <c r="L60" s="15" t="inlineStr">
        <is>
          <t>Lọc còn 4 mục chưa đọc (gọi ?unread=true); sau xóa còn 3, badge chuông giảm 1 (DELETE trả deleted:true).</t>
        </is>
      </c>
      <c r="M60" s="15" t="inlineStr"/>
      <c r="N60" s="18" t="inlineStr">
        <is>
          <t>Chưa test</t>
        </is>
      </c>
      <c r="O60" s="15" t="inlineStr"/>
      <c r="P60" s="15" t="inlineStr"/>
      <c r="Q60" s="18" t="inlineStr">
        <is>
          <t>Chưa test</t>
        </is>
      </c>
      <c r="R60" s="15" t="inlineStr"/>
    </row>
    <row r="61" ht="45" customHeight="1">
      <c r="A61" s="14" t="inlineStr">
        <is>
          <t>TC-NOTI-060</t>
        </is>
      </c>
      <c r="B61" s="15" t="inlineStr">
        <is>
          <t>Thông báo &amp; Nhắn tin</t>
        </is>
      </c>
      <c r="C61" s="15" t="inlineStr">
        <is>
          <t>Chuông &amp; trang /notifications (UI)</t>
        </is>
      </c>
      <c r="D61" s="15" t="inlineStr">
        <is>
          <t>Trang /notifications phân trang 20/trang khi có &gt; 20 thông báo</t>
        </is>
      </c>
      <c r="E61" s="15" t="inlineStr">
        <is>
          <t>Chức năng</t>
        </is>
      </c>
      <c r="F61" s="20" t="inlineStr">
        <is>
          <t>Trung bình</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61" s="15" t="inlineStr">
        <is>
          <t>1. Mở /notifications
2. Kiểm tra số mục và điều khiển phân trang
3. Sang trang 2</t>
        </is>
      </c>
      <c r="K61" s="15" t="inlineStr">
        <is>
          <t>tổng ≥ 22</t>
        </is>
      </c>
      <c r="L61" s="15" t="inlineStr">
        <is>
          <t>Trang 1 có 20 mục, trang 2 có phần còn lại; không trùng lặp; thứ tự mới nhất trước.</t>
        </is>
      </c>
      <c r="M61" s="15" t="inlineStr"/>
      <c r="N61" s="18" t="inlineStr">
        <is>
          <t>Chưa test</t>
        </is>
      </c>
      <c r="O61" s="15" t="inlineStr"/>
      <c r="P61" s="15" t="inlineStr"/>
      <c r="Q61" s="18" t="inlineStr">
        <is>
          <t>Chưa test</t>
        </is>
      </c>
      <c r="R61" s="15" t="inlineStr"/>
    </row>
    <row r="62" ht="30" customHeight="1">
      <c r="A62" s="14" t="inlineStr">
        <is>
          <t>TC-NOTI-061</t>
        </is>
      </c>
      <c r="B62" s="15" t="inlineStr">
        <is>
          <t>Thông báo &amp; Nhắn tin</t>
        </is>
      </c>
      <c r="C62" s="15" t="inlineStr">
        <is>
          <t>Chuông &amp; trang /notifications (UI)</t>
        </is>
      </c>
      <c r="D62" s="15" t="inlineStr">
        <is>
          <t>Khách vào /notifications bị yêu cầu đăng nhập</t>
        </is>
      </c>
      <c r="E62" s="15" t="inlineStr">
        <is>
          <t>Bảo mật</t>
        </is>
      </c>
      <c r="F62" s="20" t="inlineStr">
        <is>
          <t>Trung bình</t>
        </is>
      </c>
      <c r="G62" s="17" t="inlineStr">
        <is>
          <t>Đã hoàn thiện</t>
        </is>
      </c>
      <c r="H62" s="17" t="inlineStr">
        <is>
          <t>Có</t>
        </is>
      </c>
      <c r="I62" s="15" t="inlineStr">
        <is>
          <t>Chưa đăng nhập (xóa localStorage)</t>
        </is>
      </c>
      <c r="J62" s="15" t="inlineStr">
        <is>
          <t>1. Mở trực tiếp /notifications</t>
        </is>
      </c>
      <c r="K62" s="15" t="inlineStr">
        <is>
          <t>-</t>
        </is>
      </c>
      <c r="L62" s="15" t="inlineStr">
        <is>
          <t>Hiện yêu cầu đăng nhập/chuyển về trang đăng nhập, không lộ dữ liệu; không gọi API thành công.</t>
        </is>
      </c>
      <c r="M62" s="15" t="inlineStr"/>
      <c r="N62" s="18" t="inlineStr">
        <is>
          <t>Chưa test</t>
        </is>
      </c>
      <c r="O62" s="15" t="inlineStr"/>
      <c r="P62" s="15" t="inlineStr"/>
      <c r="Q62" s="18" t="inlineStr">
        <is>
          <t>Chưa test</t>
        </is>
      </c>
      <c r="R62" s="15" t="inlineStr"/>
    </row>
    <row r="63" ht="30" customHeight="1">
      <c r="A63" s="14" t="inlineStr">
        <is>
          <t>TC-NOTI-062</t>
        </is>
      </c>
      <c r="B63" s="15" t="inlineStr">
        <is>
          <t>Thông báo &amp; Nhắn tin</t>
        </is>
      </c>
      <c r="C63" s="15" t="inlineStr">
        <is>
          <t>Chuông &amp; trang /notifications (UI)</t>
        </is>
      </c>
      <c r="D63" s="15" t="inlineStr">
        <is>
          <t>Trạng thái rỗng: tài khoản chưa có thông báo</t>
        </is>
      </c>
      <c r="E63" s="15" t="inlineStr">
        <is>
          <t>Giao diện</t>
        </is>
      </c>
      <c r="F63" s="17" t="inlineStr">
        <is>
          <t>Thấp</t>
        </is>
      </c>
      <c r="G63" s="17" t="inlineStr">
        <is>
          <t>Đã hoàn thiện</t>
        </is>
      </c>
      <c r="H63" s="17" t="inlineStr">
        <is>
          <t>Có</t>
        </is>
      </c>
      <c r="I63" s="15" t="inlineStr">
        <is>
          <t>Đăng nhập newbie@sofinhub.test / Passw0rd!x (chưa có thông báo nào)</t>
        </is>
      </c>
      <c r="J63" s="15" t="inlineStr">
        <is>
          <t>1. Mở /notifications
2. Quan sát chuông</t>
        </is>
      </c>
      <c r="K63" s="15" t="inlineStr">
        <is>
          <t>-</t>
        </is>
      </c>
      <c r="L63" s="15" t="inlineStr">
        <is>
          <t>Không có badge; danh sách hiển thị trạng thái rỗng, không lỗi; unread-count = 0.</t>
        </is>
      </c>
      <c r="M63" s="15" t="inlineStr"/>
      <c r="N63" s="18" t="inlineStr">
        <is>
          <t>Chưa test</t>
        </is>
      </c>
      <c r="O63" s="15" t="inlineStr"/>
      <c r="P63" s="15" t="inlineStr"/>
      <c r="Q63" s="18" t="inlineStr">
        <is>
          <t>Chưa test</t>
        </is>
      </c>
      <c r="R63" s="15" t="inlineStr"/>
    </row>
    <row r="64" ht="45" customHeight="1">
      <c r="A64" s="14" t="inlineStr">
        <is>
          <t>TC-NOTI-063</t>
        </is>
      </c>
      <c r="B64" s="15" t="inlineStr">
        <is>
          <t>Thông báo &amp; Nhắn tin</t>
        </is>
      </c>
      <c r="C64" s="15" t="inlineStr">
        <is>
          <t>Chuông &amp; trang /notifications (UI)</t>
        </is>
      </c>
      <c r="D64" s="15" t="inlineStr">
        <is>
          <t>Thông báo có link lạ: chuyển 404 của app; link ngoại lai bị bỏ qua</t>
        </is>
      </c>
      <c r="E64" s="15" t="inlineStr">
        <is>
          <t>Bảo mật</t>
        </is>
      </c>
      <c r="F64" s="20" t="inlineStr">
        <is>
          <t>Trung bình</t>
        </is>
      </c>
      <c r="G64" s="17" t="inlineStr">
        <is>
          <t>Đã hoàn thiện</t>
        </is>
      </c>
      <c r="H64" s="16" t="inlineStr">
        <is>
          <t>Không</t>
        </is>
      </c>
      <c r="I64" s="15" t="inlineStr">
        <is>
          <t>member1 có 2 thông báo được gán link thủ công qua DB: "/trang-khong-ton-tai" và "//evil.example.com" (link không bắt đầu bằng / cũng thử)</t>
        </is>
      </c>
      <c r="J64" s="15" t="inlineStr">
        <is>
          <t>1. Bấm thông báo link /trang-khong-ton-tai
2. Bấm thông báo link //evil.example.com
3. Bấm thông báo link "javascript:alert(1)"</t>
        </is>
      </c>
      <c r="K64" s="15" t="inlineStr">
        <is>
          <t>3 link</t>
        </is>
      </c>
      <c r="L64" s="15" t="inlineStr">
        <is>
          <t>Link 1: trang 404 của app (không trắng trang); link 2 và 3: KHÔNG điều hướng đi đâu, chỉ đánh dấu đã đọc (theo platform.md); không thực thi script.</t>
        </is>
      </c>
      <c r="M64" s="15" t="inlineStr"/>
      <c r="N64" s="18" t="inlineStr">
        <is>
          <t>Chưa test</t>
        </is>
      </c>
      <c r="O64" s="15" t="inlineStr"/>
      <c r="P64" s="15" t="inlineStr"/>
      <c r="Q64" s="18" t="inlineStr">
        <is>
          <t>Chưa test</t>
        </is>
      </c>
      <c r="R64" s="15" t="inlineStr"/>
    </row>
    <row r="65" ht="45" customHeight="1">
      <c r="A65" s="14" t="inlineStr">
        <is>
          <t>TC-NOTI-064</t>
        </is>
      </c>
      <c r="B65" s="15" t="inlineStr">
        <is>
          <t>Thông báo &amp; Nhắn tin</t>
        </is>
      </c>
      <c r="C65" s="15" t="inlineStr">
        <is>
          <t>Chuông &amp; trang /notifications (UI)</t>
        </is>
      </c>
      <c r="D65" s="15" t="inlineStr">
        <is>
          <t>Chuông ẩn ở màn hình &lt; 640px, vẫn vào được /notifications qua menu</t>
        </is>
      </c>
      <c r="E65" s="15" t="inlineStr">
        <is>
          <t>Giao diện</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Thu cửa sổ về 375px
2. Tìm chuông ở Header
3. Mở menu -&gt; Thông báo</t>
        </is>
      </c>
      <c r="K65" s="15" t="inlineStr">
        <is>
          <t>viewport 375x800</t>
        </is>
      </c>
      <c r="L65" s="15" t="inlineStr">
        <is>
          <t>Chuông trong Header ẩn; vào /notifications qua menu hoạt động bình thường.</t>
        </is>
      </c>
      <c r="M65" s="15" t="inlineStr"/>
      <c r="N65" s="18" t="inlineStr">
        <is>
          <t>Chưa test</t>
        </is>
      </c>
      <c r="O65" s="15" t="inlineStr"/>
      <c r="P65" s="15" t="inlineStr"/>
      <c r="Q65" s="18" t="inlineStr">
        <is>
          <t>Chưa test</t>
        </is>
      </c>
      <c r="R65" s="15" t="inlineStr"/>
    </row>
    <row r="66" ht="30" customHeight="1">
      <c r="A66" s="14" t="inlineStr">
        <is>
          <t>TC-NOTI-065</t>
        </is>
      </c>
      <c r="B66" s="15" t="inlineStr">
        <is>
          <t>Thông báo &amp; Nhắn tin</t>
        </is>
      </c>
      <c r="C66" s="15" t="inlineStr">
        <is>
          <t>Giới hạn lưu trữ thông báo</t>
        </is>
      </c>
      <c r="D66" s="15" t="inlineStr">
        <is>
          <t>Tối đa 200 thông báo/user: thêm thông báo mới thì cắt bớt cái cũ</t>
        </is>
      </c>
      <c r="E66" s="15" t="inlineStr">
        <is>
          <t>Hiệu năng</t>
        </is>
      </c>
      <c r="F66" s="20" t="inlineStr">
        <is>
          <t>Trung bình</t>
        </is>
      </c>
      <c r="G66" s="17" t="inlineStr">
        <is>
          <t>Đã hoàn thiện</t>
        </is>
      </c>
      <c r="H66" s="16" t="inlineStr">
        <is>
          <t>Không</t>
        </is>
      </c>
      <c r="I66" s="15" t="inlineStr">
        <is>
          <t>Tài khoản test nhận được &gt; 200 thông báo (script tạo 210 bình luận/like)</t>
        </is>
      </c>
      <c r="J66" s="15" t="inlineStr">
        <is>
          <t>1. Tạo 210 thông báo cho cùng 1 user
2. GET /api/notifications?limit=50 các trang, cộng tổng</t>
        </is>
      </c>
      <c r="K66" s="15" t="inlineStr">
        <is>
          <t>210 thông báo</t>
        </is>
      </c>
      <c r="L66" s="15" t="inlineStr">
        <is>
          <t>meta.total ≤ 200; các thông báo cũ nhất bị dọn (dọn khi ghi thông báo mới bằng DELETE).</t>
        </is>
      </c>
      <c r="M66" s="15" t="inlineStr"/>
      <c r="N66" s="18" t="inlineStr">
        <is>
          <t>Chưa test</t>
        </is>
      </c>
      <c r="O66" s="15" t="inlineStr"/>
      <c r="P66" s="15" t="inlineStr"/>
      <c r="Q66" s="18" t="inlineStr">
        <is>
          <t>Chưa test</t>
        </is>
      </c>
      <c r="R66" s="15" t="inlineStr"/>
    </row>
    <row r="67" ht="30" customHeight="1">
      <c r="A67" s="14" t="inlineStr">
        <is>
          <t>TC-NOTI-066</t>
        </is>
      </c>
      <c r="B67" s="15" t="inlineStr">
        <is>
          <t>Thông báo &amp; Nhắn tin</t>
        </is>
      </c>
      <c r="C67" s="15" t="inlineStr">
        <is>
          <t>Giới hạn lưu trữ thông báo</t>
        </is>
      </c>
      <c r="D67" s="15" t="inlineStr">
        <is>
          <t>Thông báo đã đọc quá 30 ngày không được trả về</t>
        </is>
      </c>
      <c r="E67" s="15" t="inlineStr">
        <is>
          <t>Chức năng</t>
        </is>
      </c>
      <c r="F67" s="17" t="inlineStr">
        <is>
          <t>Thấp</t>
        </is>
      </c>
      <c r="G67" s="17" t="inlineStr">
        <is>
          <t>Đã hoàn thiện</t>
        </is>
      </c>
      <c r="H67" s="16" t="inlineStr">
        <is>
          <t>Không</t>
        </is>
      </c>
      <c r="I67" s="15" t="inlineStr">
        <is>
          <t>Sửa DB: đặt createdAt/readAt của seed-notif-member1-7 cách đây 31 ngày (đã đọc)</t>
        </is>
      </c>
      <c r="J67" s="15" t="inlineStr">
        <is>
          <t>1. Gọi GET /api/notifications
2. Tạo 1 thông báo mới (dọn khi ghi) rồi gọi lại</t>
        </is>
      </c>
      <c r="K67" s="15" t="inlineStr">
        <is>
          <t>readAt &gt; 30 ngày</t>
        </is>
      </c>
      <c r="L67" s="15" t="inlineStr">
        <is>
          <t>seed-notif-member1-7 không còn trong kết quả; các thông báo chưa đọc dù cũ vẫn giữ.</t>
        </is>
      </c>
      <c r="M67" s="15" t="inlineStr"/>
      <c r="N67" s="18" t="inlineStr">
        <is>
          <t>Chưa test</t>
        </is>
      </c>
      <c r="O67" s="15" t="inlineStr"/>
      <c r="P67" s="15" t="inlineStr"/>
      <c r="Q67" s="18" t="inlineStr">
        <is>
          <t>Chưa test</t>
        </is>
      </c>
      <c r="R67" s="15" t="inlineStr"/>
    </row>
    <row r="68" ht="30" customHeight="1">
      <c r="A68" s="14" t="inlineStr">
        <is>
          <t>TC-NOTI-067</t>
        </is>
      </c>
      <c r="B68" s="15" t="inlineStr">
        <is>
          <t>Thông báo &amp; Nhắn tin</t>
        </is>
      </c>
      <c r="C68" s="15" t="inlineStr">
        <is>
          <t>Giới hạn lưu trữ thông báo</t>
        </is>
      </c>
      <c r="D68" s="15" t="inlineStr">
        <is>
          <t>Chốt: email tổng hợp (emailDigest) mới lưu tùy chọn, chưa gửi email</t>
        </is>
      </c>
      <c r="E68" s="15" t="inlineStr">
        <is>
          <t>Tích hợp</t>
        </is>
      </c>
      <c r="F68" s="17" t="inlineStr">
        <is>
          <t>Thấp</t>
        </is>
      </c>
      <c r="G68" s="20" t="inlineStr">
        <is>
          <t>Kế hoạch</t>
        </is>
      </c>
      <c r="H68" s="16" t="inlineStr">
        <is>
          <t>Không</t>
        </is>
      </c>
      <c r="I68" s="15" t="inlineStr">
        <is>
          <t>Chưa làm: job gửi email tổng hợp theo emailDigest (daily/weekly) và gom nhóm thông báo ("5 người đã thích bài của bạn")</t>
        </is>
      </c>
      <c r="J68" s="15" t="inlineStr">
        <is>
          <t>1. Đặt emailDigest=daily
2. Chờ chu kỳ, đọc GET /api/dev/outbox?to=member1@sofinhub.test</t>
        </is>
      </c>
      <c r="K68" s="15" t="inlineStr">
        <is>
          <t>daily</t>
        </is>
      </c>
      <c r="L68" s="15" t="inlineStr">
        <is>
          <t>(Kế hoạch) Sẽ có email tổng hợp trong outbox; hiện tại KHÔNG có email nào (chưa chốt).</t>
        </is>
      </c>
      <c r="M68" s="15" t="inlineStr"/>
      <c r="N68" s="18" t="inlineStr">
        <is>
          <t>Chưa test</t>
        </is>
      </c>
      <c r="O68" s="15" t="inlineStr"/>
      <c r="P68" s="15" t="inlineStr"/>
      <c r="Q68" s="18" t="inlineStr">
        <is>
          <t>Chưa test</t>
        </is>
      </c>
      <c r="R68" s="15" t="inlineStr"/>
    </row>
    <row r="69" ht="30" customHeight="1">
      <c r="A69" s="14" t="inlineStr">
        <is>
          <t>TC-NOTI-068</t>
        </is>
      </c>
      <c r="B69" s="15" t="inlineStr">
        <is>
          <t>Thông báo &amp; Nhắn tin</t>
        </is>
      </c>
      <c r="C69" s="15" t="inlineStr">
        <is>
          <t>Giới hạn lưu trữ thông báo</t>
        </is>
      </c>
      <c r="D69" s="15" t="inlineStr">
        <is>
          <t>Chốt cách xác thực SSE cuối cùng (ticket hay cookie) và bỏ ?access_token</t>
        </is>
      </c>
      <c r="E69" s="15" t="inlineStr">
        <is>
          <t>Bảo mật</t>
        </is>
      </c>
      <c r="F69" s="20" t="inlineStr">
        <is>
          <t>Trung bình</t>
        </is>
      </c>
      <c r="G69" s="20" t="inlineStr">
        <is>
          <t>Kế hoạch</t>
        </is>
      </c>
      <c r="H69" s="17" t="inlineStr">
        <is>
          <t>Có</t>
        </is>
      </c>
      <c r="I69" s="15" t="inlineStr">
        <is>
          <t>Chưa chốt: docs/notifications ghi ?access_token= chỉ là fallback (token lọt vào access log/Referer); bản chốt dùng ticket hoặc cookie httpOnly</t>
        </is>
      </c>
      <c r="J69" s="15" t="inlineStr">
        <is>
          <t>1. Sau khi chốt: gọi GET /api/notifications/stream?access_token=&lt;token hợp lệ&gt;</t>
        </is>
      </c>
      <c r="K69" s="15" t="inlineStr">
        <is>
          <t>access_token trong URL</t>
        </is>
      </c>
      <c r="L69" s="15" t="inlineStr">
        <is>
          <t>(Kế hoạch) Sẽ trả 401 khi đã bỏ fallback; hiện tại vẫn 200 (giá trị tạm / chưa chốt).</t>
        </is>
      </c>
      <c r="M69" s="15" t="inlineStr"/>
      <c r="N69" s="18" t="inlineStr">
        <is>
          <t>Chưa test</t>
        </is>
      </c>
      <c r="O69" s="15" t="inlineStr"/>
      <c r="P69" s="15" t="inlineStr"/>
      <c r="Q69" s="18" t="inlineStr">
        <is>
          <t>Chưa test</t>
        </is>
      </c>
      <c r="R69" s="15" t="inlineStr"/>
    </row>
    <row r="70" ht="30" customHeight="1">
      <c r="A70" s="14" t="inlineStr">
        <is>
          <t>TC-NOTI-069</t>
        </is>
      </c>
      <c r="B70" s="15" t="inlineStr">
        <is>
          <t>Thông báo &amp; Nhắn tin</t>
        </is>
      </c>
      <c r="C70" s="15" t="inlineStr">
        <is>
          <t>Realtime SSE thông báo</t>
        </is>
      </c>
      <c r="D70" s="15" t="inlineStr">
        <is>
          <t>Cấp vé: POST /notifications/stream-ticket trả 201 với ticket + expiresInSec=30</t>
        </is>
      </c>
      <c r="E70" s="15" t="inlineStr">
        <is>
          <t>Chức năng</t>
        </is>
      </c>
      <c r="F70" s="16" t="inlineStr">
        <is>
          <t>Cao</t>
        </is>
      </c>
      <c r="G70" s="17" t="inlineStr">
        <is>
          <t>Đã hoàn thiện</t>
        </is>
      </c>
      <c r="H70" s="17" t="inlineStr">
        <is>
          <t>Có</t>
        </is>
      </c>
      <c r="I70" s="15" t="inlineStr">
        <is>
          <t>Vừa chạy db:seed, chưa thao tác gì (kịch bản seed member1: 7 thông báo, 4 chưa đọc: seed-notif-member1-1..4; 3 đã đọc: -5..-7). Đăng nhập member1@sofinhub.test / Passw0rd!x</t>
        </is>
      </c>
      <c r="J70" s="15" t="inlineStr">
        <is>
          <t>1. POST /api/notifications/stream-ticket (Bearer)</t>
        </is>
      </c>
      <c r="K70" s="15" t="inlineStr">
        <is>
          <t>-</t>
        </is>
      </c>
      <c r="L70" s="15" t="inlineStr">
        <is>
          <t>201 {data:{ticket:&lt;chuỗi base64url&gt;, expiresInSec:30}}.</t>
        </is>
      </c>
      <c r="M70" s="15" t="inlineStr"/>
      <c r="N70" s="18" t="inlineStr">
        <is>
          <t>Chưa test</t>
        </is>
      </c>
      <c r="O70" s="15" t="inlineStr"/>
      <c r="P70" s="15" t="inlineStr"/>
      <c r="Q70" s="18" t="inlineStr">
        <is>
          <t>Chưa test</t>
        </is>
      </c>
      <c r="R70" s="15" t="inlineStr"/>
    </row>
    <row r="71" ht="30" customHeight="1">
      <c r="A71" s="14" t="inlineStr">
        <is>
          <t>TC-NOTI-070</t>
        </is>
      </c>
      <c r="B71" s="15" t="inlineStr">
        <is>
          <t>Thông báo &amp; Nhắn tin</t>
        </is>
      </c>
      <c r="C71" s="15" t="inlineStr">
        <is>
          <t>Realtime SSE thông báo</t>
        </is>
      </c>
      <c r="D71" s="15" t="inlineStr">
        <is>
          <t>Kết nối SSE bằng ?ticket=: header text/event-stream và khung khởi đầu</t>
        </is>
      </c>
      <c r="E71" s="15" t="inlineStr">
        <is>
          <t>Tích hợp</t>
        </is>
      </c>
      <c r="F71" s="16" t="inlineStr">
        <is>
          <t>Cao</t>
        </is>
      </c>
      <c r="G71" s="17" t="inlineStr">
        <is>
          <t>Đã hoàn thiện</t>
        </is>
      </c>
      <c r="H71" s="17" t="inlineStr">
        <is>
          <t>Có</t>
        </is>
      </c>
      <c r="I71" s="15" t="inlineStr">
        <is>
          <t>Vừa chạy db:seed, chưa thao tác gì (kịch bản seed member1: 7 thông báo, 4 chưa đọc: seed-notif-member1-1..4; 3 đã đọc: -5..-7). Đăng nhập member1@sofinhub.test / Passw0rd!x</t>
        </is>
      </c>
      <c r="J71" s="15" t="inlineStr">
        <is>
          <t>1. Xin vé
2. GET /api/notifications/stream?ticket=&lt;vé&gt; (fetch stream/curl -N)</t>
        </is>
      </c>
      <c r="K71" s="15" t="inlineStr">
        <is>
          <t>vé hợp lệ</t>
        </is>
      </c>
      <c r="L71" s="15" t="inlineStr">
        <is>
          <t>200; Content-Type text/event-stream; charset=utf-8; Cache-Control no-cache, no-transform; X-Accel-Buffering no; nội dung đầu "retry: 5000" và ": connected".</t>
        </is>
      </c>
      <c r="M71" s="15" t="inlineStr"/>
      <c r="N71" s="18" t="inlineStr">
        <is>
          <t>Chưa test</t>
        </is>
      </c>
      <c r="O71" s="15" t="inlineStr"/>
      <c r="P71" s="15" t="inlineStr"/>
      <c r="Q71" s="18" t="inlineStr">
        <is>
          <t>Chưa test</t>
        </is>
      </c>
      <c r="R71" s="15" t="inlineStr"/>
    </row>
    <row r="72" ht="45" customHeight="1">
      <c r="A72" s="14" t="inlineStr">
        <is>
          <t>TC-NOTI-071</t>
        </is>
      </c>
      <c r="B72" s="15" t="inlineStr">
        <is>
          <t>Thông báo &amp; Nhắn tin</t>
        </is>
      </c>
      <c r="C72" s="15" t="inlineStr">
        <is>
          <t>Realtime SSE thông báo</t>
        </is>
      </c>
      <c r="D72" s="15" t="inlineStr">
        <is>
          <t>Vé chỉ dùng 1 lần: kết nối lần 2 với cùng vé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Xin vé
2. Mở stream với vé (thành công)
3. Mở stream lần 2 với cùng vé</t>
        </is>
      </c>
      <c r="K72" s="15" t="inlineStr">
        <is>
          <t>vé đã dùng</t>
        </is>
      </c>
      <c r="L72" s="15" t="inlineStr">
        <is>
          <t>Lần 2: 401 UNAUTHORIZED, message "Vui lòng đăng nhập để tiếp tục"; kết nối đầu vẫn sống.</t>
        </is>
      </c>
      <c r="M72" s="15" t="inlineStr"/>
      <c r="N72" s="18" t="inlineStr">
        <is>
          <t>Chưa test</t>
        </is>
      </c>
      <c r="O72" s="15" t="inlineStr"/>
      <c r="P72" s="15" t="inlineStr"/>
      <c r="Q72" s="18" t="inlineStr">
        <is>
          <t>Chưa test</t>
        </is>
      </c>
      <c r="R72" s="15" t="inlineStr"/>
    </row>
    <row r="73" ht="45" customHeight="1">
      <c r="A73" s="14" t="inlineStr">
        <is>
          <t>TC-NOTI-072</t>
        </is>
      </c>
      <c r="B73" s="15" t="inlineStr">
        <is>
          <t>Thông báo &amp; Nhắn tin</t>
        </is>
      </c>
      <c r="C73" s="15" t="inlineStr">
        <is>
          <t>Realtime SSE thông báo</t>
        </is>
      </c>
      <c r="D73" s="15" t="inlineStr">
        <is>
          <t>Vé hết hạn sau 30 giây -&gt; 401</t>
        </is>
      </c>
      <c r="E73" s="15" t="inlineStr">
        <is>
          <t>Bảo mật</t>
        </is>
      </c>
      <c r="F73" s="16" t="inlineStr">
        <is>
          <t>Cao</t>
        </is>
      </c>
      <c r="G73" s="17" t="inlineStr">
        <is>
          <t>Đã hoàn thiện</t>
        </is>
      </c>
      <c r="H73" s="17" t="inlineStr">
        <is>
          <t>Có</t>
        </is>
      </c>
      <c r="I73" s="15" t="inlineStr">
        <is>
          <t>Vừa chạy db:seed, chưa thao tác gì (kịch bản seed member1: 7 thông báo, 4 chưa đọc: seed-notif-member1-1..4; 3 đã đọc: -5..-7). Đăng nhập member1@sofinhub.test / Passw0rd!x</t>
        </is>
      </c>
      <c r="J73" s="15" t="inlineStr">
        <is>
          <t>1. Xin vé
2. Chờ 31 giây
3. Mở stream với vé</t>
        </is>
      </c>
      <c r="K73" s="15" t="inlineStr">
        <is>
          <t>vé quá 30s</t>
        </is>
      </c>
      <c r="L73" s="15" t="inlineStr">
        <is>
          <t>401 UNAUTHORIZED, message "Vui lòng đăng nhập để tiếp tục".</t>
        </is>
      </c>
      <c r="M73" s="15" t="inlineStr"/>
      <c r="N73" s="18" t="inlineStr">
        <is>
          <t>Chưa test</t>
        </is>
      </c>
      <c r="O73" s="15" t="inlineStr"/>
      <c r="P73" s="15" t="inlineStr"/>
      <c r="Q73" s="18" t="inlineStr">
        <is>
          <t>Chưa test</t>
        </is>
      </c>
      <c r="R73" s="15" t="inlineStr"/>
    </row>
    <row r="74" ht="45" customHeight="1">
      <c r="A74" s="14" t="inlineStr">
        <is>
          <t>TC-NOTI-073</t>
        </is>
      </c>
      <c r="B74" s="15" t="inlineStr">
        <is>
          <t>Thông báo &amp; Nhắn tin</t>
        </is>
      </c>
      <c r="C74" s="15" t="inlineStr">
        <is>
          <t>Realtime SSE thông báo</t>
        </is>
      </c>
      <c r="D74" s="15" t="inlineStr">
        <is>
          <t>Vé giả/chuỗi lạ hoặc thiếu vé -&gt; 401</t>
        </is>
      </c>
      <c r="E74" s="15" t="inlineStr">
        <is>
          <t>Bảo mật</t>
        </is>
      </c>
      <c r="F74" s="20" t="inlineStr">
        <is>
          <t>Trung bình</t>
        </is>
      </c>
      <c r="G74" s="17" t="inlineStr">
        <is>
          <t>Đã hoàn thiện</t>
        </is>
      </c>
      <c r="H74" s="17" t="inlineStr">
        <is>
          <t>Có</t>
        </is>
      </c>
      <c r="I74" s="15" t="inlineStr">
        <is>
          <t>Không cần đăng nhập</t>
        </is>
      </c>
      <c r="J74" s="15" t="inlineStr">
        <is>
          <t>1. GET /api/notifications/stream?ticket=abc123
2. GET /api/notifications/stream (không tham số)
3. GET ...?ticket= (rỗng)</t>
        </is>
      </c>
      <c r="K74" s="15" t="inlineStr">
        <is>
          <t>3 request</t>
        </is>
      </c>
      <c r="L74" s="15" t="inlineStr">
        <is>
          <t>Request 1 và 2: 401 UNAUTHORIZED, message "Vui lòng đăng nhập để tiếp tục"; request 3: 400 VALIDATION_ERROR, message "Tham số không hợp lệ" (ticket rỗng vi phạm min(1)).</t>
        </is>
      </c>
      <c r="M74" s="15" t="inlineStr"/>
      <c r="N74" s="18" t="inlineStr">
        <is>
          <t>Chưa test</t>
        </is>
      </c>
      <c r="O74" s="15" t="inlineStr"/>
      <c r="P74" s="15" t="inlineStr"/>
      <c r="Q74" s="18" t="inlineStr">
        <is>
          <t>Chưa test</t>
        </is>
      </c>
      <c r="R74" s="15" t="inlineStr"/>
    </row>
    <row r="75" ht="30" customHeight="1">
      <c r="A75" s="14" t="inlineStr">
        <is>
          <t>TC-NOTI-074</t>
        </is>
      </c>
      <c r="B75" s="15" t="inlineStr">
        <is>
          <t>Thông báo &amp; Nhắn tin</t>
        </is>
      </c>
      <c r="C75" s="15" t="inlineStr">
        <is>
          <t>Realtime SSE thông báo</t>
        </is>
      </c>
      <c r="D75" s="15" t="inlineStr">
        <is>
          <t>Fallback ?access_token= hợp lệ mở được stream; token sai -&gt; 401</t>
        </is>
      </c>
      <c r="E75" s="15" t="inlineStr">
        <is>
          <t>Bảo mật</t>
        </is>
      </c>
      <c r="F75" s="20" t="inlineStr">
        <is>
          <t>Trung bình</t>
        </is>
      </c>
      <c r="G75" s="17" t="inlineStr">
        <is>
          <t>Đã hoàn thiện</t>
        </is>
      </c>
      <c r="H75" s="17" t="inlineStr">
        <is>
          <t>Có</t>
        </is>
      </c>
      <c r="I75" s="15" t="inlineStr">
        <is>
          <t>Vừa chạy db:seed, chưa thao tác gì (kịch bản seed member1: 7 thông báo, 4 chưa đọc: seed-notif-member1-1..4; 3 đã đọc: -5..-7). Đăng nhập member1@sofinhub.test / Passw0rd!x</t>
        </is>
      </c>
      <c r="J75" s="15" t="inlineStr">
        <is>
          <t>1. GET /api/notifications/stream?access_token=&lt;accessToken member1&gt;
2. GET ...?access_token=xyz</t>
        </is>
      </c>
      <c r="K75" s="15" t="inlineStr">
        <is>
          <t>access_token</t>
        </is>
      </c>
      <c r="L75" s="15" t="inlineStr">
        <is>
          <t>Token đúng: 200 text/event-stream; token sai: 401 UNAUTHORIZED, message "Vui lòng đăng nhập để tiếp tục". (Ghi chú bảo mật: token nằm trong URL, chưa chốt bỏ.)</t>
        </is>
      </c>
      <c r="M75" s="15" t="inlineStr"/>
      <c r="N75" s="18" t="inlineStr">
        <is>
          <t>Chưa test</t>
        </is>
      </c>
      <c r="O75" s="15" t="inlineStr"/>
      <c r="P75" s="15" t="inlineStr"/>
      <c r="Q75" s="18" t="inlineStr">
        <is>
          <t>Chưa test</t>
        </is>
      </c>
      <c r="R75" s="15" t="inlineStr"/>
    </row>
    <row r="76" ht="30" customHeight="1">
      <c r="A76" s="14" t="inlineStr">
        <is>
          <t>TC-NOTI-075</t>
        </is>
      </c>
      <c r="B76" s="15" t="inlineStr">
        <is>
          <t>Thông báo &amp; Nhắn tin</t>
        </is>
      </c>
      <c r="C76" s="15" t="inlineStr">
        <is>
          <t>Realtime SSE thông báo</t>
        </is>
      </c>
      <c r="D76" s="15" t="inlineStr">
        <is>
          <t>Kết nối bằng Bearer header (fetch stream) hoạt động</t>
        </is>
      </c>
      <c r="E76" s="15" t="inlineStr">
        <is>
          <t>Tích hợp</t>
        </is>
      </c>
      <c r="F76" s="17" t="inlineStr">
        <is>
          <t>Thấp</t>
        </is>
      </c>
      <c r="G76" s="17" t="inlineStr">
        <is>
          <t>Đã hoàn thiện</t>
        </is>
      </c>
      <c r="H76" s="17" t="inlineStr">
        <is>
          <t>Có</t>
        </is>
      </c>
      <c r="I76" s="15" t="inlineStr">
        <is>
          <t>Vừa chạy db:seed, chưa thao tác gì (kịch bản seed member1: 7 thông báo, 4 chưa đọc: seed-notif-member1-1..4; 3 đã đọc: -5..-7). Đăng nhập member1@sofinhub.test / Passw0rd!x</t>
        </is>
      </c>
      <c r="J76" s="15" t="inlineStr">
        <is>
          <t>1. fetch('/api/notifications/stream', {headers:{Authorization:'Bearer &lt;token&gt;'}})</t>
        </is>
      </c>
      <c r="K76" s="15" t="inlineStr">
        <is>
          <t>Bearer</t>
        </is>
      </c>
      <c r="L76" s="15" t="inlineStr">
        <is>
          <t>200 text/event-stream.</t>
        </is>
      </c>
      <c r="M76" s="15" t="inlineStr"/>
      <c r="N76" s="18" t="inlineStr">
        <is>
          <t>Chưa test</t>
        </is>
      </c>
      <c r="O76" s="15" t="inlineStr"/>
      <c r="P76" s="15" t="inlineStr"/>
      <c r="Q76" s="18" t="inlineStr">
        <is>
          <t>Chưa test</t>
        </is>
      </c>
      <c r="R76" s="15" t="inlineStr"/>
    </row>
    <row r="77" ht="45" customHeight="1">
      <c r="A77" s="14" t="inlineStr">
        <is>
          <t>TC-NOTI-076</t>
        </is>
      </c>
      <c r="B77" s="15" t="inlineStr">
        <is>
          <t>Thông báo &amp; Nhắn tin</t>
        </is>
      </c>
      <c r="C77" s="15" t="inlineStr">
        <is>
          <t>Realtime SSE thông báo</t>
        </is>
      </c>
      <c r="D77" s="15" t="inlineStr">
        <is>
          <t>Nhận thông báo mới theo thời gian thực, không cần tải lại trang</t>
        </is>
      </c>
      <c r="E77" s="15" t="inlineStr">
        <is>
          <t>Tích hợp</t>
        </is>
      </c>
      <c r="F77" s="16" t="inlineStr">
        <is>
          <t>Cao</t>
        </is>
      </c>
      <c r="G77" s="17" t="inlineStr">
        <is>
          <t>Đã hoàn thiện</t>
        </is>
      </c>
      <c r="H77" s="20" t="inlineStr">
        <is>
          <t>Một phần</t>
        </is>
      </c>
      <c r="I77" s="15" t="inlineStr">
        <is>
          <t>Vừa chạy db:seed, chưa thao tác gì (kịch bản seed member1: 7 thông báo, 4 chưa đọc: seed-notif-member1-1..4; 3 đã đọc: -5..-7). Đăng nhập member1@sofinhub.test / Passw0rd!x; member2 đăng nhập ở trình duyệt/cửa sổ ẩn danh khác</t>
        </is>
      </c>
      <c r="J77" s="15" t="inlineStr">
        <is>
          <t>1. member1 mở /courses/photo/community, để nguyên trang (badge 4)
2. member2 thích một bài viết của member1
3. Quan sát cửa sổ member1 trong 5 giây, KHÔNG F5</t>
        </is>
      </c>
      <c r="K77" s="15" t="inlineStr">
        <is>
          <t>post_liked mặc định bật</t>
        </is>
      </c>
      <c r="L77" s="15" t="inlineStr">
        <is>
          <t>Đúng 1 sự kiện SSE "event: notification" có data JSON type=post_liked, userId=member1; badge 4 -&gt; 5; toast nhỏ góc phải dưới; bấm toast mở link và đánh dấu đã đọc.</t>
        </is>
      </c>
      <c r="M77" s="15" t="inlineStr"/>
      <c r="N77" s="18" t="inlineStr">
        <is>
          <t>Chưa test</t>
        </is>
      </c>
      <c r="O77" s="15" t="inlineStr"/>
      <c r="P77" s="15" t="inlineStr"/>
      <c r="Q77" s="18" t="inlineStr">
        <is>
          <t>Chưa test</t>
        </is>
      </c>
      <c r="R77" s="15" t="inlineStr"/>
    </row>
    <row r="78" ht="30" customHeight="1">
      <c r="A78" s="14" t="inlineStr">
        <is>
          <t>TC-NOTI-077</t>
        </is>
      </c>
      <c r="B78" s="15" t="inlineStr">
        <is>
          <t>Thông báo &amp; Nhắn tin</t>
        </is>
      </c>
      <c r="C78" s="15" t="inlineStr">
        <is>
          <t>Realtime SSE thông báo</t>
        </is>
      </c>
      <c r="D78" s="15" t="inlineStr">
        <is>
          <t>Không nhận thông báo của người khác trên stream của mình</t>
        </is>
      </c>
      <c r="E78" s="15" t="inlineStr">
        <is>
          <t>Bảo mật</t>
        </is>
      </c>
      <c r="F78" s="16" t="inlineStr">
        <is>
          <t>Cao</t>
        </is>
      </c>
      <c r="G78" s="17" t="inlineStr">
        <is>
          <t>Đã hoàn thiện</t>
        </is>
      </c>
      <c r="H78" s="20" t="inlineStr">
        <is>
          <t>Một phần</t>
        </is>
      </c>
      <c r="I78" s="15" t="inlineStr">
        <is>
          <t>member1 và member3 đều đang mở stream (2 vé riêng); member2 đăng nhập</t>
        </is>
      </c>
      <c r="J78" s="15" t="inlineStr">
        <is>
          <t>1. member2 bình luận bài của member3
2. Quan sát cả hai stream</t>
        </is>
      </c>
      <c r="K78" s="15" t="inlineStr">
        <is>
          <t>thông báo dành cho member3</t>
        </is>
      </c>
      <c r="L78" s="15" t="inlineStr">
        <is>
          <t>Chỉ stream của member3 nhận event notification; stream của member1 không nhận gì (chỉ heartbeat).</t>
        </is>
      </c>
      <c r="M78" s="15" t="inlineStr"/>
      <c r="N78" s="18" t="inlineStr">
        <is>
          <t>Chưa test</t>
        </is>
      </c>
      <c r="O78" s="15" t="inlineStr"/>
      <c r="P78" s="15" t="inlineStr"/>
      <c r="Q78" s="18" t="inlineStr">
        <is>
          <t>Chưa test</t>
        </is>
      </c>
      <c r="R78" s="15" t="inlineStr"/>
    </row>
    <row r="79" ht="30" customHeight="1">
      <c r="A79" s="14" t="inlineStr">
        <is>
          <t>TC-NOTI-078</t>
        </is>
      </c>
      <c r="B79" s="15" t="inlineStr">
        <is>
          <t>Thông báo &amp; Nhắn tin</t>
        </is>
      </c>
      <c r="C79" s="15" t="inlineStr">
        <is>
          <t>Realtime SSE thông báo</t>
        </is>
      </c>
      <c r="D79" s="15" t="inlineStr">
        <is>
          <t>Vé của A không mở được luồng của B (vé gắn với người xin)</t>
        </is>
      </c>
      <c r="E79" s="15" t="inlineStr">
        <is>
          <t>Bảo mật</t>
        </is>
      </c>
      <c r="F79" s="16" t="inlineStr">
        <is>
          <t>Cao</t>
        </is>
      </c>
      <c r="G79" s="17" t="inlineStr">
        <is>
          <t>Đã hoàn thiện</t>
        </is>
      </c>
      <c r="H79" s="20" t="inlineStr">
        <is>
          <t>Một phần</t>
        </is>
      </c>
      <c r="I79" s="15" t="inlineStr">
        <is>
          <t>member1 và member2</t>
        </is>
      </c>
      <c r="J79" s="15" t="inlineStr">
        <is>
          <t>1. member1 xin vé, member2 dùng vé đó mở stream
2. member1 thích/bị thích để tạo thông báo cho member1</t>
        </is>
      </c>
      <c r="K79" s="15" t="inlineStr">
        <is>
          <t>vé của member1</t>
        </is>
      </c>
      <c r="L79" s="15" t="inlineStr">
        <is>
          <t>Stream mở bằng vé của member1 chỉ nhận thông báo của member1 (userId gắn trong vé); không có cách chọn userId khác.</t>
        </is>
      </c>
      <c r="M79" s="15" t="inlineStr"/>
      <c r="N79" s="18" t="inlineStr">
        <is>
          <t>Chưa test</t>
        </is>
      </c>
      <c r="O79" s="15" t="inlineStr"/>
      <c r="P79" s="15" t="inlineStr"/>
      <c r="Q79" s="18" t="inlineStr">
        <is>
          <t>Chưa test</t>
        </is>
      </c>
      <c r="R79" s="15" t="inlineStr"/>
    </row>
    <row r="80" ht="30" customHeight="1">
      <c r="A80" s="14" t="inlineStr">
        <is>
          <t>TC-NOTI-079</t>
        </is>
      </c>
      <c r="B80" s="15" t="inlineStr">
        <is>
          <t>Thông báo &amp; Nhắn tin</t>
        </is>
      </c>
      <c r="C80" s="15" t="inlineStr">
        <is>
          <t>Realtime SSE thông báo</t>
        </is>
      </c>
      <c r="D80" s="15" t="inlineStr">
        <is>
          <t>Heartbeat ": heartbeat" mỗi 25 giây giữ kết nối</t>
        </is>
      </c>
      <c r="E80" s="15" t="inlineStr">
        <is>
          <t>Tích hợp</t>
        </is>
      </c>
      <c r="F80" s="17" t="inlineStr">
        <is>
          <t>Thấp</t>
        </is>
      </c>
      <c r="G80" s="17" t="inlineStr">
        <is>
          <t>Đã hoàn thiện</t>
        </is>
      </c>
      <c r="H80" s="17" t="inlineStr">
        <is>
          <t>Có</t>
        </is>
      </c>
      <c r="I80" s="15" t="inlineStr">
        <is>
          <t>Vừa chạy db:seed, chưa thao tác gì (kịch bản seed member1: 7 thông báo, 4 chưa đọc: seed-notif-member1-1..4; 3 đã đọc: -5..-7). Đăng nhập member1@sofinhub.test / Passw0rd!x</t>
        </is>
      </c>
      <c r="J80" s="15" t="inlineStr">
        <is>
          <t>1. Mở stream
2. Đọc dữ liệu trong 60 giây</t>
        </is>
      </c>
      <c r="K80" s="15" t="inlineStr">
        <is>
          <t>-</t>
        </is>
      </c>
      <c r="L80" s="15" t="inlineStr">
        <is>
          <t>Có ít nhất 2 dòng ": heartbeat" cách nhau ~25s; kết nối không bị đóng.</t>
        </is>
      </c>
      <c r="M80" s="15" t="inlineStr"/>
      <c r="N80" s="18" t="inlineStr">
        <is>
          <t>Chưa test</t>
        </is>
      </c>
      <c r="O80" s="15" t="inlineStr"/>
      <c r="P80" s="15" t="inlineStr"/>
      <c r="Q80" s="18" t="inlineStr">
        <is>
          <t>Chưa test</t>
        </is>
      </c>
      <c r="R80" s="15" t="inlineStr"/>
    </row>
    <row r="81" ht="45" customHeight="1">
      <c r="A81" s="14" t="inlineStr">
        <is>
          <t>TC-NOTI-080</t>
        </is>
      </c>
      <c r="B81" s="15" t="inlineStr">
        <is>
          <t>Thông báo &amp; Nhắn tin</t>
        </is>
      </c>
      <c r="C81" s="15" t="inlineStr">
        <is>
          <t>Realtime SSE thông báo</t>
        </is>
      </c>
      <c r="D81" s="15" t="inlineStr">
        <is>
          <t>Nhiều tab: cả hai tab cùng nhận thông báo</t>
        </is>
      </c>
      <c r="E81" s="15" t="inlineStr">
        <is>
          <t>Tích hợp</t>
        </is>
      </c>
      <c r="F81" s="16" t="inlineStr">
        <is>
          <t>Cao</t>
        </is>
      </c>
      <c r="G81" s="17" t="inlineStr">
        <is>
          <t>Đã hoàn thiện</t>
        </is>
      </c>
      <c r="H81" s="20" t="inlineStr">
        <is>
          <t>Một phần</t>
        </is>
      </c>
      <c r="I81" s="15" t="inlineStr">
        <is>
          <t>Vừa chạy db:seed, chưa thao tác gì (kịch bản seed member1: 7 thông báo, 4 chưa đọc: seed-notif-member1-1..4; 3 đã đọc: -5..-7). Đăng nhập member1@sofinhub.test / Passw0rd!x; member2 đăng nhập cửa sổ khác</t>
        </is>
      </c>
      <c r="J81" s="15" t="inlineStr">
        <is>
          <t>1. member1 mở 2 tab /courses/photo/community
2. member2 thích một bài của member1
3. Quan sát cả 2 tab</t>
        </is>
      </c>
      <c r="K81" s="15" t="inlineStr">
        <is>
          <t>2 kết nối SSE</t>
        </is>
      </c>
      <c r="L81" s="15" t="inlineStr">
        <is>
          <t>Cả 2 tab đều tăng badge 4 -&gt; 5 và nhận toast; đóng 1 tab thì tab còn lại vẫn nhận thông báo tiếp.</t>
        </is>
      </c>
      <c r="M81" s="15" t="inlineStr"/>
      <c r="N81" s="18" t="inlineStr">
        <is>
          <t>Chưa test</t>
        </is>
      </c>
      <c r="O81" s="15" t="inlineStr"/>
      <c r="P81" s="15" t="inlineStr"/>
      <c r="Q81" s="18" t="inlineStr">
        <is>
          <t>Chưa test</t>
        </is>
      </c>
      <c r="R81" s="15" t="inlineStr"/>
    </row>
    <row r="82" ht="60" customHeight="1">
      <c r="A82" s="14" t="inlineStr">
        <is>
          <t>TC-NOTI-081</t>
        </is>
      </c>
      <c r="B82" s="15" t="inlineStr">
        <is>
          <t>Thông báo &amp; Nhắn tin</t>
        </is>
      </c>
      <c r="C82" s="15" t="inlineStr">
        <is>
          <t>Realtime SSE thông báo</t>
        </is>
      </c>
      <c r="D82" s="15" t="inlineStr">
        <is>
          <t>Đăng xuất đóng SSE ở FE, không còn request stream</t>
        </is>
      </c>
      <c r="E82" s="15" t="inlineStr">
        <is>
          <t>Bảo mật</t>
        </is>
      </c>
      <c r="F82" s="16" t="inlineStr">
        <is>
          <t>Cao</t>
        </is>
      </c>
      <c r="G82" s="17" t="inlineStr">
        <is>
          <t>Đã hoàn thiện</t>
        </is>
      </c>
      <c r="H82" s="20" t="inlineStr">
        <is>
          <t>Một phần</t>
        </is>
      </c>
      <c r="I82" s="15" t="inlineStr">
        <is>
          <t>Vừa chạy db:seed, chưa thao tác gì (kịch bản seed member1: 7 thông báo, 4 chưa đọc: seed-notif-member1-1..4; 3 đã đọc: -5..-7). Đăng nhập member1@sofinhub.test / Passw0rd!x</t>
        </is>
      </c>
      <c r="J82" s="15" t="inlineStr">
        <is>
          <t>1. Đăng nhập member1, mở DevTools Network
2. Xác nhận có request /notifications/stream
3. Đăng xuất từ menu avatar
4. Quan sát Network 30 giây</t>
        </is>
      </c>
      <c r="K82" s="15" t="inlineStr">
        <is>
          <t>-</t>
        </is>
      </c>
      <c r="L82" s="15" t="inlineStr">
        <is>
          <t>Sau đăng xuất kết nối stream đóng và không tự nối lại (không request stream mới); localStorage không còn token.</t>
        </is>
      </c>
      <c r="M82" s="15" t="inlineStr"/>
      <c r="N82" s="18" t="inlineStr">
        <is>
          <t>Chưa test</t>
        </is>
      </c>
      <c r="O82" s="15" t="inlineStr"/>
      <c r="P82" s="15" t="inlineStr"/>
      <c r="Q82" s="18" t="inlineStr">
        <is>
          <t>Chưa test</t>
        </is>
      </c>
      <c r="R82" s="15" t="inlineStr"/>
    </row>
    <row r="83" ht="45" customHeight="1">
      <c r="A83" s="14" t="inlineStr">
        <is>
          <t>TC-NOTI-082</t>
        </is>
      </c>
      <c r="B83" s="15" t="inlineStr">
        <is>
          <t>Thông báo &amp; Nhắn tin</t>
        </is>
      </c>
      <c r="C83" s="15" t="inlineStr">
        <is>
          <t>Realtime SSE thông báo</t>
        </is>
      </c>
      <c r="D83" s="15" t="inlineStr">
        <is>
          <t>Token bị thu hồi (đăng xuất/đổi mật khẩu): dùng token cũ mở stream mới -&gt; 401</t>
        </is>
      </c>
      <c r="E83" s="15" t="inlineStr">
        <is>
          <t>Bảo mật</t>
        </is>
      </c>
      <c r="F83" s="16" t="inlineStr">
        <is>
          <t>Cao</t>
        </is>
      </c>
      <c r="G83" s="17" t="inlineStr">
        <is>
          <t>Đã hoàn thiện</t>
        </is>
      </c>
      <c r="H83" s="17" t="inlineStr">
        <is>
          <t>Có</t>
        </is>
      </c>
      <c r="I83" s="15" t="inlineStr">
        <is>
          <t>Vừa chạy db:seed, chưa thao tác gì (kịch bản seed member1: 7 thông báo, 4 chưa đọc: seed-notif-member1-1..4; 3 đã đọc: -5..-7). Đăng nhập member1@sofinhub.test / Passw0rd!x</t>
        </is>
      </c>
      <c r="J83" s="15" t="inlineStr">
        <is>
          <t>1. Lưu accessToken cũ của member1
2. POST /api/auth/logout
3. GET /api/notifications/stream?access_token=&lt;token cũ&gt;</t>
        </is>
      </c>
      <c r="K83" s="15" t="inlineStr">
        <is>
          <t>token đã thu hồi</t>
        </is>
      </c>
      <c r="L83" s="15" t="inlineStr">
        <is>
          <t>401 UNAUTHORIZED, message "Vui lòng đăng nhập để tiếp tục". Ghi chú: server KHÔNG chủ động ngắt luồng SSE đang mở khi token bị thu hồi (listener chỉ gỡ khi client ngắt); FE phải tự đóng (chưa chốt).</t>
        </is>
      </c>
      <c r="M83" s="15" t="inlineStr"/>
      <c r="N83" s="18" t="inlineStr">
        <is>
          <t>Chưa test</t>
        </is>
      </c>
      <c r="O83" s="15" t="inlineStr"/>
      <c r="P83" s="15" t="inlineStr"/>
      <c r="Q83" s="18" t="inlineStr">
        <is>
          <t>Chưa test</t>
        </is>
      </c>
      <c r="R83" s="15" t="inlineStr"/>
    </row>
    <row r="84" ht="45" customHeight="1">
      <c r="A84" s="14" t="inlineStr">
        <is>
          <t>TC-NOTI-083</t>
        </is>
      </c>
      <c r="B84" s="15" t="inlineStr">
        <is>
          <t>Thông báo &amp; Nhắn tin</t>
        </is>
      </c>
      <c r="C84" s="15" t="inlineStr">
        <is>
          <t>Realtime SSE thông báo</t>
        </is>
      </c>
      <c r="D84" s="15" t="inlineStr">
        <is>
          <t>Không có replay: thông báo phát sinh lúc mất kết nối phải bù bằng GET</t>
        </is>
      </c>
      <c r="E84" s="15" t="inlineStr">
        <is>
          <t>Tích hợp</t>
        </is>
      </c>
      <c r="F84" s="20" t="inlineStr">
        <is>
          <t>Trung bình</t>
        </is>
      </c>
      <c r="G84" s="17" t="inlineStr">
        <is>
          <t>Đã hoàn thiện</t>
        </is>
      </c>
      <c r="H84" s="20" t="inlineStr">
        <is>
          <t>Một phần</t>
        </is>
      </c>
      <c r="I84" s="15" t="inlineStr">
        <is>
          <t>Vừa chạy db:seed, chưa thao tác gì (kịch bản seed member1: 7 thông báo, 4 chưa đọc: seed-notif-member1-1..4; 3 đã đọc: -5..-7). Đăng nhập member1@sofinhub.test / Passw0rd!x; member2 đăng nhập</t>
        </is>
      </c>
      <c r="J84" s="15" t="inlineStr">
        <is>
          <t>1. member1 mở stream rồi ngắt (tắt mạng/đóng tab)
2. member2 thích bài của member1 trong lúc đó
3. member1 kết nối lại bằng vé mới</t>
        </is>
      </c>
      <c r="K84" s="15" t="inlineStr">
        <is>
          <t>-</t>
        </is>
      </c>
      <c r="L84" s="15" t="inlineStr">
        <is>
          <t>Stream mới KHÔNG phát lại sự kiện đã bỏ lỡ; GET /api/notifications và unread-count có thông báo mới (FE tải lại danh sách sau khi nối lại).</t>
        </is>
      </c>
      <c r="M84" s="15" t="inlineStr"/>
      <c r="N84" s="18" t="inlineStr">
        <is>
          <t>Chưa test</t>
        </is>
      </c>
      <c r="O84" s="15" t="inlineStr"/>
      <c r="P84" s="15" t="inlineStr"/>
      <c r="Q84" s="18" t="inlineStr">
        <is>
          <t>Chưa test</t>
        </is>
      </c>
      <c r="R84" s="15" t="inlineStr"/>
    </row>
    <row r="85" ht="45" customHeight="1">
      <c r="A85" s="14" t="inlineStr">
        <is>
          <t>TC-NOTI-084</t>
        </is>
      </c>
      <c r="B85" s="15" t="inlineStr">
        <is>
          <t>Thông báo &amp; Nhắn tin</t>
        </is>
      </c>
      <c r="C85" s="15" t="inlineStr">
        <is>
          <t>Realtime SSE thông báo</t>
        </is>
      </c>
      <c r="D85" s="15" t="inlineStr">
        <is>
          <t>Tự nối lại sau khi backend khởi động lại (backoff 1s, 2s, 4s... tối đa 30s)</t>
        </is>
      </c>
      <c r="E85" s="15" t="inlineStr">
        <is>
          <t>Tích hợp</t>
        </is>
      </c>
      <c r="F85" s="20" t="inlineStr">
        <is>
          <t>Trung bình</t>
        </is>
      </c>
      <c r="G85" s="17" t="inlineStr">
        <is>
          <t>Đã hoàn thiện</t>
        </is>
      </c>
      <c r="H85" s="16" t="inlineStr">
        <is>
          <t>Không</t>
        </is>
      </c>
      <c r="I85" s="15" t="inlineStr">
        <is>
          <t>Vừa chạy db:seed, chưa thao tác gì (kịch bản seed member1: 7 thông báo, 4 chưa đọc: seed-notif-member1-1..4; 3 đã đọc: -5..-7). Đăng nhập member1@sofinhub.test / Passw0rd!x</t>
        </is>
      </c>
      <c r="J85" s="15" t="inlineStr">
        <is>
          <t>1. Mở app member1
2. Tắt backend ~10 giây rồi bật lại
3. Quan sát Network</t>
        </is>
      </c>
      <c r="K85" s="15" t="inlineStr">
        <is>
          <t>-</t>
        </is>
      </c>
      <c r="L85" s="15" t="inlineStr">
        <is>
          <t>FE thử lại theo backoff tăng dần đến 30s; sau khi nối lại danh sách/badge được tải lại; thông báo mới nhận được bình thường.</t>
        </is>
      </c>
      <c r="M85" s="15" t="inlineStr"/>
      <c r="N85" s="18" t="inlineStr">
        <is>
          <t>Chưa test</t>
        </is>
      </c>
      <c r="O85" s="15" t="inlineStr"/>
      <c r="P85" s="15" t="inlineStr"/>
      <c r="Q85" s="18" t="inlineStr">
        <is>
          <t>Chưa test</t>
        </is>
      </c>
      <c r="R85" s="15" t="inlineStr"/>
    </row>
    <row r="86" ht="45" customHeight="1">
      <c r="A86" s="14" t="inlineStr">
        <is>
          <t>TC-NOTI-085</t>
        </is>
      </c>
      <c r="B86" s="15" t="inlineStr">
        <is>
          <t>Thông báo &amp; Nhắn tin</t>
        </is>
      </c>
      <c r="C86" s="15" t="inlineStr">
        <is>
          <t>Realtime SSE thông báo</t>
        </is>
      </c>
      <c r="D86" s="15" t="inlineStr">
        <is>
          <t>Client ngắt: server dừng heartbeat và gỡ listener (không rò rỉ)</t>
        </is>
      </c>
      <c r="E86" s="15" t="inlineStr">
        <is>
          <t>Hiệu năng</t>
        </is>
      </c>
      <c r="F86" s="17" t="inlineStr">
        <is>
          <t>Thấp</t>
        </is>
      </c>
      <c r="G86" s="17" t="inlineStr">
        <is>
          <t>Đã hoàn thiện</t>
        </is>
      </c>
      <c r="H86" s="16" t="inlineStr">
        <is>
          <t>Không</t>
        </is>
      </c>
      <c r="I86" s="15" t="inlineStr">
        <is>
          <t>Vừa chạy db:seed, chưa thao tác gì (kịch bản seed member1: 7 thông báo, 4 chưa đọc: seed-notif-member1-1..4; 3 đã đọc: -5..-7). Đăng nhập member1@sofinhub.test / Passw0rd!x</t>
        </is>
      </c>
      <c r="J86" s="15" t="inlineStr">
        <is>
          <t>1. Mở 50 stream rồi đóng hết
2. Tạo thông báo cho member1
3. Theo dõi log/bộ nhớ server</t>
        </is>
      </c>
      <c r="K86" s="15" t="inlineStr">
        <is>
          <t>50 kết nối</t>
        </is>
      </c>
      <c r="L86" s="15" t="inlineStr">
        <is>
          <t>Không có lỗi ghi vào socket đã đóng; số listener về 0; bộ nhớ tiến trình ổn định.</t>
        </is>
      </c>
      <c r="M86" s="15" t="inlineStr"/>
      <c r="N86" s="18" t="inlineStr">
        <is>
          <t>Chưa test</t>
        </is>
      </c>
      <c r="O86" s="15" t="inlineStr"/>
      <c r="P86" s="15" t="inlineStr"/>
      <c r="Q86" s="18" t="inlineStr">
        <is>
          <t>Chưa test</t>
        </is>
      </c>
      <c r="R86" s="15" t="inlineStr"/>
    </row>
    <row r="87" ht="30" customHeight="1">
      <c r="A87" s="14" t="inlineStr">
        <is>
          <t>TC-NOTI-086</t>
        </is>
      </c>
      <c r="B87" s="15" t="inlineStr">
        <is>
          <t>Thông báo &amp; Nhắn tin</t>
        </is>
      </c>
      <c r="C87" s="15" t="inlineStr">
        <is>
          <t>Cuộc trò chuyện 1-1</t>
        </is>
      </c>
      <c r="D87" s="15" t="inlineStr">
        <is>
          <t>Danh sách hội thoại của member1 theo seed</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Đăng nhập member1
2. GET /api/conversations</t>
        </is>
      </c>
      <c r="K87" s="15" t="inlineStr">
        <is>
          <t>-</t>
        </is>
      </c>
      <c r="L87" s="15" t="inlineStr">
        <is>
          <t>200; data có hội thoại id="seed-conv-member1-member2", other.id=member2, lastMessage = nội dung seed-msg-8 "Mình sẽ gửi danh sách địa điểm sau.", unreadCount=0 (member1 đã đọc hết), blockedByMe=false; sắp theo lastMessageAt giảm dần.</t>
        </is>
      </c>
      <c r="M87" s="15" t="inlineStr"/>
      <c r="N87" s="18" t="inlineStr">
        <is>
          <t>Chưa test</t>
        </is>
      </c>
      <c r="O87" s="15" t="inlineStr"/>
      <c r="P87" s="15" t="inlineStr"/>
      <c r="Q87" s="18" t="inlineStr">
        <is>
          <t>Chưa test</t>
        </is>
      </c>
      <c r="R87" s="15" t="inlineStr"/>
    </row>
    <row r="88" ht="45" customHeight="1">
      <c r="A88" s="14" t="inlineStr">
        <is>
          <t>TC-NOTI-087</t>
        </is>
      </c>
      <c r="B88" s="15" t="inlineStr">
        <is>
          <t>Thông báo &amp; Nhắn tin</t>
        </is>
      </c>
      <c r="C88" s="15" t="inlineStr">
        <is>
          <t>Cuộc trò chuyện 1-1</t>
        </is>
      </c>
      <c r="D88" s="15" t="inlineStr">
        <is>
          <t>member2 thấy unreadCount=3 (tin 6,7,8), tin thu hồi không tính</t>
        </is>
      </c>
      <c r="E88" s="15" t="inlineStr">
        <is>
          <t>Chức năng</t>
        </is>
      </c>
      <c r="F88" s="16" t="inlineStr">
        <is>
          <t>Cao</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8" s="15" t="inlineStr">
        <is>
          <t>1. Đăng nhập member2
2. GET /api/conversations
3. GET /api/messages/unread-count</t>
        </is>
      </c>
      <c r="K88" s="15" t="inlineStr">
        <is>
          <t>-</t>
        </is>
      </c>
      <c r="L88" s="15" t="inlineStr">
        <is>
          <t>Hội thoại seed-conv-member1-member2 có unreadCount=3; /messages/unread-count trả {data:{unreadCount:3}}; other là member1.</t>
        </is>
      </c>
      <c r="M88" s="15" t="inlineStr"/>
      <c r="N88" s="18" t="inlineStr">
        <is>
          <t>Chưa test</t>
        </is>
      </c>
      <c r="O88" s="15" t="inlineStr"/>
      <c r="P88" s="15" t="inlineStr"/>
      <c r="Q88" s="18" t="inlineStr">
        <is>
          <t>Chưa test</t>
        </is>
      </c>
      <c r="R88" s="15" t="inlineStr"/>
    </row>
    <row r="89" ht="30" customHeight="1">
      <c r="A89" s="14" t="inlineStr">
        <is>
          <t>TC-NOTI-088</t>
        </is>
      </c>
      <c r="B89" s="15" t="inlineStr">
        <is>
          <t>Thông báo &amp; Nhắn tin</t>
        </is>
      </c>
      <c r="C89" s="15" t="inlineStr">
        <is>
          <t>Cuộc trò chuyện 1-1</t>
        </is>
      </c>
      <c r="D89" s="15" t="inlineStr">
        <is>
          <t>Mở hội thoại đã có: POST /conversations trả 200 với cùng id (không tạo mới)</t>
        </is>
      </c>
      <c r="E89" s="15" t="inlineStr">
        <is>
          <t>Chức năng</t>
        </is>
      </c>
      <c r="F89" s="16" t="inlineStr">
        <is>
          <t>Cao</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member1: POST /api/conversations body {"userId":"&lt;id member2&gt;"}</t>
        </is>
      </c>
      <c r="K89" s="15" t="inlineStr">
        <is>
          <t>userId=member2</t>
        </is>
      </c>
      <c r="L89" s="15" t="inlineStr">
        <is>
          <t>200 (không phải 201); data.id="seed-conv-member1-member2"; GET /conversations vẫn 1 hội thoại (không nhân đôi).</t>
        </is>
      </c>
      <c r="M89" s="15" t="inlineStr"/>
      <c r="N89" s="18" t="inlineStr">
        <is>
          <t>Chưa test</t>
        </is>
      </c>
      <c r="O89" s="15" t="inlineStr"/>
      <c r="P89" s="15" t="inlineStr"/>
      <c r="Q89" s="18" t="inlineStr">
        <is>
          <t>Chưa test</t>
        </is>
      </c>
      <c r="R89" s="15" t="inlineStr"/>
    </row>
    <row r="90" ht="30" customHeight="1">
      <c r="A90" s="14" t="inlineStr">
        <is>
          <t>TC-NOTI-089</t>
        </is>
      </c>
      <c r="B90" s="15" t="inlineStr">
        <is>
          <t>Thông báo &amp; Nhắn tin</t>
        </is>
      </c>
      <c r="C90" s="15" t="inlineStr">
        <is>
          <t>Cuộc trò chuyện 1-1</t>
        </is>
      </c>
      <c r="D90" s="15" t="inlineStr">
        <is>
          <t>Tạo hội thoại mới trả 201 (member1 -&gt; member3, cùng cộng đồng photo)</t>
        </is>
      </c>
      <c r="E90" s="15" t="inlineStr">
        <is>
          <t>Chức năng</t>
        </is>
      </c>
      <c r="F90" s="16" t="inlineStr">
        <is>
          <t>Cao</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POST /api/conversations body {"userId":"&lt;id member3&gt;"}
2. GET /api/conversations</t>
        </is>
      </c>
      <c r="K90" s="15" t="inlineStr">
        <is>
          <t>userId=member3</t>
        </is>
      </c>
      <c r="L90" s="15" t="inlineStr">
        <is>
          <t>201; data {id, other:{id:member3,name}, lastMessage:null, unreadCount:0, blockedByMe:false}; danh sách có 2 hội thoại; gọi lại trả 200 cùng id.</t>
        </is>
      </c>
      <c r="M90" s="15" t="inlineStr"/>
      <c r="N90" s="18" t="inlineStr">
        <is>
          <t>Chưa test</t>
        </is>
      </c>
      <c r="O90" s="15" t="inlineStr"/>
      <c r="P90" s="15" t="inlineStr"/>
      <c r="Q90" s="18" t="inlineStr">
        <is>
          <t>Chưa test</t>
        </is>
      </c>
      <c r="R90" s="15" t="inlineStr"/>
    </row>
    <row r="91" ht="30" customHeight="1">
      <c r="A91" s="14" t="inlineStr">
        <is>
          <t>TC-NOTI-090</t>
        </is>
      </c>
      <c r="B91" s="15" t="inlineStr">
        <is>
          <t>Thông báo &amp; Nhắn tin</t>
        </is>
      </c>
      <c r="C91" s="15" t="inlineStr">
        <is>
          <t>Cuộc trò chuyện 1-1</t>
        </is>
      </c>
      <c r="D91" s="15" t="inlineStr">
        <is>
          <t>Không nhắn cho chính mình</t>
        </is>
      </c>
      <c r="E91" s="15" t="inlineStr">
        <is>
          <t>Chức năng</t>
        </is>
      </c>
      <c r="F91" s="20" t="inlineStr">
        <is>
          <t>Trung bình</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 body {"userId":"&lt;id member1&gt;"}</t>
        </is>
      </c>
      <c r="K91" s="15" t="inlineStr">
        <is>
          <t>userId=chính mình</t>
        </is>
      </c>
      <c r="L91" s="15" t="inlineStr">
        <is>
          <t>400 BAD_REQUEST, message "Bạn không thể nhắn tin cho chính mình".</t>
        </is>
      </c>
      <c r="M91" s="15" t="inlineStr"/>
      <c r="N91" s="18" t="inlineStr">
        <is>
          <t>Chưa test</t>
        </is>
      </c>
      <c r="O91" s="15" t="inlineStr"/>
      <c r="P91" s="15" t="inlineStr"/>
      <c r="Q91" s="18" t="inlineStr">
        <is>
          <t>Chưa test</t>
        </is>
      </c>
      <c r="R91" s="15" t="inlineStr"/>
    </row>
    <row r="92" ht="30" customHeight="1">
      <c r="A92" s="14" t="inlineStr">
        <is>
          <t>TC-NOTI-091</t>
        </is>
      </c>
      <c r="B92" s="15" t="inlineStr">
        <is>
          <t>Thông báo &amp; Nhắn tin</t>
        </is>
      </c>
      <c r="C92" s="15" t="inlineStr">
        <is>
          <t>Cuộc trò chuyện 1-1</t>
        </is>
      </c>
      <c r="D92" s="15" t="inlineStr">
        <is>
          <t>Mở hội thoại với user không tồn tại -&gt; 404</t>
        </is>
      </c>
      <c r="E92" s="15" t="inlineStr">
        <is>
          <t>Chức năng</t>
        </is>
      </c>
      <c r="F92" s="17" t="inlineStr">
        <is>
          <t>Thấp</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/api/conversations body {"userId":"khong-ton-tai"}</t>
        </is>
      </c>
      <c r="K92" s="15" t="inlineStr">
        <is>
          <t>userId lạ</t>
        </is>
      </c>
      <c r="L92" s="15" t="inlineStr">
        <is>
          <t>404 NOT_FOUND, message "Không tìm thấy người dùng".</t>
        </is>
      </c>
      <c r="M92" s="15" t="inlineStr"/>
      <c r="N92" s="18" t="inlineStr">
        <is>
          <t>Chưa test</t>
        </is>
      </c>
      <c r="O92" s="15" t="inlineStr"/>
      <c r="P92" s="15" t="inlineStr"/>
      <c r="Q92" s="18" t="inlineStr">
        <is>
          <t>Chưa test</t>
        </is>
      </c>
      <c r="R92" s="15" t="inlineStr"/>
    </row>
    <row r="93" ht="30" customHeight="1">
      <c r="A93" s="14" t="inlineStr">
        <is>
          <t>TC-NOTI-092</t>
        </is>
      </c>
      <c r="B93" s="15" t="inlineStr">
        <is>
          <t>Thông báo &amp; Nhắn tin</t>
        </is>
      </c>
      <c r="C93" s="15" t="inlineStr">
        <is>
          <t>Cuộc trò chuyện 1-1</t>
        </is>
      </c>
      <c r="D93" s="15" t="inlineStr">
        <is>
          <t>userId rỗng/khoảng trắng bị từ chối</t>
        </is>
      </c>
      <c r="E93" s="15" t="inlineStr">
        <is>
          <t>Chức năng</t>
        </is>
      </c>
      <c r="F93" s="17" t="inlineStr">
        <is>
          <t>Thấp</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/api/conversations body {"userId":"   "}
2. POST body {}</t>
        </is>
      </c>
      <c r="K93" s="15" t="inlineStr">
        <is>
          <t>userId="   "</t>
        </is>
      </c>
      <c r="L93" s="15" t="inlineStr">
        <is>
          <t>400 VALIDATION_ERROR, message "Tham số không hợp lệ" (message trường: "Thiếu người nhận").</t>
        </is>
      </c>
      <c r="M93" s="15" t="inlineStr"/>
      <c r="N93" s="18" t="inlineStr">
        <is>
          <t>Chưa test</t>
        </is>
      </c>
      <c r="O93" s="15" t="inlineStr"/>
      <c r="P93" s="15" t="inlineStr"/>
      <c r="Q93" s="18" t="inlineStr">
        <is>
          <t>Chưa test</t>
        </is>
      </c>
      <c r="R93" s="15" t="inlineStr"/>
    </row>
    <row r="94" ht="30" customHeight="1">
      <c r="A94" s="14" t="inlineStr">
        <is>
          <t>TC-NOTI-093</t>
        </is>
      </c>
      <c r="B94" s="15" t="inlineStr">
        <is>
          <t>Thông báo &amp; Nhắn tin</t>
        </is>
      </c>
      <c r="C94" s="15" t="inlineStr">
        <is>
          <t>Cuộc trò chuyện 1-1</t>
        </is>
      </c>
      <c r="D94" s="15" t="inlineStr">
        <is>
          <t>Không tạo được hội thoại với người không chung cộng đồng nào (newbie)</t>
        </is>
      </c>
      <c r="E94" s="15" t="inlineStr">
        <is>
          <t>Chức năng</t>
        </is>
      </c>
      <c r="F94" s="16" t="inlineStr">
        <is>
          <t>Cao</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94" s="15" t="inlineStr">
        <is>
          <t>1. member1: POST /api/conversations body {"userId":"&lt;id newbie&gt;"}
2. newbie: POST body {"userId":"&lt;id member1&gt;"}</t>
        </is>
      </c>
      <c r="K94" s="15" t="inlineStr">
        <is>
          <t>member1 &lt;-&gt; newbie</t>
        </is>
      </c>
      <c r="L94" s="15" t="inlineStr">
        <is>
          <t>Cả hai chiều 403 FORBIDDEN, message "Chỉ nhắn tin được với thành viên chung cộng đồng với bạn"; không tạo hội thoại.</t>
        </is>
      </c>
      <c r="M94" s="15" t="inlineStr"/>
      <c r="N94" s="18" t="inlineStr">
        <is>
          <t>Chưa test</t>
        </is>
      </c>
      <c r="O94" s="15" t="inlineStr"/>
      <c r="P94" s="15" t="inlineStr"/>
      <c r="Q94" s="18" t="inlineStr">
        <is>
          <t>Chưa test</t>
        </is>
      </c>
      <c r="R94" s="15" t="inlineStr"/>
    </row>
    <row r="95" ht="45" customHeight="1">
      <c r="A95" s="14" t="inlineStr">
        <is>
          <t>TC-NOTI-094</t>
        </is>
      </c>
      <c r="B95" s="15" t="inlineStr">
        <is>
          <t>Thông báo &amp; Nhắn tin</t>
        </is>
      </c>
      <c r="C95" s="15" t="inlineStr">
        <is>
          <t>Cuộc trò chuyện 1-1</t>
        </is>
      </c>
      <c r="D95" s="15" t="inlineStr">
        <is>
          <t>Hội thoại đã có vẫn mở lại được sau khi một người rời cộng đồng</t>
        </is>
      </c>
      <c r="E95" s="15" t="inlineStr">
        <is>
          <t>Chức năng</t>
        </is>
      </c>
      <c r="F95" s="20" t="inlineStr">
        <is>
          <t>Trung bình</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95" s="15" t="inlineStr">
        <is>
          <t>1. member2 rời cộng đồng photo
2. member1: POST /api/conversations {userId: member2}
3. member1: gửi 1 tin vào seed-conv-member1-member2</t>
        </is>
      </c>
      <c r="K95" s="15" t="inlineStr">
        <is>
          <t>-</t>
        </is>
      </c>
      <c r="L95" s="15" t="inlineStr">
        <is>
          <t>Mở lại 200 và gửi tin 201 (cuộc đã có thì luôn mở lại được nếu không bị chặn). Nhưng tạo hội thoại MỚI với người khác không chung cộng đồng vẫn 403.</t>
        </is>
      </c>
      <c r="M95" s="15" t="inlineStr"/>
      <c r="N95" s="18" t="inlineStr">
        <is>
          <t>Chưa test</t>
        </is>
      </c>
      <c r="O95" s="15" t="inlineStr"/>
      <c r="P95" s="15" t="inlineStr"/>
      <c r="Q95" s="18" t="inlineStr">
        <is>
          <t>Chưa test</t>
        </is>
      </c>
      <c r="R95" s="15" t="inlineStr"/>
    </row>
    <row r="96" ht="30" customHeight="1">
      <c r="A96" s="14" t="inlineStr">
        <is>
          <t>TC-NOTI-095</t>
        </is>
      </c>
      <c r="B96" s="15" t="inlineStr">
        <is>
          <t>Thông báo &amp; Nhắn tin</t>
        </is>
      </c>
      <c r="C96" s="15" t="inlineStr">
        <is>
          <t>Cuộc trò chuyện 1-1</t>
        </is>
      </c>
      <c r="D96" s="15" t="inlineStr">
        <is>
          <t>Người bị ban (banned) không thể tạo hội thoại mới với thành viên photo</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96" s="15" t="inlineStr">
        <is>
          <t>1. banned: POST /api/conversations {userId: member2}</t>
        </is>
      </c>
      <c r="K96" s="15" t="inlineStr">
        <is>
          <t>banned -&gt; member2</t>
        </is>
      </c>
      <c r="L96" s="15" t="inlineStr">
        <is>
          <t>Nếu banned không còn ở cộng đồng nào chung: 403 "Chỉ nhắn tin được với thành viên chung cộng đồng với bạn" (theo enrollment; ghi nhận thực tế nếu banned còn enroll ở cộng đồng khác - chưa chốt).</t>
        </is>
      </c>
      <c r="M96" s="15" t="inlineStr"/>
      <c r="N96" s="18" t="inlineStr">
        <is>
          <t>Chưa test</t>
        </is>
      </c>
      <c r="O96" s="15" t="inlineStr"/>
      <c r="P96" s="15" t="inlineStr"/>
      <c r="Q96" s="18" t="inlineStr">
        <is>
          <t>Chưa test</t>
        </is>
      </c>
      <c r="R96" s="15" t="inlineStr"/>
    </row>
    <row r="97" ht="30" customHeight="1">
      <c r="A97" s="14" t="inlineStr">
        <is>
          <t>TC-NOTI-096</t>
        </is>
      </c>
      <c r="B97" s="15" t="inlineStr">
        <is>
          <t>Thông báo &amp; Nhắn tin</t>
        </is>
      </c>
      <c r="C97" s="15" t="inlineStr">
        <is>
          <t>Tin nhắn: đọc lịch sử &amp; phân trang</t>
        </is>
      </c>
      <c r="D97" s="15" t="inlineStr">
        <is>
          <t>Đọc lịch sử seed: 8 tin cũ -&gt; mới, tin thu hồi hiển thị đúng</t>
        </is>
      </c>
      <c r="E97" s="15" t="inlineStr">
        <is>
          <t>Chức năng</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7" s="15" t="inlineStr">
        <is>
          <t>1. member1: GET /api/conversations/seed-conv-member1-member2/messages</t>
        </is>
      </c>
      <c r="K97" s="15" t="inlineStr">
        <is>
          <t>mặc định limit=30</t>
        </is>
      </c>
      <c r="L97" s="15" t="inlineStr">
        <is>
          <t>200; data 8 phần tử theo thứ tự seed-msg-1..8; seed-msg-5 có deleted=true, content="Tin nhắn đã bị thu hồi", attachments=[]; các tin khác deleted=false đúng nội dung seed; meta.hasMore=false.</t>
        </is>
      </c>
      <c r="M97" s="15" t="inlineStr"/>
      <c r="N97" s="18" t="inlineStr">
        <is>
          <t>Chưa test</t>
        </is>
      </c>
      <c r="O97" s="15" t="inlineStr"/>
      <c r="P97" s="15" t="inlineStr"/>
      <c r="Q97" s="18" t="inlineStr">
        <is>
          <t>Chưa test</t>
        </is>
      </c>
      <c r="R97" s="15" t="inlineStr"/>
    </row>
    <row r="98" ht="45" customHeight="1">
      <c r="A98" s="14" t="inlineStr">
        <is>
          <t>TC-NOTI-097</t>
        </is>
      </c>
      <c r="B98" s="15" t="inlineStr">
        <is>
          <t>Thông báo &amp; Nhắn tin</t>
        </is>
      </c>
      <c r="C98" s="15" t="inlineStr">
        <is>
          <t>Tin nhắn: đọc lịch sử &amp; phân trang</t>
        </is>
      </c>
      <c r="D98" s="15" t="inlineStr">
        <is>
          <t>Phân trang cursor limit=3 với before=nextBefore</t>
        </is>
      </c>
      <c r="E98" s="15" t="inlineStr">
        <is>
          <t>Chức năng</t>
        </is>
      </c>
      <c r="F98" s="16" t="inlineStr">
        <is>
          <t>Cao</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GET .../messages?limit=3
2. Lấy meta.nextBefore, GET .../messages?limit=3&amp;before=&lt;nextBefore&gt;
3. Lặp tới hết</t>
        </is>
      </c>
      <c r="K98" s="15" t="inlineStr">
        <is>
          <t>limit=3</t>
        </is>
      </c>
      <c r="L98" s="15" t="inlineStr">
        <is>
          <t>Lần 1: 3 tin mới nhất (seed-msg-6,7,8 theo thứ tự cũ-&gt;mới), hasMore=true; lần 2: seed-msg-3,4,5; lần 3: seed-msg-1,2, hasMore=false; không tin nào trùng.</t>
        </is>
      </c>
      <c r="M98" s="15" t="inlineStr"/>
      <c r="N98" s="18" t="inlineStr">
        <is>
          <t>Chưa test</t>
        </is>
      </c>
      <c r="O98" s="15" t="inlineStr"/>
      <c r="P98" s="15" t="inlineStr"/>
      <c r="Q98" s="18" t="inlineStr">
        <is>
          <t>Chưa test</t>
        </is>
      </c>
      <c r="R98" s="15" t="inlineStr"/>
    </row>
    <row r="99" ht="30" customHeight="1">
      <c r="A99" s="14" t="inlineStr">
        <is>
          <t>TC-NOTI-098</t>
        </is>
      </c>
      <c r="B99" s="15" t="inlineStr">
        <is>
          <t>Thông báo &amp; Nhắn tin</t>
        </is>
      </c>
      <c r="C99" s="15" t="inlineStr">
        <is>
          <t>Tin nhắn: đọc lịch sử &amp; phân trang</t>
        </is>
      </c>
      <c r="D99" s="15" t="inlineStr">
        <is>
          <t>before không hợp lệ hoặc thuộc hội thoại khác bị từ chối</t>
        </is>
      </c>
      <c r="E99" s="15" t="inlineStr">
        <is>
          <t>Chức năng</t>
        </is>
      </c>
      <c r="F99" s="20" t="inlineStr">
        <is>
          <t>Trung bình</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99" s="15" t="inlineStr">
        <is>
          <t>1. GET .../messages?before=khong-ton-tai
2. Lấy id một tin của hội thoại member1-member3, dùng làm before cho seed-conv-member1-member2</t>
        </is>
      </c>
      <c r="K99" s="15" t="inlineStr">
        <is>
          <t>before lạ</t>
        </is>
      </c>
      <c r="L99" s="15" t="inlineStr">
        <is>
          <t>Cả hai 400 BAD_REQUEST, message "Mốc phân trang không hợp lệ".</t>
        </is>
      </c>
      <c r="M99" s="15" t="inlineStr"/>
      <c r="N99" s="18" t="inlineStr">
        <is>
          <t>Chưa test</t>
        </is>
      </c>
      <c r="O99" s="15" t="inlineStr"/>
      <c r="P99" s="15" t="inlineStr"/>
      <c r="Q99" s="18" t="inlineStr">
        <is>
          <t>Chưa test</t>
        </is>
      </c>
      <c r="R99" s="15" t="inlineStr"/>
    </row>
    <row r="100" ht="45" customHeight="1">
      <c r="A100" s="14" t="inlineStr">
        <is>
          <t>TC-NOTI-099</t>
        </is>
      </c>
      <c r="B100" s="15" t="inlineStr">
        <is>
          <t>Thông báo &amp; Nhắn tin</t>
        </is>
      </c>
      <c r="C100" s="15" t="inlineStr">
        <is>
          <t>Tin nhắn: đọc lịch sử &amp; phân trang</t>
        </is>
      </c>
      <c r="D100" s="15" t="inlineStr">
        <is>
          <t>limit ngoài khoảng 1..100 bị từ chối, 100 được chấp nhận</t>
        </is>
      </c>
      <c r="E100" s="15" t="inlineStr">
        <is>
          <t>Chức năng</t>
        </is>
      </c>
      <c r="F100" s="17" t="inlineStr">
        <is>
          <t>Thấp</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0" s="15" t="inlineStr">
        <is>
          <t>1. GET .../messages?limit=101
2. GET ...?limit=0
3. GET ...?limit=100</t>
        </is>
      </c>
      <c r="K100" s="15" t="inlineStr">
        <is>
          <t>101, 0, 100</t>
        </is>
      </c>
      <c r="L100" s="15" t="inlineStr">
        <is>
          <t>limit=101 và 0: 400 VALIDATION_ERROR, message "Tham số không hợp lệ"; limit=100: 200 với 8 tin.</t>
        </is>
      </c>
      <c r="M100" s="15" t="inlineStr"/>
      <c r="N100" s="18" t="inlineStr">
        <is>
          <t>Chưa test</t>
        </is>
      </c>
      <c r="O100" s="15" t="inlineStr"/>
      <c r="P100" s="15" t="inlineStr"/>
      <c r="Q100" s="18" t="inlineStr">
        <is>
          <t>Chưa test</t>
        </is>
      </c>
      <c r="R100" s="15" t="inlineStr"/>
    </row>
    <row r="101" ht="30" customHeight="1">
      <c r="A101" s="14" t="inlineStr">
        <is>
          <t>TC-NOTI-100</t>
        </is>
      </c>
      <c r="B101" s="15" t="inlineStr">
        <is>
          <t>Thông báo &amp; Nhắn tin</t>
        </is>
      </c>
      <c r="C101" s="15" t="inlineStr">
        <is>
          <t>Tin nhắn: đọc lịch sử &amp; phân trang</t>
        </is>
      </c>
      <c r="D101" s="15" t="inlineStr">
        <is>
          <t>Hội thoại rỗng mới tạo trả data=[]</t>
        </is>
      </c>
      <c r="E101" s="15" t="inlineStr">
        <is>
          <t>Giao diện</t>
        </is>
      </c>
      <c r="F101" s="17" t="inlineStr">
        <is>
          <t>Thấp</t>
        </is>
      </c>
      <c r="G101" s="17" t="inlineStr">
        <is>
          <t>Đã hoàn thiện</t>
        </is>
      </c>
      <c r="H101" s="17" t="inlineStr">
        <is>
          <t>Có</t>
        </is>
      </c>
      <c r="I10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tạo hội thoại với member3
2. GET .../messages</t>
        </is>
      </c>
      <c r="K101" s="15" t="inlineStr">
        <is>
          <t>hội thoại mới</t>
        </is>
      </c>
      <c r="L101" s="15" t="inlineStr">
        <is>
          <t>200; data=[]; meta.hasMore=false; UI hiển thị khung chat trống.</t>
        </is>
      </c>
      <c r="M101" s="15" t="inlineStr"/>
      <c r="N101" s="18" t="inlineStr">
        <is>
          <t>Chưa test</t>
        </is>
      </c>
      <c r="O101" s="15" t="inlineStr"/>
      <c r="P101" s="15" t="inlineStr"/>
      <c r="Q101" s="18" t="inlineStr">
        <is>
          <t>Chưa test</t>
        </is>
      </c>
      <c r="R101" s="15" t="inlineStr"/>
    </row>
    <row r="102" ht="30" customHeight="1">
      <c r="A102" s="14" t="inlineStr">
        <is>
          <t>TC-NOTI-101</t>
        </is>
      </c>
      <c r="B102" s="15" t="inlineStr">
        <is>
          <t>Thông báo &amp; Nhắn tin</t>
        </is>
      </c>
      <c r="C102" s="15" t="inlineStr">
        <is>
          <t>Gửi tin nhắn</t>
        </is>
      </c>
      <c r="D102" s="15" t="inlineStr">
        <is>
          <t>Gửi tin thành công: 201, cập nhật lastMessage và unread của người nhận</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POST /api/conversations/seed-conv-member1-member2/messages body {"content":"Hẹn gặp cuối tuần nhé"}
2. member2: GET /api/conversations</t>
        </is>
      </c>
      <c r="K102" s="15" t="inlineStr">
        <is>
          <t>content="Hẹn gặp cuối tuần nhé"</t>
        </is>
      </c>
      <c r="L102" s="15" t="inlineStr">
        <is>
          <t>201 data {id, conversationId, senderId=member1, content, attachments:[], createdAt, deleted:false}; hội thoại của member2 có lastMessage mới và unreadCount = 4 (3 seed + 1).</t>
        </is>
      </c>
      <c r="M102" s="15" t="inlineStr"/>
      <c r="N102" s="18" t="inlineStr">
        <is>
          <t>Chưa test</t>
        </is>
      </c>
      <c r="O102" s="15" t="inlineStr"/>
      <c r="P102" s="15" t="inlineStr"/>
      <c r="Q102" s="18" t="inlineStr">
        <is>
          <t>Chưa test</t>
        </is>
      </c>
      <c r="R102" s="15" t="inlineStr"/>
    </row>
    <row r="103" ht="45" customHeight="1">
      <c r="A103" s="14" t="inlineStr">
        <is>
          <t>TC-NOTI-102</t>
        </is>
      </c>
      <c r="B103" s="15" t="inlineStr">
        <is>
          <t>Thông báo &amp; Nhắn tin</t>
        </is>
      </c>
      <c r="C103" s="15" t="inlineStr">
        <is>
          <t>Gửi tin nhắn</t>
        </is>
      </c>
      <c r="D103" s="15" t="inlineStr">
        <is>
          <t>Nội dung được trim; chỉ khoảng trắng bị từ chối</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POST content "   xin chào   "
2. POST content "     "
3. POST content ""</t>
        </is>
      </c>
      <c r="K103" s="15" t="inlineStr">
        <is>
          <t>3 payload</t>
        </is>
      </c>
      <c r="L103" s="15" t="inlineStr">
        <is>
          <t>Lần 1: 201 content="xin chào" (đã trim); lần 2 và 3: 400 VALIDATION_ERROR, message "Tham số không hợp lệ" (message trường "Nội dung không được để trống"); không tin nào được lưu.</t>
        </is>
      </c>
      <c r="M103" s="15" t="inlineStr"/>
      <c r="N103" s="18" t="inlineStr">
        <is>
          <t>Chưa test</t>
        </is>
      </c>
      <c r="O103" s="15" t="inlineStr"/>
      <c r="P103" s="15" t="inlineStr"/>
      <c r="Q103" s="18" t="inlineStr">
        <is>
          <t>Chưa test</t>
        </is>
      </c>
      <c r="R103" s="15" t="inlineStr"/>
    </row>
    <row r="104" ht="30" customHeight="1">
      <c r="A104" s="14" t="inlineStr">
        <is>
          <t>TC-NOTI-103</t>
        </is>
      </c>
      <c r="B104" s="15" t="inlineStr">
        <is>
          <t>Thông báo &amp; Nhắn tin</t>
        </is>
      </c>
      <c r="C104" s="15" t="inlineStr">
        <is>
          <t>Gửi tin nhắn</t>
        </is>
      </c>
      <c r="D104" s="15" t="inlineStr">
        <is>
          <t>Biên độ dài: 2000 ký tự OK, 2001 ký tự bị từ chối</t>
        </is>
      </c>
      <c r="E104" s="15" t="inlineStr">
        <is>
          <t>Chức năng</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POST content = 2000 ký tự 'a'
2. POST content = 2001 ký tự 'a'</t>
        </is>
      </c>
      <c r="K104" s="15" t="inlineStr">
        <is>
          <t>2000 / 2001 ký tự</t>
        </is>
      </c>
      <c r="L104" s="15" t="inlineStr">
        <is>
          <t>2000: 201; 2001: 400 VALIDATION_ERROR, message "Tham số không hợp lệ" ("Nội dung tối đa 2000 ký tự").</t>
        </is>
      </c>
      <c r="M104" s="15" t="inlineStr"/>
      <c r="N104" s="18" t="inlineStr">
        <is>
          <t>Chưa test</t>
        </is>
      </c>
      <c r="O104" s="15" t="inlineStr"/>
      <c r="P104" s="15" t="inlineStr"/>
      <c r="Q104" s="18" t="inlineStr">
        <is>
          <t>Chưa test</t>
        </is>
      </c>
      <c r="R104" s="15" t="inlineStr"/>
    </row>
    <row r="105" ht="30" customHeight="1">
      <c r="A105" s="14" t="inlineStr">
        <is>
          <t>TC-NOTI-104</t>
        </is>
      </c>
      <c r="B105" s="15" t="inlineStr">
        <is>
          <t>Thông báo &amp; Nhắn tin</t>
        </is>
      </c>
      <c r="C105" s="15" t="inlineStr">
        <is>
          <t>Gửi tin nhắn</t>
        </is>
      </c>
      <c r="D105" s="15" t="inlineStr">
        <is>
          <t>Unicode, emoji, xuống dòng được lưu nguyên vẹn</t>
        </is>
      </c>
      <c r="E105" s="15" t="inlineStr">
        <is>
          <t>Chức năng</t>
        </is>
      </c>
      <c r="F105" s="20" t="inlineStr">
        <is>
          <t>Trung bình</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5" s="15" t="inlineStr">
        <is>
          <t>1. POST content "Chào 👋 Việt Nam\nDòng 2 — ảnh đẹp 📷"
2. GET .../messages</t>
        </is>
      </c>
      <c r="K105" s="15" t="inlineStr">
        <is>
          <t>tiếng Việt có dấu + emoji + \n</t>
        </is>
      </c>
      <c r="L105" s="15" t="inlineStr">
        <is>
          <t>201; tin trả về đúng từng ký tự, giữ xuống dòng; UI hiển thị 2 dòng, không vỡ font.</t>
        </is>
      </c>
      <c r="M105" s="15" t="inlineStr"/>
      <c r="N105" s="18" t="inlineStr">
        <is>
          <t>Chưa test</t>
        </is>
      </c>
      <c r="O105" s="15" t="inlineStr"/>
      <c r="P105" s="15" t="inlineStr"/>
      <c r="Q105" s="18" t="inlineStr">
        <is>
          <t>Chưa test</t>
        </is>
      </c>
      <c r="R105" s="15" t="inlineStr"/>
    </row>
    <row r="106" ht="45" customHeight="1">
      <c r="A106" s="14" t="inlineStr">
        <is>
          <t>TC-NOTI-105</t>
        </is>
      </c>
      <c r="B106" s="15" t="inlineStr">
        <is>
          <t>Thông báo &amp; Nhắn tin</t>
        </is>
      </c>
      <c r="C106" s="15" t="inlineStr">
        <is>
          <t>Gửi tin nhắn</t>
        </is>
      </c>
      <c r="D106" s="15" t="inlineStr">
        <is>
          <t>Nội dung có thẻ HTML bị từ chối (chống XSS lưu trữ)</t>
        </is>
      </c>
      <c r="E106" s="15" t="inlineStr">
        <is>
          <t>Bảo mật</t>
        </is>
      </c>
      <c r="F106" s="16" t="inlineStr">
        <is>
          <t>Cao</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POST content "&lt;script&gt;alert(1)&lt;/script&gt;"
2. POST content "&lt;img src=x onerror=alert(1)&gt;"
3. POST content "&lt;b&gt;đậm&lt;/b&gt;"</t>
        </is>
      </c>
      <c r="K106" s="15" t="inlineStr">
        <is>
          <t>3 payload thẻ HTML</t>
        </is>
      </c>
      <c r="L106" s="15" t="inlineStr">
        <is>
          <t>Cả ba 400 BAD_REQUEST, message "Tin nhắn không được chứa mã HTML"; không tin nào được lưu.</t>
        </is>
      </c>
      <c r="M106" s="15" t="inlineStr"/>
      <c r="N106" s="18" t="inlineStr">
        <is>
          <t>Chưa test</t>
        </is>
      </c>
      <c r="O106" s="15" t="inlineStr"/>
      <c r="P106" s="15" t="inlineStr"/>
      <c r="Q106" s="18" t="inlineStr">
        <is>
          <t>Chưa test</t>
        </is>
      </c>
      <c r="R106" s="15" t="inlineStr"/>
    </row>
    <row r="107" ht="45" customHeight="1">
      <c r="A107" s="14" t="inlineStr">
        <is>
          <t>TC-NOTI-106</t>
        </is>
      </c>
      <c r="B107" s="15" t="inlineStr">
        <is>
          <t>Thông báo &amp; Nhắn tin</t>
        </is>
      </c>
      <c r="C107" s="15" t="inlineStr">
        <is>
          <t>Gửi tin nhắn</t>
        </is>
      </c>
      <c r="D107" s="15" t="inlineStr">
        <is>
          <t>Dấu &lt; &gt; thông thường không phải thẻ vẫn được phép</t>
        </is>
      </c>
      <c r="E107" s="15" t="inlineStr">
        <is>
          <t>Chức năng</t>
        </is>
      </c>
      <c r="F107" s="20" t="inlineStr">
        <is>
          <t>Trung bình</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POST content "3 &lt; 5 và 9 &gt; 2"
2. POST content "a&lt;3 b"
3. Xem trên UI của người nhận</t>
        </is>
      </c>
      <c r="K107" s="15" t="inlineStr">
        <is>
          <t>3 &lt; 5 và 9 &gt; 2</t>
        </is>
      </c>
      <c r="L107" s="15" t="inlineStr">
        <is>
          <t>201; hiển thị nguyên văn dạng văn bản, không được diễn giải thành HTML (FE vẫn phải escape).</t>
        </is>
      </c>
      <c r="M107" s="15" t="inlineStr"/>
      <c r="N107" s="18" t="inlineStr">
        <is>
          <t>Chưa test</t>
        </is>
      </c>
      <c r="O107" s="15" t="inlineStr"/>
      <c r="P107" s="15" t="inlineStr"/>
      <c r="Q107" s="18" t="inlineStr">
        <is>
          <t>Chưa test</t>
        </is>
      </c>
      <c r="R107" s="15" t="inlineStr"/>
    </row>
    <row r="108" ht="30" customHeight="1">
      <c r="A108" s="14" t="inlineStr">
        <is>
          <t>TC-NOTI-107</t>
        </is>
      </c>
      <c r="B108" s="15" t="inlineStr">
        <is>
          <t>Thông báo &amp; Nhắn tin</t>
        </is>
      </c>
      <c r="C108" s="15" t="inlineStr">
        <is>
          <t>Gửi tin nhắn</t>
        </is>
      </c>
      <c r="D108" s="15" t="inlineStr">
        <is>
          <t>XSS qua UI: tin có ký tự đặc biệt hiển thị dạng chữ thô</t>
        </is>
      </c>
      <c r="E108" s="15" t="inlineStr">
        <is>
          <t>Bảo mật</t>
        </is>
      </c>
      <c r="F108" s="16" t="inlineStr">
        <is>
          <t>Cao</t>
        </is>
      </c>
      <c r="G108" s="17" t="inlineStr">
        <is>
          <t>Đã hoàn thiện</t>
        </is>
      </c>
      <c r="H108" s="17" t="inlineStr">
        <is>
          <t>Có</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108" s="15" t="inlineStr">
        <is>
          <t>1. member1 gửi "&amp;lt;script&amp;gt;alert(1)&amp;lt;/script&amp;gt; và javascript:alert(1)"
2. member2 mở /messages/seed-conv-member1-member2</t>
        </is>
      </c>
      <c r="K108" s="15" t="inlineStr">
        <is>
          <t>chuỗi entity + javascript:</t>
        </is>
      </c>
      <c r="L108" s="15" t="inlineStr">
        <is>
          <t>Hiển thị đúng chữ thô; không có hộp thoại alert; liên kết javascript: không tự thành link chạy được.</t>
        </is>
      </c>
      <c r="M108" s="15" t="inlineStr"/>
      <c r="N108" s="18" t="inlineStr">
        <is>
          <t>Chưa test</t>
        </is>
      </c>
      <c r="O108" s="15" t="inlineStr"/>
      <c r="P108" s="15" t="inlineStr"/>
      <c r="Q108" s="18" t="inlineStr">
        <is>
          <t>Chưa test</t>
        </is>
      </c>
      <c r="R108" s="15" t="inlineStr"/>
    </row>
    <row r="109" ht="30" customHeight="1">
      <c r="A109" s="14" t="inlineStr">
        <is>
          <t>TC-NOTI-108</t>
        </is>
      </c>
      <c r="B109" s="15" t="inlineStr">
        <is>
          <t>Thông báo &amp; Nhắn tin</t>
        </is>
      </c>
      <c r="C109" s="15" t="inlineStr">
        <is>
          <t>Gửi tin nhắn</t>
        </is>
      </c>
      <c r="D109" s="15" t="inlineStr">
        <is>
          <t>Gửi vào hội thoại không tồn tại/không có content bị từ chối</t>
        </is>
      </c>
      <c r="E109" s="15" t="inlineStr">
        <is>
          <t>Chức năng</t>
        </is>
      </c>
      <c r="F109" s="17" t="inlineStr">
        <is>
          <t>Thấp</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POST /api/conversations/khong-ton-tai/messages body {"content":"hi"}
2. POST .../seed-conv-member1-member2/messages body {}</t>
        </is>
      </c>
      <c r="K109" s="15" t="inlineStr">
        <is>
          <t>2 request</t>
        </is>
      </c>
      <c r="L109" s="15" t="inlineStr">
        <is>
          <t>Request 1: 404 NOT_FOUND, message "Không tìm thấy cuộc trò chuyện"; request 2: 400 VALIDATION_ERROR, message "Tham số không hợp lệ".</t>
        </is>
      </c>
      <c r="M109" s="15" t="inlineStr"/>
      <c r="N109" s="18" t="inlineStr">
        <is>
          <t>Chưa test</t>
        </is>
      </c>
      <c r="O109" s="15" t="inlineStr"/>
      <c r="P109" s="15" t="inlineStr"/>
      <c r="Q109" s="18" t="inlineStr">
        <is>
          <t>Chưa test</t>
        </is>
      </c>
      <c r="R109" s="15" t="inlineStr"/>
    </row>
    <row r="110" ht="45" customHeight="1">
      <c r="A110" s="14" t="inlineStr">
        <is>
          <t>TC-NOTI-109</t>
        </is>
      </c>
      <c r="B110" s="15" t="inlineStr">
        <is>
          <t>Thông báo &amp; Nhắn tin</t>
        </is>
      </c>
      <c r="C110" s="15" t="inlineStr">
        <is>
          <t>Gửi tin nhắn</t>
        </is>
      </c>
      <c r="D110" s="15" t="inlineStr">
        <is>
          <t>Chống spam: tin thứ 21 trong 1 phút -&gt; 429</t>
        </is>
      </c>
      <c r="E110" s="15" t="inlineStr">
        <is>
          <t>Bảo mật</t>
        </is>
      </c>
      <c r="F110" s="16" t="inlineStr">
        <is>
          <t>Cao</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110" s="15" t="inlineStr">
        <is>
          <t>1. member1 gửi liên tiếp 20 tin vào seed-conv-member1-member2 trong &lt; 60 giây (tin thứ 1..20)
2. Gửi tin thứ 21
3. Chờ &gt; 60 giây rồi gửi lại</t>
        </is>
      </c>
      <c r="K110" s="15" t="inlineStr">
        <is>
          <t>21 tin / phút</t>
        </is>
      </c>
      <c r="L110" s="15" t="inlineStr">
        <is>
          <t>20 tin đầu 201; tin thứ 21: 429 TOO_MANY_REQUESTS, message "Bạn gửi tin nhắn quá nhanh, vui lòng thử lại sau"; sau khi cửa sổ trượt 60s qua thì gửi lại được 201. Giá trị 20/phút là mặc định (tạm).</t>
        </is>
      </c>
      <c r="M110" s="15" t="inlineStr"/>
      <c r="N110" s="18" t="inlineStr">
        <is>
          <t>Chưa test</t>
        </is>
      </c>
      <c r="O110" s="15" t="inlineStr"/>
      <c r="P110" s="15" t="inlineStr"/>
      <c r="Q110" s="18" t="inlineStr">
        <is>
          <t>Chưa test</t>
        </is>
      </c>
      <c r="R110" s="15" t="inlineStr"/>
    </row>
    <row r="111" ht="30" customHeight="1">
      <c r="A111" s="14" t="inlineStr">
        <is>
          <t>TC-NOTI-110</t>
        </is>
      </c>
      <c r="B111" s="15" t="inlineStr">
        <is>
          <t>Thông báo &amp; Nhắn tin</t>
        </is>
      </c>
      <c r="C111" s="15" t="inlineStr">
        <is>
          <t>Gửi tin nhắn</t>
        </is>
      </c>
      <c r="D111" s="15" t="inlineStr">
        <is>
          <t>Rate limit theo người gửi, không ảnh hưởng người khác</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11" s="15" t="inlineStr">
        <is>
          <t>1. member2 gửi 1 tin vào seed-conv-member1-member2
2. member1 gửi tin vào hội thoại khác (với member3)</t>
        </is>
      </c>
      <c r="K111" s="15" t="inlineStr">
        <is>
          <t>member1 đang bị 429</t>
        </is>
      </c>
      <c r="L111" s="15" t="inlineStr">
        <is>
          <t>member2: 201 bình thường; member1 gửi sang hội thoại khác vẫn 429 (giới hạn theo user, không theo hội thoại).</t>
        </is>
      </c>
      <c r="M111" s="15" t="inlineStr"/>
      <c r="N111" s="18" t="inlineStr">
        <is>
          <t>Chưa test</t>
        </is>
      </c>
      <c r="O111" s="15" t="inlineStr"/>
      <c r="P111" s="15" t="inlineStr"/>
      <c r="Q111" s="18" t="inlineStr">
        <is>
          <t>Chưa test</t>
        </is>
      </c>
      <c r="R111" s="15" t="inlineStr"/>
    </row>
    <row r="112" ht="30" customHeight="1">
      <c r="A112" s="14" t="inlineStr">
        <is>
          <t>TC-NOTI-111</t>
        </is>
      </c>
      <c r="B112" s="15" t="inlineStr">
        <is>
          <t>Thông báo &amp; Nhắn tin</t>
        </is>
      </c>
      <c r="C112" s="15" t="inlineStr">
        <is>
          <t>Gửi tin nhắn</t>
        </is>
      </c>
      <c r="D112" s="15" t="inlineStr">
        <is>
          <t>MESSAGE_RATE_LIMIT_PER_MIN=0 tắt giới hạn</t>
        </is>
      </c>
      <c r="E112" s="15" t="inlineStr">
        <is>
          <t>Chức năng</t>
        </is>
      </c>
      <c r="F112" s="17" t="inlineStr">
        <is>
          <t>Thấp</t>
        </is>
      </c>
      <c r="G112" s="17" t="inlineStr">
        <is>
          <t>Đã hoàn thiện</t>
        </is>
      </c>
      <c r="H112" s="16" t="inlineStr">
        <is>
          <t>Không</t>
        </is>
      </c>
      <c r="I112"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member1 gửi 30 tin liên tiếp</t>
        </is>
      </c>
      <c r="K112" s="15" t="inlineStr">
        <is>
          <t>30 tin</t>
        </is>
      </c>
      <c r="L112" s="15" t="inlineStr">
        <is>
          <t>Cả 30 tin 201, không 429.</t>
        </is>
      </c>
      <c r="M112" s="15" t="inlineStr"/>
      <c r="N112" s="18" t="inlineStr">
        <is>
          <t>Chưa test</t>
        </is>
      </c>
      <c r="O112" s="15" t="inlineStr"/>
      <c r="P112" s="15" t="inlineStr"/>
      <c r="Q112" s="18" t="inlineStr">
        <is>
          <t>Chưa test</t>
        </is>
      </c>
      <c r="R112" s="15" t="inlineStr"/>
    </row>
    <row r="113" ht="30" customHeight="1">
      <c r="A113" s="14" t="inlineStr">
        <is>
          <t>TC-NOTI-112</t>
        </is>
      </c>
      <c r="B113" s="15" t="inlineStr">
        <is>
          <t>Thông báo &amp; Nhắn tin</t>
        </is>
      </c>
      <c r="C113" s="15" t="inlineStr">
        <is>
          <t>Thu hồi tin nhắn</t>
        </is>
      </c>
      <c r="D113" s="15" t="inlineStr">
        <is>
          <t>Người gửi thu hồi tin: nội dung bị xóa, đánh dấu deleted</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3" s="15" t="inlineStr">
        <is>
          <t>1. member1: DELETE /api/messages/seed-msg-8
2. GET /api/conversations/seed-conv-member1-member2/messages</t>
        </is>
      </c>
      <c r="K113" s="15" t="inlineStr">
        <is>
          <t>id=seed-msg-8</t>
        </is>
      </c>
      <c r="L113" s="15" t="inlineStr">
        <is>
          <t>200 data {id:seed-msg-8, content:"Tin nhắn đã bị thu hồi", attachments:[], deleted:true}; lịch sử cũng trả tin đó dạng đã thu hồi (DB: content='', deletedAt được gán).</t>
        </is>
      </c>
      <c r="M113" s="15" t="inlineStr"/>
      <c r="N113" s="18" t="inlineStr">
        <is>
          <t>Chưa test</t>
        </is>
      </c>
      <c r="O113" s="15" t="inlineStr"/>
      <c r="P113" s="15" t="inlineStr"/>
      <c r="Q113" s="18" t="inlineStr">
        <is>
          <t>Chưa test</t>
        </is>
      </c>
      <c r="R113" s="15" t="inlineStr"/>
    </row>
    <row r="114" ht="30" customHeight="1">
      <c r="A114" s="14" t="inlineStr">
        <is>
          <t>TC-NOTI-113</t>
        </is>
      </c>
      <c r="B114" s="15" t="inlineStr">
        <is>
          <t>Thông báo &amp; Nhắn tin</t>
        </is>
      </c>
      <c r="C114" s="15" t="inlineStr">
        <is>
          <t>Thu hồi tin nhắn</t>
        </is>
      </c>
      <c r="D114" s="15" t="inlineStr">
        <is>
          <t>Thu hồi tin làm giảm chưa đọc của người nhận (3 -&gt; 2)</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4" s="15" t="inlineStr">
        <is>
          <t>1. member1 thu hồi seed-msg-8
2. member2: GET /api/messages/unread-count</t>
        </is>
      </c>
      <c r="K114" s="15" t="inlineStr">
        <is>
          <t>seed-msg-8</t>
        </is>
      </c>
      <c r="L114" s="15" t="inlineStr">
        <is>
          <t>unreadCount của member2 = 2 (tin thu hồi không tính chưa đọc).</t>
        </is>
      </c>
      <c r="M114" s="15" t="inlineStr"/>
      <c r="N114" s="18" t="inlineStr">
        <is>
          <t>Chưa test</t>
        </is>
      </c>
      <c r="O114" s="15" t="inlineStr"/>
      <c r="P114" s="15" t="inlineStr"/>
      <c r="Q114" s="18" t="inlineStr">
        <is>
          <t>Chưa test</t>
        </is>
      </c>
      <c r="R114" s="15" t="inlineStr"/>
    </row>
    <row r="115" ht="30" customHeight="1">
      <c r="A115" s="14" t="inlineStr">
        <is>
          <t>TC-NOTI-114</t>
        </is>
      </c>
      <c r="B115" s="15" t="inlineStr">
        <is>
          <t>Thông báo &amp; Nhắn tin</t>
        </is>
      </c>
      <c r="C115" s="15" t="inlineStr">
        <is>
          <t>Thu hồi tin nhắn</t>
        </is>
      </c>
      <c r="D115" s="15" t="inlineStr">
        <is>
          <t>Người nhận không được thu hồi tin của người gửi -&gt; 403</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member2: DELETE /api/messages/seed-msg-6</t>
        </is>
      </c>
      <c r="K115" s="15" t="inlineStr">
        <is>
          <t>tin của member1</t>
        </is>
      </c>
      <c r="L115" s="15" t="inlineStr">
        <is>
          <t>403 FORBIDDEN, message "Chỉ người gửi mới được thu hồi tin nhắn"; tin còn nguyên.</t>
        </is>
      </c>
      <c r="M115" s="15" t="inlineStr"/>
      <c r="N115" s="18" t="inlineStr">
        <is>
          <t>Chưa test</t>
        </is>
      </c>
      <c r="O115" s="15" t="inlineStr"/>
      <c r="P115" s="15" t="inlineStr"/>
      <c r="Q115" s="18" t="inlineStr">
        <is>
          <t>Chưa test</t>
        </is>
      </c>
      <c r="R115" s="15" t="inlineStr"/>
    </row>
    <row r="116" ht="30" customHeight="1">
      <c r="A116" s="14" t="inlineStr">
        <is>
          <t>TC-NOTI-115</t>
        </is>
      </c>
      <c r="B116" s="15" t="inlineStr">
        <is>
          <t>Thông báo &amp; Nhắn tin</t>
        </is>
      </c>
      <c r="C116" s="15" t="inlineStr">
        <is>
          <t>Thu hồi tin nhắn</t>
        </is>
      </c>
      <c r="D116" s="15" t="inlineStr">
        <is>
          <t>Người thứ ba thu hồi tin -&gt; 404 (không lộ tồn tại)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16" s="15" t="inlineStr">
        <is>
          <t>1. member3: DELETE /api/messages/seed-msg-6</t>
        </is>
      </c>
      <c r="K116" s="15" t="inlineStr">
        <is>
          <t>tin của cuộc member1-member2</t>
        </is>
      </c>
      <c r="L116" s="15" t="inlineStr">
        <is>
          <t>404 NOT_FOUND, message "Không tìm thấy tin nhắn" (không phải 403).</t>
        </is>
      </c>
      <c r="M116" s="15" t="inlineStr"/>
      <c r="N116" s="18" t="inlineStr">
        <is>
          <t>Chưa test</t>
        </is>
      </c>
      <c r="O116" s="15" t="inlineStr"/>
      <c r="P116" s="15" t="inlineStr"/>
      <c r="Q116" s="18" t="inlineStr">
        <is>
          <t>Chưa test</t>
        </is>
      </c>
      <c r="R116" s="15" t="inlineStr"/>
    </row>
    <row r="117" ht="30" customHeight="1">
      <c r="A117" s="14" t="inlineStr">
        <is>
          <t>TC-NOTI-116</t>
        </is>
      </c>
      <c r="B117" s="15" t="inlineStr">
        <is>
          <t>Thông báo &amp; Nhắn tin</t>
        </is>
      </c>
      <c r="C117" s="15" t="inlineStr">
        <is>
          <t>Thu hồi tin nhắn</t>
        </is>
      </c>
      <c r="D117" s="15" t="inlineStr">
        <is>
          <t>Thu hồi tin không tồn tại -&gt; 404</t>
        </is>
      </c>
      <c r="E117" s="15" t="inlineStr">
        <is>
          <t>Chức năng</t>
        </is>
      </c>
      <c r="F117" s="17" t="inlineStr">
        <is>
          <t>Thấp</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7" s="15" t="inlineStr">
        <is>
          <t>1. member1: DELETE /api/messages/khong-ton-tai</t>
        </is>
      </c>
      <c r="K117" s="15" t="inlineStr">
        <is>
          <t>-</t>
        </is>
      </c>
      <c r="L117" s="15" t="inlineStr">
        <is>
          <t>404 "Không tìm thấy tin nhắn".</t>
        </is>
      </c>
      <c r="M117" s="15" t="inlineStr"/>
      <c r="N117" s="18" t="inlineStr">
        <is>
          <t>Chưa test</t>
        </is>
      </c>
      <c r="O117" s="15" t="inlineStr"/>
      <c r="P117" s="15" t="inlineStr"/>
      <c r="Q117" s="18" t="inlineStr">
        <is>
          <t>Chưa test</t>
        </is>
      </c>
      <c r="R117" s="15" t="inlineStr"/>
    </row>
    <row r="118" ht="30" customHeight="1">
      <c r="A118" s="14" t="inlineStr">
        <is>
          <t>TC-NOTI-117</t>
        </is>
      </c>
      <c r="B118" s="15" t="inlineStr">
        <is>
          <t>Thông báo &amp; Nhắn tin</t>
        </is>
      </c>
      <c r="C118" s="15" t="inlineStr">
        <is>
          <t>Thu hồi tin nhắn</t>
        </is>
      </c>
      <c r="D118" s="15" t="inlineStr">
        <is>
          <t>Thu hồi lại tin đã thu hồi (seed-msg-5) là idempotent</t>
        </is>
      </c>
      <c r="E118" s="15" t="inlineStr">
        <is>
          <t>Chức năng</t>
        </is>
      </c>
      <c r="F118" s="17" t="inlineStr">
        <is>
          <t>Thấp</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member1: DELETE /api/messages/seed-msg-5 (đã thu hồi từ seed)</t>
        </is>
      </c>
      <c r="K118" s="15" t="inlineStr">
        <is>
          <t>seed-msg-5</t>
        </is>
      </c>
      <c r="L118" s="15" t="inlineStr">
        <is>
          <t>200 với MessageView deleted=true (theo code không kiểm tra trạng thái đã thu hồi; chưa chốt có nên trả lỗi).</t>
        </is>
      </c>
      <c r="M118" s="15" t="inlineStr"/>
      <c r="N118" s="18" t="inlineStr">
        <is>
          <t>Chưa test</t>
        </is>
      </c>
      <c r="O118" s="15" t="inlineStr"/>
      <c r="P118" s="15" t="inlineStr"/>
      <c r="Q118" s="18" t="inlineStr">
        <is>
          <t>Chưa test</t>
        </is>
      </c>
      <c r="R118" s="15" t="inlineStr"/>
    </row>
    <row r="119" ht="45" customHeight="1">
      <c r="A119" s="14" t="inlineStr">
        <is>
          <t>TC-NOTI-118</t>
        </is>
      </c>
      <c r="B119" s="15" t="inlineStr">
        <is>
          <t>Thông báo &amp; Nhắn tin</t>
        </is>
      </c>
      <c r="C119" s="15" t="inlineStr">
        <is>
          <t>Thu hồi tin nhắn</t>
        </is>
      </c>
      <c r="D119" s="15" t="inlineStr">
        <is>
          <t>Thu hồi qua UI: rê chuột, bấm ↩, xác nhận, cả hai phía thấy "Tin nhắn đã bị thu hồi"</t>
        </is>
      </c>
      <c r="E119" s="15" t="inlineStr">
        <is>
          <t>Chức năng</t>
        </is>
      </c>
      <c r="F119" s="16" t="inlineStr">
        <is>
          <t>Cao</t>
        </is>
      </c>
      <c r="G119" s="17" t="inlineStr">
        <is>
          <t>Đã hoàn thiện</t>
        </is>
      </c>
      <c r="H119" s="20" t="inlineStr">
        <is>
          <t>Một phần</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19" s="15" t="inlineStr">
        <is>
          <t>1. member1 rê chuột lên tin "Mình sẽ gửi danh sách địa điểm sau."
2. Bấm biểu tượng ↩ và xác nhận
3. Quan sát cửa sổ member2 (không F5)</t>
        </is>
      </c>
      <c r="K119" s="15" t="inlineStr">
        <is>
          <t>seed-msg-8</t>
        </is>
      </c>
      <c r="L119" s="15" t="inlineStr">
        <is>
          <t>Tin đổi thành "Tin nhắn đã bị thu hồi" ở cả hai cửa sổ (SSE message_deleted); badge chưa đọc của member2 giảm.</t>
        </is>
      </c>
      <c r="M119" s="15" t="inlineStr"/>
      <c r="N119" s="18" t="inlineStr">
        <is>
          <t>Chưa test</t>
        </is>
      </c>
      <c r="O119" s="15" t="inlineStr"/>
      <c r="P119" s="15" t="inlineStr"/>
      <c r="Q119" s="18" t="inlineStr">
        <is>
          <t>Chưa test</t>
        </is>
      </c>
      <c r="R119" s="15" t="inlineStr"/>
    </row>
    <row r="120" ht="30" customHeight="1">
      <c r="A120" s="14" t="inlineStr">
        <is>
          <t>TC-NOTI-119</t>
        </is>
      </c>
      <c r="B120" s="15" t="inlineStr">
        <is>
          <t>Thông báo &amp; Nhắn tin</t>
        </is>
      </c>
      <c r="C120" s="15" t="inlineStr">
        <is>
          <t>Đánh dấu đã đọc</t>
        </is>
      </c>
      <c r="D120" s="15" t="inlineStr">
        <is>
          <t>member2 đánh dấu đã đọc: unreadCount về 0</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/api/conversations/seed-conv-member1-member2/read
2. GET /api/messages/unread-count</t>
        </is>
      </c>
      <c r="K120" s="15" t="inlineStr">
        <is>
          <t>-</t>
        </is>
      </c>
      <c r="L120" s="15" t="inlineStr">
        <is>
          <t>200 {data:{unreadCount:0}}; unread-count tổng = 0; gọi lần 2 vẫn 200 (idempotent).</t>
        </is>
      </c>
      <c r="M120" s="15" t="inlineStr"/>
      <c r="N120" s="18" t="inlineStr">
        <is>
          <t>Chưa test</t>
        </is>
      </c>
      <c r="O120" s="15" t="inlineStr"/>
      <c r="P120" s="15" t="inlineStr"/>
      <c r="Q120" s="18" t="inlineStr">
        <is>
          <t>Chưa test</t>
        </is>
      </c>
      <c r="R120" s="15" t="inlineStr"/>
    </row>
    <row r="121" ht="30" customHeight="1">
      <c r="A121" s="14" t="inlineStr">
        <is>
          <t>TC-NOTI-120</t>
        </is>
      </c>
      <c r="B121" s="15" t="inlineStr">
        <is>
          <t>Thông báo &amp; Nhắn tin</t>
        </is>
      </c>
      <c r="C121" s="15" t="inlineStr">
        <is>
          <t>Đánh dấu đã đọc</t>
        </is>
      </c>
      <c r="D121" s="15" t="inlineStr">
        <is>
          <t>Gửi tin cũng coi là đã đọc tới tin đó</t>
        </is>
      </c>
      <c r="E121" s="15" t="inlineStr">
        <is>
          <t>Chức năng</t>
        </is>
      </c>
      <c r="F121" s="20" t="inlineStr">
        <is>
          <t>Trung bình</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member2 (đang chưa đọc 3 tin) gửi 1 tin trả lời
2. member2: GET /api/conversations</t>
        </is>
      </c>
      <c r="K121" s="15" t="inlineStr">
        <is>
          <t>content="Có nhé!"</t>
        </is>
      </c>
      <c r="L121" s="15" t="inlineStr">
        <is>
          <t>Sau khi gửi, unreadCount phía member2 = 0 (readSeq tiến tới tin vừa gửi); phía member1 unreadCount = 1.</t>
        </is>
      </c>
      <c r="M121" s="15" t="inlineStr"/>
      <c r="N121" s="18" t="inlineStr">
        <is>
          <t>Chưa test</t>
        </is>
      </c>
      <c r="O121" s="15" t="inlineStr"/>
      <c r="P121" s="15" t="inlineStr"/>
      <c r="Q121" s="18" t="inlineStr">
        <is>
          <t>Chưa test</t>
        </is>
      </c>
      <c r="R121" s="15" t="inlineStr"/>
    </row>
    <row r="122" ht="30" customHeight="1">
      <c r="A122" s="14" t="inlineStr">
        <is>
          <t>TC-NOTI-121</t>
        </is>
      </c>
      <c r="B122" s="15" t="inlineStr">
        <is>
          <t>Thông báo &amp; Nhắn tin</t>
        </is>
      </c>
      <c r="C122" s="15" t="inlineStr">
        <is>
          <t>Đánh dấu đã đọc</t>
        </is>
      </c>
      <c r="D122" s="15" t="inlineStr">
        <is>
          <t>Người thứ ba không đánh dấu đọc được -&gt; 404</t>
        </is>
      </c>
      <c r="E122" s="15" t="inlineStr">
        <is>
          <t>Bảo mật</t>
        </is>
      </c>
      <c r="F122" s="20" t="inlineStr">
        <is>
          <t>Trung bình</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member3: POST /api/conversations/seed-conv-member1-member2/read</t>
        </is>
      </c>
      <c r="K122" s="15" t="inlineStr">
        <is>
          <t>-</t>
        </is>
      </c>
      <c r="L122" s="15" t="inlineStr">
        <is>
          <t>404 NOT_FOUND, message "Không tìm thấy cuộc trò chuyện".</t>
        </is>
      </c>
      <c r="M122" s="15" t="inlineStr"/>
      <c r="N122" s="18" t="inlineStr">
        <is>
          <t>Chưa test</t>
        </is>
      </c>
      <c r="O122" s="15" t="inlineStr"/>
      <c r="P122" s="15" t="inlineStr"/>
      <c r="Q122" s="18" t="inlineStr">
        <is>
          <t>Chưa test</t>
        </is>
      </c>
      <c r="R122" s="15" t="inlineStr"/>
    </row>
    <row r="123" ht="45" customHeight="1">
      <c r="A123" s="14" t="inlineStr">
        <is>
          <t>TC-NOTI-122</t>
        </is>
      </c>
      <c r="B123" s="15" t="inlineStr">
        <is>
          <t>Thông báo &amp; Nhắn tin</t>
        </is>
      </c>
      <c r="C123" s="15" t="inlineStr">
        <is>
          <t>Đánh dấu đã đọc</t>
        </is>
      </c>
      <c r="D123" s="15" t="inlineStr">
        <is>
          <t>Mở cuộc trò chuyện trên UI gọi /read và đưa badge tin nhắn về 0</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Đăng nhập member2, thấy badge tin nhắn = 3
2. Mở /messages/seed-conv-member1-member2
3. Quan sát badge và Network</t>
        </is>
      </c>
      <c r="K123" s="15" t="inlineStr">
        <is>
          <t>-</t>
        </is>
      </c>
      <c r="L123" s="15" t="inlineStr">
        <is>
          <t>Có request POST /conversations/seed-conv-member1-member2/read; badge = 0; hội thoại mất chấm chưa đọc.</t>
        </is>
      </c>
      <c r="M123" s="15" t="inlineStr"/>
      <c r="N123" s="18" t="inlineStr">
        <is>
          <t>Chưa test</t>
        </is>
      </c>
      <c r="O123" s="15" t="inlineStr"/>
      <c r="P123" s="15" t="inlineStr"/>
      <c r="Q123" s="18" t="inlineStr">
        <is>
          <t>Chưa test</t>
        </is>
      </c>
      <c r="R123" s="15" t="inlineStr"/>
    </row>
    <row r="124" ht="30" customHeight="1">
      <c r="A124" s="14" t="inlineStr">
        <is>
          <t>TC-NOTI-123</t>
        </is>
      </c>
      <c r="B124" s="15" t="inlineStr">
        <is>
          <t>Thông báo &amp; Nhắn tin</t>
        </is>
      </c>
      <c r="C124" s="15" t="inlineStr">
        <is>
          <t>Tệp đính kèm tin nhắn</t>
        </is>
      </c>
      <c r="D124" s="15" t="inlineStr">
        <is>
          <t>Gửi tin kèm ảnh: contentType và size lấy từ server</t>
        </is>
      </c>
      <c r="E124" s="15" t="inlineStr">
        <is>
          <t>Chức năng</t>
        </is>
      </c>
      <c r="F124" s="16" t="inlineStr">
        <is>
          <t>Cao</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24" s="15" t="inlineStr">
        <is>
          <t>1. POST .../messages body {"content":"Ảnh đây","attachments":[{"url":"&lt;fileUrl&gt;","name":"a.png","contentType":"application/x-fake","size":1}]}</t>
        </is>
      </c>
      <c r="K124" s="15" t="inlineStr">
        <is>
          <t>contentType/size khai gian</t>
        </is>
      </c>
      <c r="L124" s="15" t="inlineStr">
        <is>
          <t>201; attachments[0].contentType="image/png" và size = dung lượng thật đã upload (không dùng giá trị client khai); url = fileUrl.</t>
        </is>
      </c>
      <c r="M124" s="15" t="inlineStr"/>
      <c r="N124" s="18" t="inlineStr">
        <is>
          <t>Chưa test</t>
        </is>
      </c>
      <c r="O124" s="15" t="inlineStr"/>
      <c r="P124" s="15" t="inlineStr"/>
      <c r="Q124" s="18" t="inlineStr">
        <is>
          <t>Chưa test</t>
        </is>
      </c>
      <c r="R124" s="15" t="inlineStr"/>
    </row>
    <row r="125" ht="30" customHeight="1">
      <c r="A125" s="14" t="inlineStr">
        <is>
          <t>TC-NOTI-124</t>
        </is>
      </c>
      <c r="B125" s="15" t="inlineStr">
        <is>
          <t>Thông báo &amp; Nhắn tin</t>
        </is>
      </c>
      <c r="C125" s="15" t="inlineStr">
        <is>
          <t>Tệp đính kèm tin nhắn</t>
        </is>
      </c>
      <c r="D125" s="15" t="inlineStr">
        <is>
          <t>Tối đa 5 tệp/tin: 5 được, 6 bị từ chối</t>
        </is>
      </c>
      <c r="E125" s="15" t="inlineStr">
        <is>
          <t>Chức năng</t>
        </is>
      </c>
      <c r="F125" s="20" t="inlineStr">
        <is>
          <t>Trung bình</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25" s="15" t="inlineStr">
        <is>
          <t>1. POST với 5 attachments
2. POST với 6 attachments</t>
        </is>
      </c>
      <c r="K125" s="15" t="inlineStr">
        <is>
          <t>5 / 6 tệp</t>
        </is>
      </c>
      <c r="L125" s="15" t="inlineStr">
        <is>
          <t>5 tệp: 201; 6 tệp: 400 VALIDATION_ERROR, message "Tham số không hợp lệ" ("Tối đa 5 tệp đính kèm").</t>
        </is>
      </c>
      <c r="M125" s="15" t="inlineStr"/>
      <c r="N125" s="18" t="inlineStr">
        <is>
          <t>Chưa test</t>
        </is>
      </c>
      <c r="O125" s="15" t="inlineStr"/>
      <c r="P125" s="15" t="inlineStr"/>
      <c r="Q125" s="18" t="inlineStr">
        <is>
          <t>Chưa test</t>
        </is>
      </c>
      <c r="R125" s="15" t="inlineStr"/>
    </row>
    <row r="126" ht="30" customHeight="1">
      <c r="A126" s="14" t="inlineStr">
        <is>
          <t>TC-NOTI-125</t>
        </is>
      </c>
      <c r="B126" s="15" t="inlineStr">
        <is>
          <t>Thông báo &amp; Nhắn tin</t>
        </is>
      </c>
      <c r="C126" s="15" t="inlineStr">
        <is>
          <t>Tệp đính kèm tin nhắn</t>
        </is>
      </c>
      <c r="D126" s="15" t="inlineStr">
        <is>
          <t>URL đính kèm ngoài hệ thống bị từ chối</t>
        </is>
      </c>
      <c r="E126" s="15" t="inlineStr">
        <is>
          <t>Bảo mật</t>
        </is>
      </c>
      <c r="F126" s="16" t="inlineStr">
        <is>
          <t>Cao</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POST attachments url "https://evil.example.com/a.png"
2. POST attachments url "/api/files/../../etc/passwd"</t>
        </is>
      </c>
      <c r="K126" s="15" t="inlineStr">
        <is>
          <t>url ngoài / traversal</t>
        </is>
      </c>
      <c r="L126" s="15" t="inlineStr">
        <is>
          <t>Cả hai 400 VALIDATION_ERROR, message "Tham số không hợp lệ" (message trường "Tệp đính kèm không hợp lệ"); tin không được tạo.</t>
        </is>
      </c>
      <c r="M126" s="15" t="inlineStr"/>
      <c r="N126" s="18" t="inlineStr">
        <is>
          <t>Chưa test</t>
        </is>
      </c>
      <c r="O126" s="15" t="inlineStr"/>
      <c r="P126" s="15" t="inlineStr"/>
      <c r="Q126" s="18" t="inlineStr">
        <is>
          <t>Chưa test</t>
        </is>
      </c>
      <c r="R126" s="15" t="inlineStr"/>
    </row>
    <row r="127" ht="30" customHeight="1">
      <c r="A127" s="14" t="inlineStr">
        <is>
          <t>TC-NOTI-126</t>
        </is>
      </c>
      <c r="B127" s="15" t="inlineStr">
        <is>
          <t>Thông báo &amp; Nhắn tin</t>
        </is>
      </c>
      <c r="C127" s="15" t="inlineStr">
        <is>
          <t>Tệp đính kèm tin nhắn</t>
        </is>
      </c>
      <c r="D127" s="15" t="inlineStr">
        <is>
          <t>Đính kèm file của người khác (hoặc chưa PUT xong) bị từ chối</t>
        </is>
      </c>
      <c r="E127" s="15" t="inlineStr">
        <is>
          <t>Bảo mật</t>
        </is>
      </c>
      <c r="F127" s="16" t="inlineStr">
        <is>
          <t>Cao</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27" s="15" t="inlineStr">
        <is>
          <t>1. member1 gửi tin đính kèm url file của member2
2. member1 gửi tin đính kèm url file chưa PUT</t>
        </is>
      </c>
      <c r="K127" s="15" t="inlineStr">
        <is>
          <t>2 url</t>
        </is>
      </c>
      <c r="L127" s="15" t="inlineStr">
        <is>
          <t>Cả hai 400 BAD_REQUEST, message "Tệp đính kèm không hợp lệ hoặc không thuộc về bạn".</t>
        </is>
      </c>
      <c r="M127" s="15" t="inlineStr"/>
      <c r="N127" s="18" t="inlineStr">
        <is>
          <t>Chưa test</t>
        </is>
      </c>
      <c r="O127" s="15" t="inlineStr"/>
      <c r="P127" s="15" t="inlineStr"/>
      <c r="Q127" s="18" t="inlineStr">
        <is>
          <t>Chưa test</t>
        </is>
      </c>
      <c r="R127" s="15" t="inlineStr"/>
    </row>
    <row r="128" ht="30" customHeight="1">
      <c r="A128" s="14" t="inlineStr">
        <is>
          <t>TC-NOTI-127</t>
        </is>
      </c>
      <c r="B128" s="15" t="inlineStr">
        <is>
          <t>Thông báo &amp; Nhắn tin</t>
        </is>
      </c>
      <c r="C128" s="15" t="inlineStr">
        <is>
          <t>Tệp đính kèm tin nhắn</t>
        </is>
      </c>
      <c r="D128" s="15" t="inlineStr">
        <is>
          <t>Thu hồi tin có đính kèm xóa luôn tham chiếu đính kèm</t>
        </is>
      </c>
      <c r="E128" s="15" t="inlineStr">
        <is>
          <t>Chức năng</t>
        </is>
      </c>
      <c r="F128" s="20" t="inlineStr">
        <is>
          <t>Trung bình</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28" s="15" t="inlineStr">
        <is>
          <t>1. DELETE /api/messages/&lt;id tin có ảnh&gt;
2. GET lịch sử</t>
        </is>
      </c>
      <c r="K128" s="15" t="inlineStr">
        <is>
          <t>-</t>
        </is>
      </c>
      <c r="L128" s="15" t="inlineStr">
        <is>
          <t>Tin trả về attachments=[] và content "Tin nhắn đã bị thu hồi", deleted=true.</t>
        </is>
      </c>
      <c r="M128" s="15" t="inlineStr"/>
      <c r="N128" s="18" t="inlineStr">
        <is>
          <t>Chưa test</t>
        </is>
      </c>
      <c r="O128" s="15" t="inlineStr"/>
      <c r="P128" s="15" t="inlineStr"/>
      <c r="Q128" s="18" t="inlineStr">
        <is>
          <t>Chưa test</t>
        </is>
      </c>
      <c r="R128" s="15" t="inlineStr"/>
    </row>
    <row r="129" ht="45" customHeight="1">
      <c r="A129" s="14" t="inlineStr">
        <is>
          <t>TC-NOTI-128</t>
        </is>
      </c>
      <c r="B129" s="15" t="inlineStr">
        <is>
          <t>Thông báo &amp; Nhắn tin</t>
        </is>
      </c>
      <c r="C129" s="15" t="inlineStr">
        <is>
          <t>Tệp đính kèm tin nhắn</t>
        </is>
      </c>
      <c r="D129" s="15" t="inlineStr">
        <is>
          <t>UI: chỉ gửi tệp (không gõ chữ) thì nội dung tự là "Đã gửi N tệp đính kèm"</t>
        </is>
      </c>
      <c r="E129" s="15" t="inlineStr">
        <is>
          <t>Chức năng</t>
        </is>
      </c>
      <c r="F129" s="20" t="inlineStr">
        <is>
          <t>Trung bình</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Mở /messages/seed-conv-member1-member2
2. Bấm biểu tượng ghim, chọn 2 ảnh png
3. Bấm gửi khi ô nhập trống</t>
        </is>
      </c>
      <c r="K129" s="15" t="inlineStr">
        <is>
          <t>2 ảnh</t>
        </is>
      </c>
      <c r="L129" s="15" t="inlineStr">
        <is>
          <t>Tin hiển thị 2 thumbnail và nội dung "Đã gửi 2 tệp đính kèm" (BE bắt buộc content ≥ 1 ký tự); file khác (pdf/zip) hiển thị dạng link tải.</t>
        </is>
      </c>
      <c r="M129" s="15" t="inlineStr"/>
      <c r="N129" s="18" t="inlineStr">
        <is>
          <t>Chưa test</t>
        </is>
      </c>
      <c r="O129" s="15" t="inlineStr"/>
      <c r="P129" s="15" t="inlineStr"/>
      <c r="Q129" s="18" t="inlineStr">
        <is>
          <t>Chưa test</t>
        </is>
      </c>
      <c r="R129" s="15" t="inlineStr"/>
    </row>
    <row r="130" ht="30" customHeight="1">
      <c r="A130" s="14" t="inlineStr">
        <is>
          <t>TC-NOTI-129</t>
        </is>
      </c>
      <c r="B130" s="15" t="inlineStr">
        <is>
          <t>Thông báo &amp; Nhắn tin</t>
        </is>
      </c>
      <c r="C130" s="15" t="inlineStr">
        <is>
          <t>Tệp đính kèm tin nhắn</t>
        </is>
      </c>
      <c r="D130" s="15" t="inlineStr">
        <is>
          <t>UI: tệp sai loại hoặc quá lớn báo lỗi trước khi upload</t>
        </is>
      </c>
      <c r="E130" s="15" t="inlineStr">
        <is>
          <t>Chức năng</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Ghim và chọn file .exe
2. Ghim và chọn file 30MB (zip)</t>
        </is>
      </c>
      <c r="K130" s="15" t="inlineStr">
        <is>
          <t>.exe, zip 30MB</t>
        </is>
      </c>
      <c r="L130" s="15" t="inlineStr">
        <is>
          <t>FE báo lỗi tiếng Việt ngay, không gửi request PUT; tin không được gửi.</t>
        </is>
      </c>
      <c r="M130" s="15" t="inlineStr"/>
      <c r="N130" s="18" t="inlineStr">
        <is>
          <t>Chưa test</t>
        </is>
      </c>
      <c r="O130" s="15" t="inlineStr"/>
      <c r="P130" s="15" t="inlineStr"/>
      <c r="Q130" s="18" t="inlineStr">
        <is>
          <t>Chưa test</t>
        </is>
      </c>
      <c r="R130" s="15" t="inlineStr"/>
    </row>
    <row r="131" ht="30" customHeight="1">
      <c r="A131" s="14" t="inlineStr">
        <is>
          <t>TC-NOTI-130</t>
        </is>
      </c>
      <c r="B131" s="15" t="inlineStr">
        <is>
          <t>Thông báo &amp; Nhắn tin</t>
        </is>
      </c>
      <c r="C131" s="15" t="inlineStr">
        <is>
          <t>Chặn / bỏ chặn người dùng</t>
        </is>
      </c>
      <c r="D131" s="15" t="inlineStr">
        <is>
          <t>member3 đã chặn member2 (seed): member2 mở hội thoại với member3 -&gt; 403</t>
        </is>
      </c>
      <c r="E131" s="15" t="inlineStr">
        <is>
          <t>Chức năng</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member2: POST /api/conversations body {"userId":"&lt;id member3&gt;"}</t>
        </is>
      </c>
      <c r="K131" s="15" t="inlineStr">
        <is>
          <t>member2 -&gt; member3</t>
        </is>
      </c>
      <c r="L131" s="15" t="inlineStr">
        <is>
          <t>403 FORBIDDEN, message "Bạn không thể nhắn tin cho người dùng này".</t>
        </is>
      </c>
      <c r="M131" s="15" t="inlineStr"/>
      <c r="N131" s="18" t="inlineStr">
        <is>
          <t>Chưa test</t>
        </is>
      </c>
      <c r="O131" s="15" t="inlineStr"/>
      <c r="P131" s="15" t="inlineStr"/>
      <c r="Q131" s="18" t="inlineStr">
        <is>
          <t>Chưa test</t>
        </is>
      </c>
      <c r="R131" s="15" t="inlineStr"/>
    </row>
    <row r="132" ht="30" customHeight="1">
      <c r="A132" s="14" t="inlineStr">
        <is>
          <t>TC-NOTI-131</t>
        </is>
      </c>
      <c r="B132" s="15" t="inlineStr">
        <is>
          <t>Thông báo &amp; Nhắn tin</t>
        </is>
      </c>
      <c r="C132" s="15" t="inlineStr">
        <is>
          <t>Chặn / bỏ chặn người dùng</t>
        </is>
      </c>
      <c r="D132" s="15" t="inlineStr">
        <is>
          <t>member3 bỏ chặn member2 thì member2 nhắn lại được</t>
        </is>
      </c>
      <c r="E132" s="15" t="inlineStr">
        <is>
          <t>Chức năng</t>
        </is>
      </c>
      <c r="F132" s="16" t="inlineStr">
        <is>
          <t>Cao</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member3: DELETE /api/users/&lt;id member2&gt;/block
2. member2: POST /api/conversations {userId: member3}</t>
        </is>
      </c>
      <c r="K132" s="15" t="inlineStr">
        <is>
          <t>-</t>
        </is>
      </c>
      <c r="L132" s="15" t="inlineStr">
        <is>
          <t>Bước 1: 200 {data:{blocked:false}}; bước 2: 201 tạo hội thoại; member2 gửi tin 201.</t>
        </is>
      </c>
      <c r="M132" s="15" t="inlineStr"/>
      <c r="N132" s="18" t="inlineStr">
        <is>
          <t>Chưa test</t>
        </is>
      </c>
      <c r="O132" s="15" t="inlineStr"/>
      <c r="P132" s="15" t="inlineStr"/>
      <c r="Q132" s="18" t="inlineStr">
        <is>
          <t>Chưa test</t>
        </is>
      </c>
      <c r="R132" s="15" t="inlineStr"/>
    </row>
    <row r="133" ht="45" customHeight="1">
      <c r="A133" s="14" t="inlineStr">
        <is>
          <t>TC-NOTI-132</t>
        </is>
      </c>
      <c r="B133" s="15" t="inlineStr">
        <is>
          <t>Thông báo &amp; Nhắn tin</t>
        </is>
      </c>
      <c r="C133" s="15" t="inlineStr">
        <is>
          <t>Chặn / bỏ chặn người dùng</t>
        </is>
      </c>
      <c r="D133" s="15" t="inlineStr">
        <is>
          <t>Chặn có hiệu lực hai chiều: cả người chặn và bị chặn đều không gửi được</t>
        </is>
      </c>
      <c r="E133" s="15" t="inlineStr">
        <is>
          <t>Chức năng</t>
        </is>
      </c>
      <c r="F133" s="16" t="inlineStr">
        <is>
          <t>Cao</t>
        </is>
      </c>
      <c r="G133" s="17" t="inlineStr">
        <is>
          <t>Đã hoàn thiện</t>
        </is>
      </c>
      <c r="H133" s="17" t="inlineStr">
        <is>
          <t>Có</t>
        </is>
      </c>
      <c r="I13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3" s="15" t="inlineStr">
        <is>
          <t>1. member1: POST /api/users/&lt;id member2&gt;/block
2. member2: POST .../seed-conv-member1-member2/messages
3. member1: POST .../seed-conv-member1-member2/messages</t>
        </is>
      </c>
      <c r="K133" s="15" t="inlineStr">
        <is>
          <t>-</t>
        </is>
      </c>
      <c r="L133" s="15" t="inlineStr">
        <is>
          <t>Bước 1: 200 {blocked:true}; bước 2 và 3 đều 403 "Bạn không thể nhắn tin cho người dùng này" (lỗi chung, không tiết lộ ai chặn ai).</t>
        </is>
      </c>
      <c r="M133" s="15" t="inlineStr"/>
      <c r="N133" s="18" t="inlineStr">
        <is>
          <t>Chưa test</t>
        </is>
      </c>
      <c r="O133" s="15" t="inlineStr"/>
      <c r="P133" s="15" t="inlineStr"/>
      <c r="Q133" s="18" t="inlineStr">
        <is>
          <t>Chưa test</t>
        </is>
      </c>
      <c r="R133" s="15" t="inlineStr"/>
    </row>
    <row r="134" ht="45" customHeight="1">
      <c r="A134" s="14" t="inlineStr">
        <is>
          <t>TC-NOTI-133</t>
        </is>
      </c>
      <c r="B134" s="15" t="inlineStr">
        <is>
          <t>Thông báo &amp; Nhắn tin</t>
        </is>
      </c>
      <c r="C134" s="15" t="inlineStr">
        <is>
          <t>Chặn / bỏ chặn người dùng</t>
        </is>
      </c>
      <c r="D134" s="15" t="inlineStr">
        <is>
          <t>Người chặn vẫn đọc được lịch sử; hội thoại có blockedByMe=true</t>
        </is>
      </c>
      <c r="E134" s="15" t="inlineStr">
        <is>
          <t>Chức năng</t>
        </is>
      </c>
      <c r="F134" s="20" t="inlineStr">
        <is>
          <t>Trung bình</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chặn member2
2. member1: GET .../messages
3. member1: GET /api/conversations</t>
        </is>
      </c>
      <c r="K134" s="15" t="inlineStr">
        <is>
          <t>-</t>
        </is>
      </c>
      <c r="L134" s="15" t="inlineStr">
        <is>
          <t>Lịch sử 8 tin vẫn trả 200; conversation của member1 có blockedByMe=true.</t>
        </is>
      </c>
      <c r="M134" s="15" t="inlineStr"/>
      <c r="N134" s="18" t="inlineStr">
        <is>
          <t>Chưa test</t>
        </is>
      </c>
      <c r="O134" s="15" t="inlineStr"/>
      <c r="P134" s="15" t="inlineStr"/>
      <c r="Q134" s="18" t="inlineStr">
        <is>
          <t>Chưa test</t>
        </is>
      </c>
      <c r="R134" s="15" t="inlineStr"/>
    </row>
    <row r="135" ht="30" customHeight="1">
      <c r="A135" s="14" t="inlineStr">
        <is>
          <t>TC-NOTI-134</t>
        </is>
      </c>
      <c r="B135" s="15" t="inlineStr">
        <is>
          <t>Thông báo &amp; Nhắn tin</t>
        </is>
      </c>
      <c r="C135" s="15" t="inlineStr">
        <is>
          <t>Chặn / bỏ chặn người dùng</t>
        </is>
      </c>
      <c r="D135" s="15" t="inlineStr">
        <is>
          <t>Chặn là idempotent; GET /me/blocks liệt kê</t>
        </is>
      </c>
      <c r="E135" s="15" t="inlineStr">
        <is>
          <t>Chức năng</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member1: POST block member2 hai lần
2. GET /api/me/blocks</t>
        </is>
      </c>
      <c r="K135" s="15" t="inlineStr">
        <is>
          <t>-</t>
        </is>
      </c>
      <c r="L135" s="15" t="inlineStr">
        <is>
          <t>Cả hai lần 200 blocked:true; /me/blocks có đúng 1 phần tử {id:member2, name, blockedAt}, không trùng.</t>
        </is>
      </c>
      <c r="M135" s="15" t="inlineStr"/>
      <c r="N135" s="18" t="inlineStr">
        <is>
          <t>Chưa test</t>
        </is>
      </c>
      <c r="O135" s="15" t="inlineStr"/>
      <c r="P135" s="15" t="inlineStr"/>
      <c r="Q135" s="18" t="inlineStr">
        <is>
          <t>Chưa test</t>
        </is>
      </c>
      <c r="R135" s="15" t="inlineStr"/>
    </row>
    <row r="136" ht="30" customHeight="1">
      <c r="A136" s="14" t="inlineStr">
        <is>
          <t>TC-NOTI-135</t>
        </is>
      </c>
      <c r="B136" s="15" t="inlineStr">
        <is>
          <t>Thông báo &amp; Nhắn tin</t>
        </is>
      </c>
      <c r="C136" s="15" t="inlineStr">
        <is>
          <t>Chặn / bỏ chặn người dùng</t>
        </is>
      </c>
      <c r="D136" s="15" t="inlineStr">
        <is>
          <t>Bỏ chặn người chưa chặn -&gt; vẫn 200 (idempotent)</t>
        </is>
      </c>
      <c r="E136" s="15" t="inlineStr">
        <is>
          <t>Chức năng</t>
        </is>
      </c>
      <c r="F136" s="17" t="inlineStr">
        <is>
          <t>Thấp</t>
        </is>
      </c>
      <c r="G136" s="17" t="inlineStr">
        <is>
          <t>Đã hoàn thiện</t>
        </is>
      </c>
      <c r="H136" s="17" t="inlineStr">
        <is>
          <t>Có</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6" s="15" t="inlineStr">
        <is>
          <t>1. member1: DELETE /api/users/&lt;id member3&gt;/block</t>
        </is>
      </c>
      <c r="K136" s="15" t="inlineStr">
        <is>
          <t>-</t>
        </is>
      </c>
      <c r="L136" s="15" t="inlineStr">
        <is>
          <t>200 {data:{blocked:false}}.</t>
        </is>
      </c>
      <c r="M136" s="15" t="inlineStr"/>
      <c r="N136" s="18" t="inlineStr">
        <is>
          <t>Chưa test</t>
        </is>
      </c>
      <c r="O136" s="15" t="inlineStr"/>
      <c r="P136" s="15" t="inlineStr"/>
      <c r="Q136" s="18" t="inlineStr">
        <is>
          <t>Chưa test</t>
        </is>
      </c>
      <c r="R136" s="15" t="inlineStr"/>
    </row>
    <row r="137" ht="30" customHeight="1">
      <c r="A137" s="14" t="inlineStr">
        <is>
          <t>TC-NOTI-136</t>
        </is>
      </c>
      <c r="B137" s="15" t="inlineStr">
        <is>
          <t>Thông báo &amp; Nhắn tin</t>
        </is>
      </c>
      <c r="C137" s="15" t="inlineStr">
        <is>
          <t>Chặn / bỏ chặn người dùng</t>
        </is>
      </c>
      <c r="D137" s="15" t="inlineStr">
        <is>
          <t>Không chặn được chính mình / user không tồn tại</t>
        </is>
      </c>
      <c r="E137" s="15" t="inlineStr">
        <is>
          <t>Chức năng</t>
        </is>
      </c>
      <c r="F137" s="20" t="inlineStr">
        <is>
          <t>Trung bình</t>
        </is>
      </c>
      <c r="G137" s="17" t="inlineStr">
        <is>
          <t>Đã hoàn thiện</t>
        </is>
      </c>
      <c r="H137" s="17" t="inlineStr">
        <is>
          <t>Có</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POST /api/users/&lt;id member1&gt;/block
2. POST /api/users/khong-ton-tai/block</t>
        </is>
      </c>
      <c r="K137" s="15" t="inlineStr">
        <is>
          <t>-</t>
        </is>
      </c>
      <c r="L137" s="15" t="inlineStr">
        <is>
          <t>Lần 1: 400 "Bạn không thể chặn chính mình"; lần 2: 404 "Không tìm thấy người dùng".</t>
        </is>
      </c>
      <c r="M137" s="15" t="inlineStr"/>
      <c r="N137" s="18" t="inlineStr">
        <is>
          <t>Chưa test</t>
        </is>
      </c>
      <c r="O137" s="15" t="inlineStr"/>
      <c r="P137" s="15" t="inlineStr"/>
      <c r="Q137" s="18" t="inlineStr">
        <is>
          <t>Chưa test</t>
        </is>
      </c>
      <c r="R137" s="15" t="inlineStr"/>
    </row>
    <row r="138" ht="60" customHeight="1">
      <c r="A138" s="14" t="inlineStr">
        <is>
          <t>TC-NOTI-137</t>
        </is>
      </c>
      <c r="B138" s="15" t="inlineStr">
        <is>
          <t>Thông báo &amp; Nhắn tin</t>
        </is>
      </c>
      <c r="C138" s="15" t="inlineStr">
        <is>
          <t>Chặn / bỏ chặn người dùng</t>
        </is>
      </c>
      <c r="D138" s="15" t="inlineStr">
        <is>
          <t>UI: nút Chặn (xác nhận) thay ô nhập bằng dòng "Bạn đã chặn…" và bỏ chặn từ danh sách</t>
        </is>
      </c>
      <c r="E138" s="15" t="inlineStr">
        <is>
          <t>Giao diện</t>
        </is>
      </c>
      <c r="F138" s="20" t="inlineStr">
        <is>
          <t>Trung bình</t>
        </is>
      </c>
      <c r="G138" s="17" t="inlineStr">
        <is>
          <t>Đã hoàn thiện</t>
        </is>
      </c>
      <c r="H138" s="17" t="inlineStr">
        <is>
          <t>Có</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member1 mở /messages/seed-conv-member1-member2
2. Bấm "Chặn" và xác nhận
3. Bấm biểu tượng khiên để mở "Người dùng đã chặn"
4. Bấm "Bỏ chặn"</t>
        </is>
      </c>
      <c r="K138" s="15" t="inlineStr">
        <is>
          <t>-</t>
        </is>
      </c>
      <c r="L138" s="15" t="inlineStr">
        <is>
          <t>Sau chặn ô nhập bị thay bằng dòng "Bạn đã chặn…"; danh sách chặn có member2; bỏ chặn xong ô nhập trở lại và gửi được tin.</t>
        </is>
      </c>
      <c r="M138" s="15" t="inlineStr"/>
      <c r="N138" s="18" t="inlineStr">
        <is>
          <t>Chưa test</t>
        </is>
      </c>
      <c r="O138" s="15" t="inlineStr"/>
      <c r="P138" s="15" t="inlineStr"/>
      <c r="Q138" s="18" t="inlineStr">
        <is>
          <t>Chưa test</t>
        </is>
      </c>
      <c r="R138" s="15" t="inlineStr"/>
    </row>
    <row r="139" ht="30" customHeight="1">
      <c r="A139" s="14" t="inlineStr">
        <is>
          <t>TC-NOTI-138</t>
        </is>
      </c>
      <c r="B139" s="15" t="inlineStr">
        <is>
          <t>Thông báo &amp; Nhắn tin</t>
        </is>
      </c>
      <c r="C139" s="15" t="inlineStr">
        <is>
          <t>Bảo mật tin nhắn (IDOR &amp; xác thực)</t>
        </is>
      </c>
      <c r="D139" s="15" t="inlineStr">
        <is>
          <t>IDOR đọc: member3 đọc lịch sử hội thoại của member1-member2 -&gt; 404</t>
        </is>
      </c>
      <c r="E139" s="15" t="inlineStr">
        <is>
          <t>Bảo mật</t>
        </is>
      </c>
      <c r="F139" s="16" t="inlineStr">
        <is>
          <t>Cao</t>
        </is>
      </c>
      <c r="G139" s="17" t="inlineStr">
        <is>
          <t>Đã hoàn thiện</t>
        </is>
      </c>
      <c r="H139" s="17" t="inlineStr">
        <is>
          <t>Có</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9" s="15" t="inlineStr">
        <is>
          <t>1. member3: GET /api/conversations/seed-conv-member1-member2/messages</t>
        </is>
      </c>
      <c r="K139" s="15" t="inlineStr">
        <is>
          <t>-</t>
        </is>
      </c>
      <c r="L139" s="15" t="inlineStr">
        <is>
          <t>404 NOT_FOUND, message "Không tìm thấy cuộc trò chuyện" (không phải 403); không rò nội dung.</t>
        </is>
      </c>
      <c r="M139" s="15" t="inlineStr"/>
      <c r="N139" s="18" t="inlineStr">
        <is>
          <t>Chưa test</t>
        </is>
      </c>
      <c r="O139" s="15" t="inlineStr"/>
      <c r="P139" s="15" t="inlineStr"/>
      <c r="Q139" s="18" t="inlineStr">
        <is>
          <t>Chưa test</t>
        </is>
      </c>
      <c r="R139" s="15" t="inlineStr"/>
    </row>
    <row r="140" ht="30" customHeight="1">
      <c r="A140" s="14" t="inlineStr">
        <is>
          <t>TC-NOTI-139</t>
        </is>
      </c>
      <c r="B140" s="15" t="inlineStr">
        <is>
          <t>Thông báo &amp; Nhắn tin</t>
        </is>
      </c>
      <c r="C140" s="15" t="inlineStr">
        <is>
          <t>Bảo mật tin nhắn (IDOR &amp; xác thực)</t>
        </is>
      </c>
      <c r="D140" s="15" t="inlineStr">
        <is>
          <t>IDOR gửi: member3 gửi tin vào hội thoại của người khác -&gt; 404</t>
        </is>
      </c>
      <c r="E140" s="15" t="inlineStr">
        <is>
          <t>Bảo mật</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0" s="15" t="inlineStr">
        <is>
          <t>1. member3: POST /api/conversations/seed-conv-member1-member2/messages body {"content":"xen ngang"}
2. member1: GET lịch sử</t>
        </is>
      </c>
      <c r="K140" s="15" t="inlineStr">
        <is>
          <t>-</t>
        </is>
      </c>
      <c r="L140" s="15" t="inlineStr">
        <is>
          <t>404 NOT_FOUND, message "Không tìm thấy cuộc trò chuyện"; lịch sử vẫn 8 tin (không có "xen ngang").</t>
        </is>
      </c>
      <c r="M140" s="15" t="inlineStr"/>
      <c r="N140" s="18" t="inlineStr">
        <is>
          <t>Chưa test</t>
        </is>
      </c>
      <c r="O140" s="15" t="inlineStr"/>
      <c r="P140" s="15" t="inlineStr"/>
      <c r="Q140" s="18" t="inlineStr">
        <is>
          <t>Chưa test</t>
        </is>
      </c>
      <c r="R140" s="15" t="inlineStr"/>
    </row>
    <row r="141" ht="30" customHeight="1">
      <c r="A141" s="14" t="inlineStr">
        <is>
          <t>TC-NOTI-140</t>
        </is>
      </c>
      <c r="B141" s="15" t="inlineStr">
        <is>
          <t>Thông báo &amp; Nhắn tin</t>
        </is>
      </c>
      <c r="C141" s="15" t="inlineStr">
        <is>
          <t>Bảo mật tin nhắn (IDOR &amp; xác thực)</t>
        </is>
      </c>
      <c r="D141" s="15" t="inlineStr">
        <is>
          <t>IDOR danh sách: member3 không thấy hội thoại của người khác</t>
        </is>
      </c>
      <c r="E141" s="15" t="inlineStr">
        <is>
          <t>Bảo mật</t>
        </is>
      </c>
      <c r="F141" s="20" t="inlineStr">
        <is>
          <t>Trung bình</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member3: GET /api/conversations</t>
        </is>
      </c>
      <c r="K141" s="15" t="inlineStr">
        <is>
          <t>-</t>
        </is>
      </c>
      <c r="L141" s="15" t="inlineStr">
        <is>
          <t>Không có hội thoại seed-conv-member1-member2 trong danh sách của member3.</t>
        </is>
      </c>
      <c r="M141" s="15" t="inlineStr"/>
      <c r="N141" s="18" t="inlineStr">
        <is>
          <t>Chưa test</t>
        </is>
      </c>
      <c r="O141" s="15" t="inlineStr"/>
      <c r="P141" s="15" t="inlineStr"/>
      <c r="Q141" s="18" t="inlineStr">
        <is>
          <t>Chưa test</t>
        </is>
      </c>
      <c r="R141" s="15" t="inlineStr"/>
    </row>
    <row r="142" ht="30" customHeight="1">
      <c r="A142" s="14" t="inlineStr">
        <is>
          <t>TC-NOTI-141</t>
        </is>
      </c>
      <c r="B142" s="15" t="inlineStr">
        <is>
          <t>Thông báo &amp; Nhắn tin</t>
        </is>
      </c>
      <c r="C142" s="15" t="inlineStr">
        <is>
          <t>Bảo mật tin nhắn (IDOR &amp; xác thực)</t>
        </is>
      </c>
      <c r="D142" s="15" t="inlineStr">
        <is>
          <t>IDOR UI: member3 mở /messages/seed-conv-member1-member2 -&gt; "Không tìm thấy cuộc trò chuyện"</t>
        </is>
      </c>
      <c r="E142" s="15" t="inlineStr">
        <is>
          <t>Bảo mật</t>
        </is>
      </c>
      <c r="F142" s="16" t="inlineStr">
        <is>
          <t>Cao</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Đăng nhập member3
2. Mở trực tiếp /messages/seed-conv-member1-member2</t>
        </is>
      </c>
      <c r="K142" s="15" t="inlineStr">
        <is>
          <t>-</t>
        </is>
      </c>
      <c r="L142" s="15" t="inlineStr">
        <is>
          <t>Trang báo "Không tìm thấy cuộc trò chuyện"; không hiển thị tin nhắn.</t>
        </is>
      </c>
      <c r="M142" s="15" t="inlineStr"/>
      <c r="N142" s="18" t="inlineStr">
        <is>
          <t>Chưa test</t>
        </is>
      </c>
      <c r="O142" s="15" t="inlineStr"/>
      <c r="P142" s="15" t="inlineStr"/>
      <c r="Q142" s="18" t="inlineStr">
        <is>
          <t>Chưa test</t>
        </is>
      </c>
      <c r="R142" s="15" t="inlineStr"/>
    </row>
    <row r="143" ht="30" customHeight="1">
      <c r="A143" s="14" t="inlineStr">
        <is>
          <t>TC-NOTI-142</t>
        </is>
      </c>
      <c r="B143" s="15" t="inlineStr">
        <is>
          <t>Thông báo &amp; Nhắn tin</t>
        </is>
      </c>
      <c r="C143" s="15" t="inlineStr">
        <is>
          <t>Bảo mật tin nhắn (IDOR &amp; xác thực)</t>
        </is>
      </c>
      <c r="D143" s="15" t="inlineStr">
        <is>
          <t>Mở /messages/id-sai -&gt; "Không tìm thấy cuộc trò chuyện"</t>
        </is>
      </c>
      <c r="E143" s="15" t="inlineStr">
        <is>
          <t>Giao diện</t>
        </is>
      </c>
      <c r="F143" s="17" t="inlineStr">
        <is>
          <t>Thấp</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mở /messages/id-sai</t>
        </is>
      </c>
      <c r="K143" s="15" t="inlineStr">
        <is>
          <t>-</t>
        </is>
      </c>
      <c r="L143" s="15" t="inlineStr">
        <is>
          <t>Thông báo không tìm thấy, không trắng trang.</t>
        </is>
      </c>
      <c r="M143" s="15" t="inlineStr"/>
      <c r="N143" s="18" t="inlineStr">
        <is>
          <t>Chưa test</t>
        </is>
      </c>
      <c r="O143" s="15" t="inlineStr"/>
      <c r="P143" s="15" t="inlineStr"/>
      <c r="Q143" s="18" t="inlineStr">
        <is>
          <t>Chưa test</t>
        </is>
      </c>
      <c r="R143" s="15" t="inlineStr"/>
    </row>
    <row r="144" ht="135" customHeight="1">
      <c r="A144" s="14" t="inlineStr">
        <is>
          <t>TC-NOTI-143</t>
        </is>
      </c>
      <c r="B144" s="15" t="inlineStr">
        <is>
          <t>Thông báo &amp; Nhắn tin</t>
        </is>
      </c>
      <c r="C144" s="15" t="inlineStr">
        <is>
          <t>Bảo mật tin nhắn (IDOR &amp; xác thực)</t>
        </is>
      </c>
      <c r="D144" s="15" t="inlineStr">
        <is>
          <t>Không có token: mọi endpoint tin nhắn trả 401</t>
        </is>
      </c>
      <c r="E144" s="15" t="inlineStr">
        <is>
          <t>Bảo mật</t>
        </is>
      </c>
      <c r="F144" s="16" t="inlineStr">
        <is>
          <t>Cao</t>
        </is>
      </c>
      <c r="G144" s="17" t="inlineStr">
        <is>
          <t>Đã hoàn thiện</t>
        </is>
      </c>
      <c r="H144" s="17" t="inlineStr">
        <is>
          <t>Có</t>
        </is>
      </c>
      <c r="I144" s="15" t="inlineStr">
        <is>
          <t>Không đăng nhập</t>
        </is>
      </c>
      <c r="J144" s="15" t="inlineStr">
        <is>
          <t>1. GET /api/conversations
2. POST /api/conversations
3. GET /api/conversations/seed-conv-member1-member2/messages
4. POST .../messages
5. DELETE /api/messages/seed-msg-1
6. GET /api/messages/unread-count
7. POST /api/users/x/block
8. GET /api/me/blocks
9. POST /api/messages/stream-ticket</t>
        </is>
      </c>
      <c r="K144" s="15" t="inlineStr">
        <is>
          <t>-</t>
        </is>
      </c>
      <c r="L144" s="15" t="inlineStr">
        <is>
          <t>Cả 9 request 401 UNAUTHORIZED, message "Vui lòng đăng nhập để tiếp tục".</t>
        </is>
      </c>
      <c r="M144" s="15" t="inlineStr"/>
      <c r="N144" s="18" t="inlineStr">
        <is>
          <t>Chưa test</t>
        </is>
      </c>
      <c r="O144" s="15" t="inlineStr"/>
      <c r="P144" s="15" t="inlineStr"/>
      <c r="Q144" s="18" t="inlineStr">
        <is>
          <t>Chưa test</t>
        </is>
      </c>
      <c r="R144" s="15" t="inlineStr"/>
    </row>
    <row r="145" ht="45" customHeight="1">
      <c r="A145" s="14" t="inlineStr">
        <is>
          <t>TC-NOTI-144</t>
        </is>
      </c>
      <c r="B145" s="15" t="inlineStr">
        <is>
          <t>Thông báo &amp; Nhắn tin</t>
        </is>
      </c>
      <c r="C145" s="15" t="inlineStr">
        <is>
          <t>Realtime SSE tin nhắn</t>
        </is>
      </c>
      <c r="D145" s="15" t="inlineStr">
        <is>
          <t>Vé tin nhắn: POST /messages/stream-ticket trả ticket + expiresAt, dùng 1 lần</t>
        </is>
      </c>
      <c r="E145" s="15" t="inlineStr">
        <is>
          <t>Chức năng</t>
        </is>
      </c>
      <c r="F145" s="16" t="inlineStr">
        <is>
          <t>Cao</t>
        </is>
      </c>
      <c r="G145" s="17" t="inlineStr">
        <is>
          <t>Đã hoàn thiện</t>
        </is>
      </c>
      <c r="H145" s="17" t="inlineStr">
        <is>
          <t>Có</t>
        </is>
      </c>
      <c r="I14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5" s="15" t="inlineStr">
        <is>
          <t>1. member1: POST /api/messages/stream-ticket
2. Mở GET /api/messages/stream?ticket=&lt;vé&gt;
3. Mở lại với cùng vé</t>
        </is>
      </c>
      <c r="K145" s="15" t="inlineStr">
        <is>
          <t>-</t>
        </is>
      </c>
      <c r="L145" s="15" t="inlineStr">
        <is>
          <t>Bước 1: 200 {data:{ticket, expiresAt(+30s)}} (lưu ý: code trả 200, khác endpoint thông báo trả 201); bước 2: 200 text/event-stream với event "ready"; bước 3: 401 UNAUTHORIZED, message "Vui lòng đăng nhập để tiếp tục".</t>
        </is>
      </c>
      <c r="M145" s="15" t="inlineStr"/>
      <c r="N145" s="18" t="inlineStr">
        <is>
          <t>Chưa test</t>
        </is>
      </c>
      <c r="O145" s="15" t="inlineStr"/>
      <c r="P145" s="15" t="inlineStr"/>
      <c r="Q145" s="18" t="inlineStr">
        <is>
          <t>Chưa test</t>
        </is>
      </c>
      <c r="R145" s="15" t="inlineStr"/>
    </row>
    <row r="146" ht="45" customHeight="1">
      <c r="A146" s="14" t="inlineStr">
        <is>
          <t>TC-NOTI-145</t>
        </is>
      </c>
      <c r="B146" s="15" t="inlineStr">
        <is>
          <t>Thông báo &amp; Nhắn tin</t>
        </is>
      </c>
      <c r="C146" s="15" t="inlineStr">
        <is>
          <t>Realtime SSE tin nhắn</t>
        </is>
      </c>
      <c r="D146" s="15" t="inlineStr">
        <is>
          <t>Vé tin nhắn hết hạn sau 30 giây / vé lạ -&gt; 401</t>
        </is>
      </c>
      <c r="E146" s="15" t="inlineStr">
        <is>
          <t>Bảo mật</t>
        </is>
      </c>
      <c r="F146" s="20" t="inlineStr">
        <is>
          <t>Trung bình</t>
        </is>
      </c>
      <c r="G146" s="17" t="inlineStr">
        <is>
          <t>Đã hoàn thiện</t>
        </is>
      </c>
      <c r="H146" s="17" t="inlineStr">
        <is>
          <t>Có</t>
        </is>
      </c>
      <c r="I14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6" s="15" t="inlineStr">
        <is>
          <t>1. Xin vé, chờ 31 giây, mở stream
2. GET /api/messages/stream?ticket=abc
3. GET /api/messages/stream</t>
        </is>
      </c>
      <c r="K146" s="15" t="inlineStr">
        <is>
          <t>-</t>
        </is>
      </c>
      <c r="L146" s="15" t="inlineStr">
        <is>
          <t>Cả ba 401 UNAUTHORIZED, message "Vui lòng đăng nhập để tiếp tục". Stream tin nhắn KHÔNG hỗ trợ ?access_token= (chỉ Bearer hoặc ticket).</t>
        </is>
      </c>
      <c r="M146" s="15" t="inlineStr"/>
      <c r="N146" s="18" t="inlineStr">
        <is>
          <t>Chưa test</t>
        </is>
      </c>
      <c r="O146" s="15" t="inlineStr"/>
      <c r="P146" s="15" t="inlineStr"/>
      <c r="Q146" s="18" t="inlineStr">
        <is>
          <t>Chưa test</t>
        </is>
      </c>
      <c r="R146" s="15" t="inlineStr"/>
    </row>
    <row r="147" ht="45" customHeight="1">
      <c r="A147" s="14" t="inlineStr">
        <is>
          <t>TC-NOTI-146</t>
        </is>
      </c>
      <c r="B147" s="15" t="inlineStr">
        <is>
          <t>Thông báo &amp; Nhắn tin</t>
        </is>
      </c>
      <c r="C147" s="15" t="inlineStr">
        <is>
          <t>Realtime SSE tin nhắn</t>
        </is>
      </c>
      <c r="D147" s="15" t="inlineStr">
        <is>
          <t>Người nhận nhận event "message" theo thời gian thực</t>
        </is>
      </c>
      <c r="E147" s="15" t="inlineStr">
        <is>
          <t>Tích hợp</t>
        </is>
      </c>
      <c r="F147" s="16" t="inlineStr">
        <is>
          <t>Cao</t>
        </is>
      </c>
      <c r="G147" s="17" t="inlineStr">
        <is>
          <t>Đã hoàn thiện</t>
        </is>
      </c>
      <c r="H147" s="20" t="inlineStr">
        <is>
          <t>Một phần</t>
        </is>
      </c>
      <c r="I14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47" s="15" t="inlineStr">
        <is>
          <t>1. member2 mở stream (hoặc mở app)
2. member1 gửi "Chào member2" vào seed-conv-member1-member2
3. Quan sát cửa sổ member2 không F5</t>
        </is>
      </c>
      <c r="K147" s="15" t="inlineStr">
        <is>
          <t>content="Chào member2"</t>
        </is>
      </c>
      <c r="L147" s="15" t="inlineStr">
        <is>
          <t>member2 nhận "event: message" với payload MessageView đúng; hội thoại nhảy lên đầu danh sách và badge tăng ngay.</t>
        </is>
      </c>
      <c r="M147" s="15" t="inlineStr"/>
      <c r="N147" s="18" t="inlineStr">
        <is>
          <t>Chưa test</t>
        </is>
      </c>
      <c r="O147" s="15" t="inlineStr"/>
      <c r="P147" s="15" t="inlineStr"/>
      <c r="Q147" s="18" t="inlineStr">
        <is>
          <t>Chưa test</t>
        </is>
      </c>
      <c r="R147" s="15" t="inlineStr"/>
    </row>
    <row r="148" ht="30" customHeight="1">
      <c r="A148" s="14" t="inlineStr">
        <is>
          <t>TC-NOTI-147</t>
        </is>
      </c>
      <c r="B148" s="15" t="inlineStr">
        <is>
          <t>Thông báo &amp; Nhắn tin</t>
        </is>
      </c>
      <c r="C148" s="15" t="inlineStr">
        <is>
          <t>Realtime SSE tin nhắn</t>
        </is>
      </c>
      <c r="D148" s="15" t="inlineStr">
        <is>
          <t>Các tab khác của người gửi cũng nhận event "message" (đồng bộ)</t>
        </is>
      </c>
      <c r="E148" s="15" t="inlineStr">
        <is>
          <t>Tích hợp</t>
        </is>
      </c>
      <c r="F148" s="20" t="inlineStr">
        <is>
          <t>Trung bình</t>
        </is>
      </c>
      <c r="G148" s="17" t="inlineStr">
        <is>
          <t>Đã hoàn thiện</t>
        </is>
      </c>
      <c r="H148" s="20" t="inlineStr">
        <is>
          <t>Một phần</t>
        </is>
      </c>
      <c r="I14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8" s="15" t="inlineStr">
        <is>
          <t>1. member1 mở 2 tab cùng /messages/seed-conv-member1-member2
2. Gửi tin ở tab 1</t>
        </is>
      </c>
      <c r="K148" s="15" t="inlineStr">
        <is>
          <t>-</t>
        </is>
      </c>
      <c r="L148" s="15" t="inlineStr">
        <is>
          <t>Tab 2 hiển thị tin vừa gửi ngay, không nhân đôi trong tab 1.</t>
        </is>
      </c>
      <c r="M148" s="15" t="inlineStr"/>
      <c r="N148" s="18" t="inlineStr">
        <is>
          <t>Chưa test</t>
        </is>
      </c>
      <c r="O148" s="15" t="inlineStr"/>
      <c r="P148" s="15" t="inlineStr"/>
      <c r="Q148" s="18" t="inlineStr">
        <is>
          <t>Chưa test</t>
        </is>
      </c>
      <c r="R148" s="15" t="inlineStr"/>
    </row>
    <row r="149" ht="30" customHeight="1">
      <c r="A149" s="14" t="inlineStr">
        <is>
          <t>TC-NOTI-148</t>
        </is>
      </c>
      <c r="B149" s="15" t="inlineStr">
        <is>
          <t>Thông báo &amp; Nhắn tin</t>
        </is>
      </c>
      <c r="C149" s="15" t="inlineStr">
        <is>
          <t>Realtime SSE tin nhắn</t>
        </is>
      </c>
      <c r="D149" s="15" t="inlineStr">
        <is>
          <t>Thu hồi phát event "message_deleted" tới cả hai bên</t>
        </is>
      </c>
      <c r="E149" s="15" t="inlineStr">
        <is>
          <t>Tích hợp</t>
        </is>
      </c>
      <c r="F149" s="16" t="inlineStr">
        <is>
          <t>Cao</t>
        </is>
      </c>
      <c r="G149" s="17" t="inlineStr">
        <is>
          <t>Đã hoàn thiện</t>
        </is>
      </c>
      <c r="H149" s="20" t="inlineStr">
        <is>
          <t>Một phần</t>
        </is>
      </c>
      <c r="I14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9" s="15" t="inlineStr">
        <is>
          <t>1. Cả hai mở stream
2. member1 thu hồi seed-msg-8</t>
        </is>
      </c>
      <c r="K149" s="15" t="inlineStr">
        <is>
          <t>-</t>
        </is>
      </c>
      <c r="L149" s="15" t="inlineStr">
        <is>
          <t>Cả member1 và member2 nhận "event: message_deleted" với MessageView deleted=true.</t>
        </is>
      </c>
      <c r="M149" s="15" t="inlineStr"/>
      <c r="N149" s="18" t="inlineStr">
        <is>
          <t>Chưa test</t>
        </is>
      </c>
      <c r="O149" s="15" t="inlineStr"/>
      <c r="P149" s="15" t="inlineStr"/>
      <c r="Q149" s="18" t="inlineStr">
        <is>
          <t>Chưa test</t>
        </is>
      </c>
      <c r="R149" s="15" t="inlineStr"/>
    </row>
    <row r="150" ht="30" customHeight="1">
      <c r="A150" s="14" t="inlineStr">
        <is>
          <t>TC-NOTI-149</t>
        </is>
      </c>
      <c r="B150" s="15" t="inlineStr">
        <is>
          <t>Thông báo &amp; Nhắn tin</t>
        </is>
      </c>
      <c r="C150" s="15" t="inlineStr">
        <is>
          <t>Realtime SSE tin nhắn</t>
        </is>
      </c>
      <c r="D150" s="15" t="inlineStr">
        <is>
          <t>Không nhận tin của hội thoại mà mình không tham gia</t>
        </is>
      </c>
      <c r="E150" s="15" t="inlineStr">
        <is>
          <t>Bảo mật</t>
        </is>
      </c>
      <c r="F150" s="16" t="inlineStr">
        <is>
          <t>Cao</t>
        </is>
      </c>
      <c r="G150" s="17" t="inlineStr">
        <is>
          <t>Đã hoàn thiện</t>
        </is>
      </c>
      <c r="H150" s="20" t="inlineStr">
        <is>
          <t>Một phần</t>
        </is>
      </c>
      <c r="I15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50" s="15" t="inlineStr">
        <is>
          <t>1. member1 gửi tin cho member2
2. Quan sát stream của member3</t>
        </is>
      </c>
      <c r="K150" s="15" t="inlineStr">
        <is>
          <t>-</t>
        </is>
      </c>
      <c r="L150" s="15" t="inlineStr">
        <is>
          <t>Stream member3 không nhận event message (chỉ ping); event chỉ gửi tới người gửi và người nhận.</t>
        </is>
      </c>
      <c r="M150" s="15" t="inlineStr"/>
      <c r="N150" s="18" t="inlineStr">
        <is>
          <t>Chưa test</t>
        </is>
      </c>
      <c r="O150" s="15" t="inlineStr"/>
      <c r="P150" s="15" t="inlineStr"/>
      <c r="Q150" s="18" t="inlineStr">
        <is>
          <t>Chưa test</t>
        </is>
      </c>
      <c r="R150" s="15" t="inlineStr"/>
    </row>
    <row r="151" ht="45" customHeight="1">
      <c r="A151" s="14" t="inlineStr">
        <is>
          <t>TC-NOTI-150</t>
        </is>
      </c>
      <c r="B151" s="15" t="inlineStr">
        <is>
          <t>Thông báo &amp; Nhắn tin</t>
        </is>
      </c>
      <c r="C151" s="15" t="inlineStr">
        <is>
          <t>Realtime SSE tin nhắn</t>
        </is>
      </c>
      <c r="D151" s="15" t="inlineStr">
        <is>
          <t>Người nhận offline nhận thông báo message_received (gộp 1/5 phút)</t>
        </is>
      </c>
      <c r="E151" s="15" t="inlineStr">
        <is>
          <t>Tích hợp</t>
        </is>
      </c>
      <c r="F151" s="16" t="inlineStr">
        <is>
          <t>Cao</t>
        </is>
      </c>
      <c r="G151" s="17" t="inlineStr">
        <is>
          <t>Đã hoàn thiện</t>
        </is>
      </c>
      <c r="H151" s="17" t="inlineStr">
        <is>
          <t>Có</t>
        </is>
      </c>
      <c r="I15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51" s="15" t="inlineStr">
        <is>
          <t>1. member1 gửi tin "A" vào seed-conv-member1-member2
2. member1 gửi tiếp tin "B" ngay sau đó
3. member2: GET /api/notifications</t>
        </is>
      </c>
      <c r="K151" s="15" t="inlineStr">
        <is>
          <t>2 tin trong &lt; 5 phút</t>
        </is>
      </c>
      <c r="L151" s="15" t="inlineStr">
        <is>
          <t>member2 có đúng 1 thông báo type=message_received, title "&lt;tên member1&gt; đã gửi tin nhắn cho bạn", body=nội dung tin "A" (cắt ~80 ký tự + "..."), link /messages/seed-conv-member1-member2; tin "B" không tạo thêm thông báo (throttle 5 phút, bộ nhớ).</t>
        </is>
      </c>
      <c r="M151" s="15" t="inlineStr"/>
      <c r="N151" s="18" t="inlineStr">
        <is>
          <t>Chưa test</t>
        </is>
      </c>
      <c r="O151" s="15" t="inlineStr"/>
      <c r="P151" s="15" t="inlineStr"/>
      <c r="Q151" s="18" t="inlineStr">
        <is>
          <t>Chưa test</t>
        </is>
      </c>
      <c r="R151" s="15" t="inlineStr"/>
    </row>
    <row r="152" ht="45" customHeight="1">
      <c r="A152" s="14" t="inlineStr">
        <is>
          <t>TC-NOTI-151</t>
        </is>
      </c>
      <c r="B152" s="15" t="inlineStr">
        <is>
          <t>Thông báo &amp; Nhắn tin</t>
        </is>
      </c>
      <c r="C152" s="15" t="inlineStr">
        <is>
          <t>Realtime SSE tin nhắn</t>
        </is>
      </c>
      <c r="D152" s="15" t="inlineStr">
        <is>
          <t>Người nhận đang online chỉ nhận realtime, không tạo thông báo</t>
        </is>
      </c>
      <c r="E152" s="15" t="inlineStr">
        <is>
          <t>Tích hợp</t>
        </is>
      </c>
      <c r="F152" s="20" t="inlineStr">
        <is>
          <t>Trung bình</t>
        </is>
      </c>
      <c r="G152" s="17" t="inlineStr">
        <is>
          <t>Đã hoàn thiện</t>
        </is>
      </c>
      <c r="H152" s="20" t="inlineStr">
        <is>
          <t>Một phần</t>
        </is>
      </c>
      <c r="I1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mở app (có SSE tin nhắn)</t>
        </is>
      </c>
      <c r="J152" s="15" t="inlineStr">
        <is>
          <t>1. member2 ghi unread-count thông báo
2. member1 gửi tin
3. member2: GET /api/notifications/unread-count</t>
        </is>
      </c>
      <c r="K152" s="15" t="inlineStr">
        <is>
          <t>-</t>
        </is>
      </c>
      <c r="L152" s="15" t="inlineStr">
        <is>
          <t>Số thông báo chưa đọc của member2 không đổi (không có message_received).</t>
        </is>
      </c>
      <c r="M152" s="15" t="inlineStr"/>
      <c r="N152" s="18" t="inlineStr">
        <is>
          <t>Chưa test</t>
        </is>
      </c>
      <c r="O152" s="15" t="inlineStr"/>
      <c r="P152" s="15" t="inlineStr"/>
      <c r="Q152" s="18" t="inlineStr">
        <is>
          <t>Chưa test</t>
        </is>
      </c>
      <c r="R152" s="15" t="inlineStr"/>
    </row>
    <row r="153" ht="30" customHeight="1">
      <c r="A153" s="14" t="inlineStr">
        <is>
          <t>TC-NOTI-152</t>
        </is>
      </c>
      <c r="B153" s="15" t="inlineStr">
        <is>
          <t>Thông báo &amp; Nhắn tin</t>
        </is>
      </c>
      <c r="C153" s="15" t="inlineStr">
        <is>
          <t>Realtime SSE tin nhắn</t>
        </is>
      </c>
      <c r="D153" s="15" t="inlineStr">
        <is>
          <t>Heartbeat ": ping" mỗi 25 giây trên stream tin nhắn</t>
        </is>
      </c>
      <c r="E153" s="15" t="inlineStr">
        <is>
          <t>Tích hợp</t>
        </is>
      </c>
      <c r="F153" s="17" t="inlineStr">
        <is>
          <t>Thấp</t>
        </is>
      </c>
      <c r="G153" s="17" t="inlineStr">
        <is>
          <t>Đã hoàn thiện</t>
        </is>
      </c>
      <c r="H153" s="17" t="inlineStr">
        <is>
          <t>Có</t>
        </is>
      </c>
      <c r="I15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53" s="15" t="inlineStr">
        <is>
          <t>1. Mở stream tin nhắn
2. Đọc trong 60 giây</t>
        </is>
      </c>
      <c r="K153" s="15" t="inlineStr">
        <is>
          <t>-</t>
        </is>
      </c>
      <c r="L153" s="15" t="inlineStr">
        <is>
          <t>Có ít nhất 2 dòng ": ping"; kết nối không bị đóng.</t>
        </is>
      </c>
      <c r="M153" s="15" t="inlineStr"/>
      <c r="N153" s="18" t="inlineStr">
        <is>
          <t>Chưa test</t>
        </is>
      </c>
      <c r="O153" s="15" t="inlineStr"/>
      <c r="P153" s="15" t="inlineStr"/>
      <c r="Q153" s="18" t="inlineStr">
        <is>
          <t>Chưa test</t>
        </is>
      </c>
      <c r="R153" s="15" t="inlineStr"/>
    </row>
    <row r="154" ht="45" customHeight="1">
      <c r="A154" s="14" t="inlineStr">
        <is>
          <t>TC-NOTI-153</t>
        </is>
      </c>
      <c r="B154" s="15" t="inlineStr">
        <is>
          <t>Thông báo &amp; Nhắn tin</t>
        </is>
      </c>
      <c r="C154" s="15" t="inlineStr">
        <is>
          <t>Tin nhắn qua UI</t>
        </is>
      </c>
      <c r="D154" s="15" t="inlineStr">
        <is>
          <t>Enter gửi, Shift+Enter xuống dòng</t>
        </is>
      </c>
      <c r="E154" s="15" t="inlineStr">
        <is>
          <t>Giao diện</t>
        </is>
      </c>
      <c r="F154" s="20" t="inlineStr">
        <is>
          <t>Trung bình</t>
        </is>
      </c>
      <c r="G154" s="17" t="inlineStr">
        <is>
          <t>Đã hoàn thiện</t>
        </is>
      </c>
      <c r="H154" s="17" t="inlineStr">
        <is>
          <t>Có</t>
        </is>
      </c>
      <c r="I15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54" s="15" t="inlineStr">
        <is>
          <t>1. Mở /messages/seed-conv-member1-member2
2. Gõ "dòng 1", nhấn Shift+Enter, gõ "dòng 2"
3. Nhấn Enter</t>
        </is>
      </c>
      <c r="K154" s="15" t="inlineStr">
        <is>
          <t>-</t>
        </is>
      </c>
      <c r="L154" s="15" t="inlineStr">
        <is>
          <t>Tin gửi đi có 2 dòng "dòng 1\ndòng 2"; ô nhập được làm trống.</t>
        </is>
      </c>
      <c r="M154" s="15" t="inlineStr"/>
      <c r="N154" s="18" t="inlineStr">
        <is>
          <t>Chưa test</t>
        </is>
      </c>
      <c r="O154" s="15" t="inlineStr"/>
      <c r="P154" s="15" t="inlineStr"/>
      <c r="Q154" s="18" t="inlineStr">
        <is>
          <t>Chưa test</t>
        </is>
      </c>
      <c r="R154" s="15" t="inlineStr"/>
    </row>
    <row r="155" ht="45" customHeight="1">
      <c r="A155" s="14" t="inlineStr">
        <is>
          <t>TC-NOTI-154</t>
        </is>
      </c>
      <c r="B155" s="15" t="inlineStr">
        <is>
          <t>Thông báo &amp; Nhắn tin</t>
        </is>
      </c>
      <c r="C155" s="15" t="inlineStr">
        <is>
          <t>Tin nhắn qua UI</t>
        </is>
      </c>
      <c r="D155" s="15" t="inlineStr">
        <is>
          <t>Nút chat ở bảng Thành viên: mở /messages/&lt;id&gt;; khóa với chính mình và thành viên minh họa</t>
        </is>
      </c>
      <c r="E155" s="15" t="inlineStr">
        <is>
          <t>Chức năng</t>
        </is>
      </c>
      <c r="F155" s="20" t="inlineStr">
        <is>
          <t>Trung bình</t>
        </is>
      </c>
      <c r="G155" s="17" t="inlineStr">
        <is>
          <t>Đã hoàn thiện</t>
        </is>
      </c>
      <c r="H155" s="17" t="inlineStr">
        <is>
          <t>Có</t>
        </is>
      </c>
      <c r="I15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55" s="15" t="inlineStr">
        <is>
          <t>1. member1 vào /courses/photo/community/thanh-vien
2. Bấm nút chat cạnh member2
3. Quay lại, quan sát nút ở dòng của mình và ở thành viên minh họa (demo-...)</t>
        </is>
      </c>
      <c r="K155" s="15" t="inlineStr">
        <is>
          <t>-</t>
        </is>
      </c>
      <c r="L155" s="15" t="inlineStr">
        <is>
          <t>Bấm nút cạnh member2 chuyển tới /messages/seed-conv-member1-member2; nút ở dòng chính mình và thành viên minh họa bị khóa.</t>
        </is>
      </c>
      <c r="M155" s="15" t="inlineStr"/>
      <c r="N155" s="18" t="inlineStr">
        <is>
          <t>Chưa test</t>
        </is>
      </c>
      <c r="O155" s="15" t="inlineStr"/>
      <c r="P155" s="15" t="inlineStr"/>
      <c r="Q155" s="18" t="inlineStr">
        <is>
          <t>Chưa test</t>
        </is>
      </c>
      <c r="R155" s="15" t="inlineStr"/>
    </row>
    <row r="156" ht="30" customHeight="1">
      <c r="A156" s="14" t="inlineStr">
        <is>
          <t>TC-NOTI-155</t>
        </is>
      </c>
      <c r="B156" s="15" t="inlineStr">
        <is>
          <t>Thông báo &amp; Nhắn tin</t>
        </is>
      </c>
      <c r="C156" s="15" t="inlineStr">
        <is>
          <t>Tin nhắn qua UI</t>
        </is>
      </c>
      <c r="D156" s="15" t="inlineStr">
        <is>
          <t>Tải tin cũ hơn (&gt;30 tin) không làm nhảy vị trí cuộn</t>
        </is>
      </c>
      <c r="E156" s="15" t="inlineStr">
        <is>
          <t>Giao diện</t>
        </is>
      </c>
      <c r="F156" s="17" t="inlineStr">
        <is>
          <t>Thấp</t>
        </is>
      </c>
      <c r="G156" s="17" t="inlineStr">
        <is>
          <t>Đã hoàn thiện</t>
        </is>
      </c>
      <c r="H156" s="20" t="inlineStr">
        <is>
          <t>Một phần</t>
        </is>
      </c>
      <c r="I15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56" s="15" t="inlineStr">
        <is>
          <t>1. Mở hội thoại, cuộn lên đầu
2. Bấm "Tải tin cũ hơn"</t>
        </is>
      </c>
      <c r="K156" s="15" t="inlineStr">
        <is>
          <t>40 tin</t>
        </is>
      </c>
      <c r="L156" s="15" t="inlineStr">
        <is>
          <t>Nạp thêm ≤ 30 tin cũ; vị trí cuộn giữ nguyên tại tin đang xem.</t>
        </is>
      </c>
      <c r="M156" s="15" t="inlineStr"/>
      <c r="N156" s="18" t="inlineStr">
        <is>
          <t>Chưa test</t>
        </is>
      </c>
      <c r="O156" s="15" t="inlineStr"/>
      <c r="P156" s="15" t="inlineStr"/>
      <c r="Q156" s="18" t="inlineStr">
        <is>
          <t>Chưa test</t>
        </is>
      </c>
      <c r="R156" s="15" t="inlineStr"/>
    </row>
    <row r="157" ht="30" customHeight="1">
      <c r="A157" s="14" t="inlineStr">
        <is>
          <t>TC-NOTI-156</t>
        </is>
      </c>
      <c r="B157" s="15" t="inlineStr">
        <is>
          <t>Thông báo &amp; Nhắn tin</t>
        </is>
      </c>
      <c r="C157" s="15" t="inlineStr">
        <is>
          <t>Tin nhắn qua UI</t>
        </is>
      </c>
      <c r="D157" s="15" t="inlineStr">
        <is>
          <t>Chưa làm: sửa tin, trạng thái đang gõ, báo cáo tin nhắn, xóa cuộc trò chuyện</t>
        </is>
      </c>
      <c r="E157" s="15" t="inlineStr">
        <is>
          <t>Chức năng</t>
        </is>
      </c>
      <c r="F157" s="17" t="inlineStr">
        <is>
          <t>Thấp</t>
        </is>
      </c>
      <c r="G157" s="20" t="inlineStr">
        <is>
          <t>Kế hoạch</t>
        </is>
      </c>
      <c r="H157" s="16" t="inlineStr">
        <is>
          <t>Không</t>
        </is>
      </c>
      <c r="I157" s="15" t="inlineStr">
        <is>
          <t>Chưa làm: sửa tin, đang gõ, "đã xem" cho người gửi, xóa cuộc trò chuyện, báo cáo tin, nhóm chat, tìm người để bắt đầu chat</t>
        </is>
      </c>
      <c r="J157" s="15" t="inlineStr">
        <is>
          <t>1. Tìm trong UI các nút tương ứng</t>
        </is>
      </c>
      <c r="K157" s="15" t="inlineStr">
        <is>
          <t>-</t>
        </is>
      </c>
      <c r="L157" s="15" t="inlineStr">
        <is>
          <t>(Kế hoạch) Hiện chưa có nút/endpoint tương ứng.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(mới nhất trước);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mới nhất trước;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cả theo handle.</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TC-SEARCH-007</t>
        </is>
      </c>
      <c r="B8" s="15" t="inlineStr">
        <is>
          <t>Tìm kiếm toàn cục</t>
        </is>
      </c>
      <c r="C8" s="15" t="inlineStr">
        <is>
          <t>Tìm kiếm API: cơ bản</t>
        </is>
      </c>
      <c r="D8" s="15" t="inlineStr">
        <is>
          <t>Khớp chuỗi con nguyên cụm (không tách từ)</t>
        </is>
      </c>
      <c r="E8" s="15" t="inlineStr">
        <is>
          <t>Chức năng</t>
        </is>
      </c>
      <c r="F8" s="17" t="inlineStr">
        <is>
          <t>Thấp</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/api/search?q=chân dung ánh
2. GET /api/search?q=ánh dung chân</t>
        </is>
      </c>
      <c r="K8" s="15" t="inlineStr">
        <is>
          <t>cụm liền vs đảo thứ tự</t>
        </is>
      </c>
      <c r="L8" s="15" t="inlineStr">
        <is>
          <t>Cụm liền khớp bài "...chân dung ánh sáng..."; cụm đảo thứ tự không khớp (chỉ khớp chuỗi con nguyên cụm, không xếp hạng - Postgres full-text chưa làm).</t>
        </is>
      </c>
      <c r="M8" s="15" t="inlineStr"/>
      <c r="N8" s="18" t="inlineStr">
        <is>
          <t>Chưa test</t>
        </is>
      </c>
      <c r="O8" s="15" t="inlineStr"/>
      <c r="P8" s="15" t="inlineStr"/>
      <c r="Q8" s="18" t="inlineStr">
        <is>
          <t>Chưa test</t>
        </is>
      </c>
      <c r="R8" s="15" t="inlineStr"/>
    </row>
    <row r="9" ht="30" customHeight="1">
      <c r="A9" s="14" t="inlineStr">
        <is>
          <t>TC-SEARCH-008</t>
        </is>
      </c>
      <c r="B9" s="15" t="inlineStr">
        <is>
          <t>Tìm kiếm toàn cục</t>
        </is>
      </c>
      <c r="C9" s="15" t="inlineStr">
        <is>
          <t>Tìm kiếm API: cơ bản</t>
        </is>
      </c>
      <c r="D9" s="15" t="inlineStr">
        <is>
          <t>Không có kết quả: data=[] và counts về 0</t>
        </is>
      </c>
      <c r="E9" s="15" t="inlineStr">
        <is>
          <t>Chức năng</t>
        </is>
      </c>
      <c r="F9" s="20" t="inlineStr">
        <is>
          <t>Trung bình</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/api/search?q=zzzxyz123</t>
        </is>
      </c>
      <c r="K9" s="15" t="inlineStr">
        <is>
          <t>q không tồn tại</t>
        </is>
      </c>
      <c r="L9" s="15" t="inlineStr">
        <is>
          <t>200; data=[]; meta.total=0, totalPages=1; counts {0,0,0}; UI hiển thị "Không có kết quả".</t>
        </is>
      </c>
      <c r="M9" s="15" t="inlineStr"/>
      <c r="N9" s="18" t="inlineStr">
        <is>
          <t>Chưa test</t>
        </is>
      </c>
      <c r="O9" s="15" t="inlineStr"/>
      <c r="P9" s="15" t="inlineStr"/>
      <c r="Q9" s="18" t="inlineStr">
        <is>
          <t>Chưa test</t>
        </is>
      </c>
      <c r="R9" s="15" t="inlineStr"/>
    </row>
    <row r="10" ht="30" customHeight="1">
      <c r="A10" s="14" t="inlineStr">
        <is>
          <t>TC-SEARCH-009</t>
        </is>
      </c>
      <c r="B10" s="15" t="inlineStr">
        <is>
          <t>Tìm kiếm toàn cục</t>
        </is>
      </c>
      <c r="C10" s="15" t="inlineStr">
        <is>
          <t>Tìm kiếm API: validate &amp; giới hạn</t>
        </is>
      </c>
      <c r="D10" s="15" t="inlineStr">
        <is>
          <t>Từ chối q thiếu (không truyền q)</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t>
        </is>
      </c>
      <c r="K10" s="15" t="inlineStr">
        <is>
          <t>không có 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TC-SEARCH-010</t>
        </is>
      </c>
      <c r="B11" s="15" t="inlineStr">
        <is>
          <t>Tìm kiếm toàn cục</t>
        </is>
      </c>
      <c r="C11" s="15" t="inlineStr">
        <is>
          <t>Tìm kiếm API: validate &amp; giới hạn</t>
        </is>
      </c>
      <c r="D11" s="15" t="inlineStr">
        <is>
          <t>Từ chối q rỗng (q rỗng)</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t>
        </is>
      </c>
      <c r="K11" s="15" t="inlineStr">
        <is>
          <t>q=</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TC-SEARCH-011</t>
        </is>
      </c>
      <c r="B12" s="15" t="inlineStr">
        <is>
          <t>Tìm kiếm toàn cục</t>
        </is>
      </c>
      <c r="C12" s="15" t="inlineStr">
        <is>
          <t>Tìm kiếm API: validate &amp; giới hạn</t>
        </is>
      </c>
      <c r="D12" s="15" t="inlineStr">
        <is>
          <t>Từ chối q 1 ký tự (dưới 2 ký tự)</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/api/search?q=a</t>
        </is>
      </c>
      <c r="K12" s="15" t="inlineStr">
        <is>
          <t>q=a</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30" customHeight="1">
      <c r="A13" s="14" t="inlineStr">
        <is>
          <t>TC-SEARCH-012</t>
        </is>
      </c>
      <c r="B13" s="15" t="inlineStr">
        <is>
          <t>Tìm kiếm toàn cục</t>
        </is>
      </c>
      <c r="C13" s="15" t="inlineStr">
        <is>
          <t>Tìm kiếm API: validate &amp; giới hạn</t>
        </is>
      </c>
      <c r="D13" s="15" t="inlineStr">
        <is>
          <t>Từ chối q chỉ khoảng trắng (trim ra rỗng)</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/api/search?q=%20%20%20</t>
        </is>
      </c>
      <c r="K13" s="15" t="inlineStr">
        <is>
          <t>q=%20%20%20</t>
        </is>
      </c>
      <c r="L13" s="15" t="inlineStr">
        <is>
          <t>400 VALIDATION_ERROR, message "Tham số không hợp lệ" (details báo "Từ khóa tối thiểu 2 ký tự" hoặc thiếu q); không truy vấn dữ liệu.</t>
        </is>
      </c>
      <c r="M13" s="15" t="inlineStr"/>
      <c r="N13" s="18" t="inlineStr">
        <is>
          <t>Chưa test</t>
        </is>
      </c>
      <c r="O13" s="15" t="inlineStr"/>
      <c r="P13" s="15" t="inlineStr"/>
      <c r="Q13" s="18" t="inlineStr">
        <is>
          <t>Chưa test</t>
        </is>
      </c>
      <c r="R13" s="15" t="inlineStr"/>
    </row>
    <row r="14" ht="45" customHeight="1">
      <c r="A14" s="14" t="inlineStr">
        <is>
          <t>TC-SEARCH-013</t>
        </is>
      </c>
      <c r="B14" s="15" t="inlineStr">
        <is>
          <t>Tìm kiếm toàn cục</t>
        </is>
      </c>
      <c r="C14" s="15" t="inlineStr">
        <is>
          <t>Tìm kiếm API: validate &amp; giới hạn</t>
        </is>
      </c>
      <c r="D14" s="15" t="inlineStr">
        <is>
          <t>Biên độ dài q: 2 ký tự OK, 100 ký tự OK, 101 ký tự bị từ chối</t>
        </is>
      </c>
      <c r="E14" s="15" t="inlineStr">
        <is>
          <t>Chức năng</t>
        </is>
      </c>
      <c r="F14" s="16" t="inlineStr">
        <is>
          <t>Cao</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/api/search?q=an
2. GET /api/search?q=&lt;100 ký tự 'a'&gt;
3. GET /api/search?q=&lt;101 ký tự 'a'&gt;</t>
        </is>
      </c>
      <c r="K14" s="15" t="inlineStr">
        <is>
          <t>2 / 100 / 101 ký tự</t>
        </is>
      </c>
      <c r="L14" s="15" t="inlineStr">
        <is>
          <t>2 và 100: 200; 101: 400 VALIDATION_ERROR, message "Tham số không hợp lệ" ("Từ khóa tối đa 100 ký tự").</t>
        </is>
      </c>
      <c r="M14" s="15" t="inlineStr"/>
      <c r="N14" s="18" t="inlineStr">
        <is>
          <t>Chưa test</t>
        </is>
      </c>
      <c r="O14" s="15" t="inlineStr"/>
      <c r="P14" s="15" t="inlineStr"/>
      <c r="Q14" s="18" t="inlineStr">
        <is>
          <t>Chưa test</t>
        </is>
      </c>
      <c r="R14" s="15" t="inlineStr"/>
    </row>
    <row r="15" ht="30" customHeight="1">
      <c r="A15" s="14" t="inlineStr">
        <is>
          <t>TC-SEARCH-014</t>
        </is>
      </c>
      <c r="B15" s="15" t="inlineStr">
        <is>
          <t>Tìm kiếm toàn cục</t>
        </is>
      </c>
      <c r="C15" s="15" t="inlineStr">
        <is>
          <t>Tìm kiếm API: validate &amp; giới hạn</t>
        </is>
      </c>
      <c r="D15" s="15" t="inlineStr">
        <is>
          <t>q được trim khoảng trắng đầu/cuối</t>
        </is>
      </c>
      <c r="E15" s="15" t="inlineStr">
        <is>
          <t>Chức năng</t>
        </is>
      </c>
      <c r="F15" s="17" t="inlineStr">
        <is>
          <t>Thấp</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/api/search?q=%20%20nhiep%20anh%20%20</t>
        </is>
      </c>
      <c r="K15" s="15" t="inlineStr">
        <is>
          <t>"  nhiep anh  "</t>
        </is>
      </c>
      <c r="L15" s="15" t="inlineStr">
        <is>
          <t>Kết quả giống q=nhiep anh.</t>
        </is>
      </c>
      <c r="M15" s="15" t="inlineStr"/>
      <c r="N15" s="18" t="inlineStr">
        <is>
          <t>Chưa test</t>
        </is>
      </c>
      <c r="O15" s="15" t="inlineStr"/>
      <c r="P15" s="15" t="inlineStr"/>
      <c r="Q15" s="18" t="inlineStr">
        <is>
          <t>Chưa test</t>
        </is>
      </c>
      <c r="R15" s="15" t="inlineStr"/>
    </row>
    <row r="16" ht="30" customHeight="1">
      <c r="A16" s="14" t="inlineStr">
        <is>
          <t>TC-SEARCH-015</t>
        </is>
      </c>
      <c r="B16" s="15" t="inlineStr">
        <is>
          <t>Tìm kiếm toàn cục</t>
        </is>
      </c>
      <c r="C16" s="15" t="inlineStr">
        <is>
          <t>Tìm kiếm API: validate &amp; giới hạn</t>
        </is>
      </c>
      <c r="D16" s="15" t="inlineStr">
        <is>
          <t>type ngoài enum bị từ chối</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/api/search?q=anh&amp;type=events</t>
        </is>
      </c>
      <c r="K16" s="15" t="inlineStr">
        <is>
          <t>type=events</t>
        </is>
      </c>
      <c r="L16" s="15" t="inlineStr">
        <is>
          <t>400 VALIDATION_ERROR, message "Tham số không hợp lệ".</t>
        </is>
      </c>
      <c r="M16" s="15" t="inlineStr"/>
      <c r="N16" s="18" t="inlineStr">
        <is>
          <t>Chưa test</t>
        </is>
      </c>
      <c r="O16" s="15" t="inlineStr"/>
      <c r="P16" s="15" t="inlineStr"/>
      <c r="Q16" s="18" t="inlineStr">
        <is>
          <t>Chưa test</t>
        </is>
      </c>
      <c r="R16" s="15" t="inlineStr"/>
    </row>
    <row r="17" ht="60" customHeight="1">
      <c r="A17" s="14" t="inlineStr">
        <is>
          <t>TC-SEARCH-016</t>
        </is>
      </c>
      <c r="B17" s="15" t="inlineStr">
        <is>
          <t>Tìm kiếm toàn cục</t>
        </is>
      </c>
      <c r="C17" s="15" t="inlineStr">
        <is>
          <t>Tìm kiếm API: validate &amp; giới hạn</t>
        </is>
      </c>
      <c r="D17" s="15" t="inlineStr">
        <is>
          <t>limit&gt;50, limit=0, page=0 bị từ chối; limit=50 OK</t>
        </is>
      </c>
      <c r="E17" s="15" t="inlineStr">
        <is>
          <t>Chức năng</t>
        </is>
      </c>
      <c r="F17" s="20" t="inlineStr">
        <is>
          <t>Trung bình</t>
        </is>
      </c>
      <c r="G17" s="17" t="inlineStr">
        <is>
          <t>Đã hoàn thiện</t>
        </is>
      </c>
      <c r="H17" s="17" t="inlineStr">
        <is>
          <t>Có</t>
        </is>
      </c>
      <c r="I17" s="15" t="inlineStr">
        <is>
          <t>Đăng nhập member1@sofinhub.test / Passw0rd!x (thành viên photo, yt, fin). Dữ liệu seed photo: khóa "Nhiếp ảnh", bài viết về ảnh chân dung</t>
        </is>
      </c>
      <c r="J17" s="15" t="inlineStr">
        <is>
          <t>1. GET /api/search?q=anh&amp;limit=51
2. ...&amp;limit=0
3. ...&amp;page=0
4. ...&amp;limit=50</t>
        </is>
      </c>
      <c r="K17" s="15" t="inlineStr">
        <is>
          <t>-</t>
        </is>
      </c>
      <c r="L17" s="15" t="inlineStr">
        <is>
          <t>Ba request đầu 400 VALIDATION_ERROR, message "Tham số không hợp lệ"; limit=50: 200, meta.limit=50.</t>
        </is>
      </c>
      <c r="M17" s="15" t="inlineStr"/>
      <c r="N17" s="18" t="inlineStr">
        <is>
          <t>Chưa test</t>
        </is>
      </c>
      <c r="O17" s="15" t="inlineStr"/>
      <c r="P17" s="15" t="inlineStr"/>
      <c r="Q17" s="18" t="inlineStr">
        <is>
          <t>Chưa test</t>
        </is>
      </c>
      <c r="R17" s="15" t="inlineStr"/>
    </row>
    <row r="18" ht="45" customHeight="1">
      <c r="A18" s="14" t="inlineStr">
        <is>
          <t>TC-SEARCH-017</t>
        </is>
      </c>
      <c r="B18" s="15" t="inlineStr">
        <is>
          <t>Tìm kiếm toàn cục</t>
        </is>
      </c>
      <c r="C18" s="15" t="inlineStr">
        <is>
          <t>Tìm kiếm API: validate &amp; giới hạn</t>
        </is>
      </c>
      <c r="D18" s="15" t="inlineStr">
        <is>
          <t>Phân trang chung cho type=all: limit=2 chia trang đúng, không trùng</t>
        </is>
      </c>
      <c r="E18" s="15" t="inlineStr">
        <is>
          <t>Chức năng</t>
        </is>
      </c>
      <c r="F18" s="16" t="inlineStr">
        <is>
          <t>Cao</t>
        </is>
      </c>
      <c r="G18" s="17" t="inlineStr">
        <is>
          <t>Đã hoàn thiện</t>
        </is>
      </c>
      <c r="H18" s="17" t="inlineStr">
        <is>
          <t>Có</t>
        </is>
      </c>
      <c r="I18" s="15" t="inlineStr">
        <is>
          <t>Đăng nhập member1@sofinhub.test / Passw0rd!x (thành viên photo, yt, fin). Dữ liệu seed photo: khóa "Nhiếp ảnh", bài viết về ảnh chân dung; q có ≥ 5 kết quả (vd. q=anh)</t>
        </is>
      </c>
      <c r="J18" s="15" t="inlineStr">
        <is>
          <t>1. GET /api/search?q=anh&amp;limit=2&amp;page=1
2. ...&amp;page=2
3. ...&amp;page=&lt;totalPages&gt;</t>
        </is>
      </c>
      <c r="K18" s="15" t="inlineStr">
        <is>
          <t>limit=2</t>
        </is>
      </c>
      <c r="L18" s="15" t="inlineStr">
        <is>
          <t>Mỗi trang ≤ 2 phần tử, không trùng id giữa các trang; meta.total và counts không đổi; trang cuối có phần còn lại; page vượt quá totalPages trả data=[].</t>
        </is>
      </c>
      <c r="M18" s="15" t="inlineStr"/>
      <c r="N18" s="18" t="inlineStr">
        <is>
          <t>Chưa test</t>
        </is>
      </c>
      <c r="O18" s="15" t="inlineStr"/>
      <c r="P18" s="15" t="inlineStr"/>
      <c r="Q18" s="18" t="inlineStr">
        <is>
          <t>Chưa test</t>
        </is>
      </c>
      <c r="R18" s="15" t="inlineStr"/>
    </row>
    <row r="19" ht="30" customHeight="1">
      <c r="A19" s="14" t="inlineStr">
        <is>
          <t>TC-SEARCH-018</t>
        </is>
      </c>
      <c r="B19" s="15" t="inlineStr">
        <is>
          <t>Tìm kiếm toàn cục</t>
        </is>
      </c>
      <c r="C19" s="15" t="inlineStr">
        <is>
          <t>Tìm kiếm API: validate &amp; giới hạn</t>
        </is>
      </c>
      <c r="D19" s="15" t="inlineStr">
        <is>
          <t>Khách (không token) bị từ chối: search và suggest -&gt; 401</t>
        </is>
      </c>
      <c r="E19" s="15" t="inlineStr">
        <is>
          <t>Bảo mật</t>
        </is>
      </c>
      <c r="F19" s="16" t="inlineStr">
        <is>
          <t>Cao</t>
        </is>
      </c>
      <c r="G19" s="17" t="inlineStr">
        <is>
          <t>Đã hoàn thiện</t>
        </is>
      </c>
      <c r="H19" s="17" t="inlineStr">
        <is>
          <t>Có</t>
        </is>
      </c>
      <c r="I19" s="15" t="inlineStr">
        <is>
          <t>Không đăng nhập</t>
        </is>
      </c>
      <c r="J19" s="15" t="inlineStr">
        <is>
          <t>1. GET /api/search?q=anh
2. GET /api/search/suggest?q=anh</t>
        </is>
      </c>
      <c r="K19" s="15" t="inlineStr">
        <is>
          <t>-</t>
        </is>
      </c>
      <c r="L19" s="15" t="inlineStr">
        <is>
          <t>Cả hai 401 UNAUTHORIZED, message "Vui lòng đăng nhập để tiếp tục" (tìm kiếm yêu cầu đăng nhập; khác với trang chủ /courses tìm khóa học công khai không cần đăng nhập).</t>
        </is>
      </c>
      <c r="M19" s="15" t="inlineStr"/>
      <c r="N19" s="18" t="inlineStr">
        <is>
          <t>Chưa test</t>
        </is>
      </c>
      <c r="O19" s="15" t="inlineStr"/>
      <c r="P19" s="15" t="inlineStr"/>
      <c r="Q19" s="18" t="inlineStr">
        <is>
          <t>Chưa test</t>
        </is>
      </c>
      <c r="R19" s="15" t="inlineStr"/>
    </row>
    <row r="20" ht="45" customHeight="1">
      <c r="A20" s="14" t="inlineStr">
        <is>
          <t>TC-SEARCH-019</t>
        </is>
      </c>
      <c r="B20" s="15" t="inlineStr">
        <is>
          <t>Tìm kiếm toàn cục</t>
        </is>
      </c>
      <c r="C20" s="15" t="inlineStr">
        <is>
          <t>Tìm kiếm API: validate &amp; giới hạn</t>
        </is>
      </c>
      <c r="D20" s="15" t="inlineStr">
        <is>
          <t>Rate limit 40 request/phút/user -&gt; 429</t>
        </is>
      </c>
      <c r="E20" s="15" t="inlineStr">
        <is>
          <t>Bảo mật</t>
        </is>
      </c>
      <c r="F20" s="16" t="inlineStr">
        <is>
          <t>Cao</t>
        </is>
      </c>
      <c r="G20" s="17" t="inlineStr">
        <is>
          <t>Đã hoàn thiện</t>
        </is>
      </c>
      <c r="H20" s="17" t="inlineStr">
        <is>
          <t>Có</t>
        </is>
      </c>
      <c r="I20" s="15" t="inlineStr">
        <is>
          <t>Đăng nhập member1@sofinhub.test / Passw0rd!x (thành viên photo, yt, fin). Dữ liệu seed photo: khóa "Nhiếp ảnh", bài viết về ảnh chân dung; NODE_ENV=development (test env gần như vô hạn)</t>
        </is>
      </c>
      <c r="J20" s="15" t="inlineStr">
        <is>
          <t>1. Gọi GET /api/search?q=anh 40 lần trong &lt; 60s
2. Gọi lần thứ 41
3. Chờ 60s rồi gọi lại</t>
        </is>
      </c>
      <c r="K20" s="15" t="inlineStr">
        <is>
          <t>41 request/phút</t>
        </is>
      </c>
      <c r="L20" s="15" t="inlineStr">
        <is>
          <t>40 request đầu 200; thứ 41: 429 TOO_MANY_REQUESTS, message "Bạn tìm kiếm quá nhanh, vui lòng thử lại sau"; sau 60s lại 200. suggest dùng chung bộ đếm 40/phút (tạm).</t>
        </is>
      </c>
      <c r="M20" s="15" t="inlineStr"/>
      <c r="N20" s="18" t="inlineStr">
        <is>
          <t>Chưa test</t>
        </is>
      </c>
      <c r="O20" s="15" t="inlineStr"/>
      <c r="P20" s="15" t="inlineStr"/>
      <c r="Q20" s="18" t="inlineStr">
        <is>
          <t>Chưa test</t>
        </is>
      </c>
      <c r="R20" s="15" t="inlineStr"/>
    </row>
    <row r="21" ht="30" customHeight="1">
      <c r="A21" s="14" t="inlineStr">
        <is>
          <t>TC-SEARCH-020</t>
        </is>
      </c>
      <c r="B21" s="15" t="inlineStr">
        <is>
          <t>Tìm kiếm toàn cục</t>
        </is>
      </c>
      <c r="C21" s="15" t="inlineStr">
        <is>
          <t>Tìm kiếm API: validate &amp; giới hạn</t>
        </is>
      </c>
      <c r="D21" s="15" t="inlineStr">
        <is>
          <t>Rate limit theo từng user (member2 không bị ảnh hưởng)</t>
        </is>
      </c>
      <c r="E21" s="15" t="inlineStr">
        <is>
          <t>Bảo mật</t>
        </is>
      </c>
      <c r="F21" s="20" t="inlineStr">
        <is>
          <t>Trung bình</t>
        </is>
      </c>
      <c r="G21" s="17" t="inlineStr">
        <is>
          <t>Đã hoàn thiện</t>
        </is>
      </c>
      <c r="H21" s="17" t="inlineStr">
        <is>
          <t>Có</t>
        </is>
      </c>
      <c r="I21" s="15" t="inlineStr">
        <is>
          <t>Đăng nhập member1@sofinhub.test / Passw0rd!x (thành viên photo, yt, fin). Dữ liệu seed photo: khóa "Nhiếp ảnh", bài viết về ảnh chân dung; member1 đã bị 429</t>
        </is>
      </c>
      <c r="J21" s="15" t="inlineStr">
        <is>
          <t>1. member2: GET /api/search?q=anh</t>
        </is>
      </c>
      <c r="K21" s="15" t="inlineStr">
        <is>
          <t>-</t>
        </is>
      </c>
      <c r="L21" s="15" t="inlineStr">
        <is>
          <t>member2 nhận 200 bình thường.</t>
        </is>
      </c>
      <c r="M21" s="15" t="inlineStr"/>
      <c r="N21" s="18" t="inlineStr">
        <is>
          <t>Chưa test</t>
        </is>
      </c>
      <c r="O21" s="15" t="inlineStr"/>
      <c r="P21" s="15" t="inlineStr"/>
      <c r="Q21" s="18" t="inlineStr">
        <is>
          <t>Chưa test</t>
        </is>
      </c>
      <c r="R21" s="15" t="inlineStr"/>
    </row>
    <row r="22" ht="30" customHeight="1">
      <c r="A22" s="14" t="inlineStr">
        <is>
          <t>TC-SEARCH-021</t>
        </is>
      </c>
      <c r="B22" s="15" t="inlineStr">
        <is>
          <t>Tìm kiếm toàn cục</t>
        </is>
      </c>
      <c r="C22" s="15" t="inlineStr">
        <is>
          <t>Phạm vi &amp; riêng tư kết quả</t>
        </is>
      </c>
      <c r="D22" s="15" t="inlineStr">
        <is>
          <t>Khóa học: chỉ khóa visibility=public, private-demo không xuất hiện</t>
        </is>
      </c>
      <c r="E22" s="15" t="inlineStr">
        <is>
          <t>Bảo mật</t>
        </is>
      </c>
      <c r="F22" s="16" t="inlineStr">
        <is>
          <t>Cao</t>
        </is>
      </c>
      <c r="G22" s="17" t="inlineStr">
        <is>
          <t>Đã hoàn thiện</t>
        </is>
      </c>
      <c r="H22" s="17" t="inlineStr">
        <is>
          <t>Có</t>
        </is>
      </c>
      <c r="I22"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2" s="15" t="inlineStr">
        <is>
          <t>1. GET /api/search?q=private-demo&amp;type=courses
2. GET /api/search?q=demo&amp;type=courses</t>
        </is>
      </c>
      <c r="K22" s="15" t="inlineStr">
        <is>
          <t>-</t>
        </is>
      </c>
      <c r="L22" s="15" t="inlineStr">
        <is>
          <t>Không có kết quả id=private-demo trong nhóm khóa học (khóa học chỉ tìm trong visibility=public); paid-demo (công khai) thì xuất hiện.</t>
        </is>
      </c>
      <c r="M22" s="15" t="inlineStr"/>
      <c r="N22" s="18" t="inlineStr">
        <is>
          <t>Chưa test</t>
        </is>
      </c>
      <c r="O22" s="15" t="inlineStr"/>
      <c r="P22" s="15" t="inlineStr"/>
      <c r="Q22" s="18" t="inlineStr">
        <is>
          <t>Chưa test</t>
        </is>
      </c>
      <c r="R22" s="15" t="inlineStr"/>
    </row>
    <row r="23" ht="30" customHeight="1">
      <c r="A23" s="14" t="inlineStr">
        <is>
          <t>TC-SEARCH-022</t>
        </is>
      </c>
      <c r="B23" s="15" t="inlineStr">
        <is>
          <t>Tìm kiếm toàn cục</t>
        </is>
      </c>
      <c r="C23" s="15" t="inlineStr">
        <is>
          <t>Phạm vi &amp; riêng tư kết quả</t>
        </is>
      </c>
      <c r="D23" s="15" t="inlineStr">
        <is>
          <t>Bài viết &amp; thành viên chỉ trong cộng đồng đã tham gia</t>
        </is>
      </c>
      <c r="E23" s="15" t="inlineStr">
        <is>
          <t>Bảo mật</t>
        </is>
      </c>
      <c r="F23" s="16" t="inlineStr">
        <is>
          <t>Cao</t>
        </is>
      </c>
      <c r="G23" s="17" t="inlineStr">
        <is>
          <t>Đã hoàn thiện</t>
        </is>
      </c>
      <c r="H23" s="17" t="inlineStr">
        <is>
          <t>Có</t>
        </is>
      </c>
      <c r="I23" s="15" t="inlineStr">
        <is>
          <t>Đăng nhập newbie@sofinhub.test / Passw0rd!x (chưa ở cộng đồng nào)</t>
        </is>
      </c>
      <c r="J23" s="15" t="inlineStr">
        <is>
          <t>1. newbie: GET /api/search?q=chân dung
2. newbie: GET /api/search?q=member2&amp;type=members</t>
        </is>
      </c>
      <c r="K23" s="15" t="inlineStr">
        <is>
          <t>-</t>
        </is>
      </c>
      <c r="L23" s="15" t="inlineStr">
        <is>
          <t>counts.posts=0 và counts.members=0 (chưa thuộc cộng đồng nào) dù photo có nội dung khớp; chỉ có thể còn kết quả khóa học công khai.</t>
        </is>
      </c>
      <c r="M23" s="15" t="inlineStr"/>
      <c r="N23" s="18" t="inlineStr">
        <is>
          <t>Chưa test</t>
        </is>
      </c>
      <c r="O23" s="15" t="inlineStr"/>
      <c r="P23" s="15" t="inlineStr"/>
      <c r="Q23" s="18" t="inlineStr">
        <is>
          <t>Chưa test</t>
        </is>
      </c>
      <c r="R23" s="15" t="inlineStr"/>
    </row>
    <row r="24" ht="30" customHeight="1">
      <c r="A24" s="14" t="inlineStr">
        <is>
          <t>TC-SEARCH-023</t>
        </is>
      </c>
      <c r="B24" s="15" t="inlineStr">
        <is>
          <t>Tìm kiếm toàn cục</t>
        </is>
      </c>
      <c r="C24" s="15" t="inlineStr">
        <is>
          <t>Phạm vi &amp; riêng tư kết quả</t>
        </is>
      </c>
      <c r="D24" s="15" t="inlineStr">
        <is>
          <t>member1 không thấy bài viết của cộng đồng mình không tham gia</t>
        </is>
      </c>
      <c r="E24" s="15" t="inlineStr">
        <is>
          <t>Bảo mật</t>
        </is>
      </c>
      <c r="F24" s="16" t="inlineStr">
        <is>
          <t>Cao</t>
        </is>
      </c>
      <c r="G24" s="17" t="inlineStr">
        <is>
          <t>Đã hoàn thiện</t>
        </is>
      </c>
      <c r="H24" s="17" t="inlineStr">
        <is>
          <t>Có</t>
        </is>
      </c>
      <c r="I24"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4" s="15" t="inlineStr">
        <is>
          <t>1. member2: GET /api/search?q=&lt;từ chỉ có trong bài ở cộng đồng yt&gt;&amp;type=posts
2. member1: cùng truy vấn</t>
        </is>
      </c>
      <c r="K24" s="15" t="inlineStr">
        <is>
          <t>-</t>
        </is>
      </c>
      <c r="L24" s="15" t="inlineStr">
        <is>
          <t>member2: 0 bài; member1: có bài của yt.</t>
        </is>
      </c>
      <c r="M24" s="15" t="inlineStr"/>
      <c r="N24" s="18" t="inlineStr">
        <is>
          <t>Chưa test</t>
        </is>
      </c>
      <c r="O24" s="15" t="inlineStr"/>
      <c r="P24" s="15" t="inlineStr"/>
      <c r="Q24" s="18" t="inlineStr">
        <is>
          <t>Chưa test</t>
        </is>
      </c>
      <c r="R24" s="15" t="inlineStr"/>
    </row>
    <row r="25" ht="30" customHeight="1">
      <c r="A25" s="14" t="inlineStr">
        <is>
          <t>TC-SEARCH-024</t>
        </is>
      </c>
      <c r="B25" s="15" t="inlineStr">
        <is>
          <t>Tìm kiếm toàn cục</t>
        </is>
      </c>
      <c r="C25" s="15" t="inlineStr">
        <is>
          <t>Phạm vi &amp; riêng tư kết quả</t>
        </is>
      </c>
      <c r="D25" s="15" t="inlineStr">
        <is>
          <t>courseId hợp lệ + là thành viên: chỉ trả kết quả của cộng đồng đó</t>
        </is>
      </c>
      <c r="E25" s="15" t="inlineStr">
        <is>
          <t>Chức năng</t>
        </is>
      </c>
      <c r="F25" s="20" t="inlineStr">
        <is>
          <t>Trung bình</t>
        </is>
      </c>
      <c r="G25" s="17" t="inlineStr">
        <is>
          <t>Đã hoàn thiện</t>
        </is>
      </c>
      <c r="H25" s="17" t="inlineStr">
        <is>
          <t>Có</t>
        </is>
      </c>
      <c r="I25" s="15" t="inlineStr">
        <is>
          <t>Đăng nhập member1@sofinhub.test / Passw0rd!x (thành viên photo, yt, fin). Dữ liệu seed photo: khóa "Nhiếp ảnh", bài viết về ảnh chân dung</t>
        </is>
      </c>
      <c r="J25" s="15" t="inlineStr">
        <is>
          <t>1. GET /api/search?q=anh&amp;courseId=photo</t>
        </is>
      </c>
      <c r="K25" s="15" t="inlineStr">
        <is>
          <t>courseId=photo</t>
        </is>
      </c>
      <c r="L25" s="15" t="inlineStr">
        <is>
          <t>Mọi post/member có courseId="photo"; không lẫn yt/fin.</t>
        </is>
      </c>
      <c r="M25" s="15" t="inlineStr"/>
      <c r="N25" s="18" t="inlineStr">
        <is>
          <t>Chưa test</t>
        </is>
      </c>
      <c r="O25" s="15" t="inlineStr"/>
      <c r="P25" s="15" t="inlineStr"/>
      <c r="Q25" s="18" t="inlineStr">
        <is>
          <t>Chưa test</t>
        </is>
      </c>
      <c r="R25" s="15" t="inlineStr"/>
    </row>
    <row r="26" ht="30" customHeight="1">
      <c r="A26" s="14" t="inlineStr">
        <is>
          <t>TC-SEARCH-025</t>
        </is>
      </c>
      <c r="B26" s="15" t="inlineStr">
        <is>
          <t>Tìm kiếm toàn cục</t>
        </is>
      </c>
      <c r="C26" s="15" t="inlineStr">
        <is>
          <t>Phạm vi &amp; riêng tư kết quả</t>
        </is>
      </c>
      <c r="D26" s="15" t="inlineStr">
        <is>
          <t>courseId mà không phải thành viên -&gt; 403</t>
        </is>
      </c>
      <c r="E26" s="15" t="inlineStr">
        <is>
          <t>Bảo mật</t>
        </is>
      </c>
      <c r="F26" s="16" t="inlineStr">
        <is>
          <t>Cao</t>
        </is>
      </c>
      <c r="G26" s="17" t="inlineStr">
        <is>
          <t>Đã hoàn thiện</t>
        </is>
      </c>
      <c r="H26" s="17" t="inlineStr">
        <is>
          <t>Có</t>
        </is>
      </c>
      <c r="I26" s="15" t="inlineStr">
        <is>
          <t>Đăng nhập member2@sofinhub.test / Passw0rd!x (chỉ ở photo)</t>
        </is>
      </c>
      <c r="J26" s="15" t="inlineStr">
        <is>
          <t>1. GET /api/search?q=anh&amp;courseId=yt</t>
        </is>
      </c>
      <c r="K26" s="15" t="inlineStr">
        <is>
          <t>courseId=yt</t>
        </is>
      </c>
      <c r="L26" s="15" t="inlineStr">
        <is>
          <t>403 FORBIDDEN (không phải thành viên); không rò dữ liệu của yt.</t>
        </is>
      </c>
      <c r="M26" s="15" t="inlineStr"/>
      <c r="N26" s="18" t="inlineStr">
        <is>
          <t>Chưa test</t>
        </is>
      </c>
      <c r="O26" s="15" t="inlineStr"/>
      <c r="P26" s="15" t="inlineStr"/>
      <c r="Q26" s="18" t="inlineStr">
        <is>
          <t>Chưa test</t>
        </is>
      </c>
      <c r="R26" s="15" t="inlineStr"/>
    </row>
    <row r="27" ht="30" customHeight="1">
      <c r="A27" s="14" t="inlineStr">
        <is>
          <t>TC-SEARCH-026</t>
        </is>
      </c>
      <c r="B27" s="15" t="inlineStr">
        <is>
          <t>Tìm kiếm toàn cục</t>
        </is>
      </c>
      <c r="C27" s="15" t="inlineStr">
        <is>
          <t>Phạm vi &amp; riêng tư kết quả</t>
        </is>
      </c>
      <c r="D27" s="15" t="inlineStr">
        <is>
          <t>courseId không tồn tại -&gt; 404</t>
        </is>
      </c>
      <c r="E27" s="15" t="inlineStr">
        <is>
          <t>Chức năng</t>
        </is>
      </c>
      <c r="F27" s="17" t="inlineStr">
        <is>
          <t>Thấp</t>
        </is>
      </c>
      <c r="G27" s="17" t="inlineStr">
        <is>
          <t>Đã hoàn thiện</t>
        </is>
      </c>
      <c r="H27" s="17" t="inlineStr">
        <is>
          <t>Có</t>
        </is>
      </c>
      <c r="I27" s="15" t="inlineStr">
        <is>
          <t>Đăng nhập member1@sofinhub.test / Passw0rd!x (thành viên photo, yt, fin). Dữ liệu seed photo: khóa "Nhiếp ảnh", bài viết về ảnh chân dung</t>
        </is>
      </c>
      <c r="J27" s="15" t="inlineStr">
        <is>
          <t>1. GET /api/search?q=anh&amp;courseId=khong-co</t>
        </is>
      </c>
      <c r="K27" s="15" t="inlineStr">
        <is>
          <t>courseId=khong-co</t>
        </is>
      </c>
      <c r="L27" s="15" t="inlineStr">
        <is>
          <t>404 NOT_FOUND.</t>
        </is>
      </c>
      <c r="M27" s="15" t="inlineStr"/>
      <c r="N27" s="18" t="inlineStr">
        <is>
          <t>Chưa test</t>
        </is>
      </c>
      <c r="O27" s="15" t="inlineStr"/>
      <c r="P27" s="15" t="inlineStr"/>
      <c r="Q27" s="18" t="inlineStr">
        <is>
          <t>Chưa test</t>
        </is>
      </c>
      <c r="R27" s="15" t="inlineStr"/>
    </row>
    <row r="28" ht="30" customHeight="1">
      <c r="A28" s="14" t="inlineStr">
        <is>
          <t>TC-SEARCH-027</t>
        </is>
      </c>
      <c r="B28" s="15" t="inlineStr">
        <is>
          <t>Tìm kiếm toàn cục</t>
        </is>
      </c>
      <c r="C28" s="15" t="inlineStr">
        <is>
          <t>Phạm vi &amp; riêng tư kết quả</t>
        </is>
      </c>
      <c r="D28" s="15" t="inlineStr">
        <is>
          <t>type=courses không cần là thành viên kể cả khi courseId là khóa chưa tham gia</t>
        </is>
      </c>
      <c r="E28" s="15" t="inlineStr">
        <is>
          <t>Chức năng</t>
        </is>
      </c>
      <c r="F28" s="17" t="inlineStr">
        <is>
          <t>Thấp</t>
        </is>
      </c>
      <c r="G28" s="17" t="inlineStr">
        <is>
          <t>Đã hoàn thiện</t>
        </is>
      </c>
      <c r="H28" s="17" t="inlineStr">
        <is>
          <t>Có</t>
        </is>
      </c>
      <c r="I28" s="15" t="inlineStr">
        <is>
          <t>Đăng nhập member2 (chỉ ở photo)</t>
        </is>
      </c>
      <c r="J28" s="15" t="inlineStr">
        <is>
          <t>1. GET /api/search?q=&lt;từ tiêu đề khóa yt&gt;&amp;type=courses&amp;courseId=yt</t>
        </is>
      </c>
      <c r="K28" s="15" t="inlineStr">
        <is>
          <t>-</t>
        </is>
      </c>
      <c r="L28" s="15" t="inlineStr">
        <is>
          <t>Theo code, type=courses không kiểm tra thành viên (khóa học công khai) -&gt; 200 trả khóa yt nếu khớp; nhưng type=all/posts/members với cùng courseId -&gt; 403 (ghi nhận, chưa chốt).</t>
        </is>
      </c>
      <c r="M28" s="15" t="inlineStr"/>
      <c r="N28" s="18" t="inlineStr">
        <is>
          <t>Chưa test</t>
        </is>
      </c>
      <c r="O28" s="15" t="inlineStr"/>
      <c r="P28" s="15" t="inlineStr"/>
      <c r="Q28" s="18" t="inlineStr">
        <is>
          <t>Chưa test</t>
        </is>
      </c>
      <c r="R28" s="15" t="inlineStr"/>
    </row>
    <row r="29" ht="30" customHeight="1">
      <c r="A29" s="14" t="inlineStr">
        <is>
          <t>TC-SEARCH-028</t>
        </is>
      </c>
      <c r="B29" s="15" t="inlineStr">
        <is>
          <t>Tìm kiếm toàn cục</t>
        </is>
      </c>
      <c r="C29" s="15" t="inlineStr">
        <is>
          <t>Phạm vi &amp; riêng tư kết quả</t>
        </is>
      </c>
      <c r="D29" s="15" t="inlineStr">
        <is>
          <t>Bài viết bị ẩn (hidden) chỉ mod trở lên thấy</t>
        </is>
      </c>
      <c r="E29" s="15" t="inlineStr">
        <is>
          <t>Bảo mật</t>
        </is>
      </c>
      <c r="F29" s="16" t="inlineStr">
        <is>
          <t>Cao</t>
        </is>
      </c>
      <c r="G29" s="17" t="inlineStr">
        <is>
          <t>Đã hoàn thiện</t>
        </is>
      </c>
      <c r="H29" s="17" t="inlineStr">
        <is>
          <t>Có</t>
        </is>
      </c>
      <c r="I29" s="15" t="inlineStr">
        <is>
          <t>Có 1 bài ở photo đã bị mod ẩn (nội dung chứa "kín-ẩn-123"); đăng nhập member1 rồi mod@sofinhub.test</t>
        </is>
      </c>
      <c r="J29" s="15" t="inlineStr">
        <is>
          <t>1. member1: GET /api/search?q=kín-ẩn-123&amp;type=posts
2. mod: cùng truy vấn</t>
        </is>
      </c>
      <c r="K29" s="15" t="inlineStr">
        <is>
          <t>-</t>
        </is>
      </c>
      <c r="L29" s="15" t="inlineStr">
        <is>
          <t>member1: 0 kết quả; mod: 1 kết quả. LƯU Ý: docs ghi Post chưa có trường hidden nên bước lọc chưa có tác dụng - nếu member1 vẫn thấy bài ẩn thì đây là lỗi/chưa hoàn thiện (chưa chốt); kiểm thêm bài bị mod xóa không xuất hiện.</t>
        </is>
      </c>
      <c r="M29" s="15" t="inlineStr"/>
      <c r="N29" s="18" t="inlineStr">
        <is>
          <t>Chưa test</t>
        </is>
      </c>
      <c r="O29" s="15" t="inlineStr"/>
      <c r="P29" s="15" t="inlineStr"/>
      <c r="Q29" s="18" t="inlineStr">
        <is>
          <t>Chưa test</t>
        </is>
      </c>
      <c r="R29" s="15" t="inlineStr"/>
    </row>
    <row r="30" ht="30" customHeight="1">
      <c r="A30" s="14" t="inlineStr">
        <is>
          <t>TC-SEARCH-029</t>
        </is>
      </c>
      <c r="B30" s="15" t="inlineStr">
        <is>
          <t>Tìm kiếm toàn cục</t>
        </is>
      </c>
      <c r="C30" s="15" t="inlineStr">
        <is>
          <t>Phạm vi &amp; riêng tư kết quả</t>
        </is>
      </c>
      <c r="D30" s="15" t="inlineStr">
        <is>
          <t>Thành viên banned không xuất hiện trong kết quả thành viên của photo</t>
        </is>
      </c>
      <c r="E30" s="15" t="inlineStr">
        <is>
          <t>Bảo mật</t>
        </is>
      </c>
      <c r="F30" s="20" t="inlineStr">
        <is>
          <t>Trung bình</t>
        </is>
      </c>
      <c r="G30" s="17" t="inlineStr">
        <is>
          <t>Đã hoàn thiện</t>
        </is>
      </c>
      <c r="H30" s="17" t="inlineStr">
        <is>
          <t>Có</t>
        </is>
      </c>
      <c r="I30" s="15" t="inlineStr">
        <is>
          <t>Đăng nhập member1@sofinhub.test / Passw0rd!x (thành viên photo, yt, fin). Dữ liệu seed photo: khóa "Nhiếp ảnh", bài viết về ảnh chân dung; banned@sofinhub.test bị ban khỏi photo</t>
        </is>
      </c>
      <c r="J30" s="15" t="inlineStr">
        <is>
          <t>1. member1: GET /api/search?q=banned&amp;type=members</t>
        </is>
      </c>
      <c r="K30" s="15" t="inlineStr">
        <is>
          <t>q=banned</t>
        </is>
      </c>
      <c r="L30" s="15" t="inlineStr">
        <is>
          <t>Không có kết quả của tài khoản bị ban trong photo (kết quả lấy từ danh sách thành viên hiện tại của cộng đồng); ghi nhận nếu vẫn xuất hiện.</t>
        </is>
      </c>
      <c r="M30" s="15" t="inlineStr"/>
      <c r="N30" s="18" t="inlineStr">
        <is>
          <t>Chưa test</t>
        </is>
      </c>
      <c r="O30" s="15" t="inlineStr"/>
      <c r="P30" s="15" t="inlineStr"/>
      <c r="Q30" s="18" t="inlineStr">
        <is>
          <t>Chưa test</t>
        </is>
      </c>
      <c r="R30" s="15" t="inlineStr"/>
    </row>
    <row r="31" ht="30" customHeight="1">
      <c r="A31" s="14" t="inlineStr">
        <is>
          <t>TC-SEARCH-030</t>
        </is>
      </c>
      <c r="B31" s="15" t="inlineStr">
        <is>
          <t>Tìm kiếm toàn cục</t>
        </is>
      </c>
      <c r="C31" s="15" t="inlineStr">
        <is>
          <t>Phạm vi &amp; riêng tư kết quả</t>
        </is>
      </c>
      <c r="D31" s="15" t="inlineStr">
        <is>
          <t>Tài khoản đã xóa/ẩn danh hóa không lộ tên gốc trong kết quả</t>
        </is>
      </c>
      <c r="E31" s="15" t="inlineStr">
        <is>
          <t>Bảo mật</t>
        </is>
      </c>
      <c r="F31" s="16" t="inlineStr">
        <is>
          <t>Cao</t>
        </is>
      </c>
      <c r="G31" s="17" t="inlineStr">
        <is>
          <t>Đã hoàn thiện</t>
        </is>
      </c>
      <c r="H31" s="20" t="inlineStr">
        <is>
          <t>Một phần</t>
        </is>
      </c>
      <c r="I31" s="15" t="inlineStr">
        <is>
          <t>Một user test đã xóa tài khoản (ẩn danh hóa) trước đó, từng có bài ở photo</t>
        </is>
      </c>
      <c r="J31" s="15" t="inlineStr">
        <is>
          <t>1. member1: GET /api/search?q=&lt;tên cũ của user đã xóa&gt;
2. Xem tác giả bài cũ</t>
        </is>
      </c>
      <c r="K31" s="15" t="inlineStr">
        <is>
          <t>tên cũ</t>
        </is>
      </c>
      <c r="L31" s="15" t="inlineStr">
        <is>
          <t>Không tìm ra theo tên gốc; nếu bài còn hiển thị thì author là tên ẩn danh hóa, không lộ email/tên thật.</t>
        </is>
      </c>
      <c r="M31" s="15" t="inlineStr"/>
      <c r="N31" s="18" t="inlineStr">
        <is>
          <t>Chưa test</t>
        </is>
      </c>
      <c r="O31" s="15" t="inlineStr"/>
      <c r="P31" s="15" t="inlineStr"/>
      <c r="Q31" s="18" t="inlineStr">
        <is>
          <t>Chưa test</t>
        </is>
      </c>
      <c r="R31" s="15" t="inlineStr"/>
    </row>
    <row r="32" ht="30" customHeight="1">
      <c r="A32" s="14" t="inlineStr">
        <is>
          <t>TC-SEARCH-031</t>
        </is>
      </c>
      <c r="B32" s="15" t="inlineStr">
        <is>
          <t>Tìm kiếm toàn cục</t>
        </is>
      </c>
      <c r="C32" s="15" t="inlineStr">
        <is>
          <t>Phạm vi &amp; riêng tư kết quả</t>
        </is>
      </c>
      <c r="D32" s="15" t="inlineStr">
        <is>
          <t>Thành viên minh họa (isDemo) có trong kết quả, link không dẫn tới hồ sơ đăng nhập</t>
        </is>
      </c>
      <c r="E32" s="15" t="inlineStr">
        <is>
          <t>Chức năng</t>
        </is>
      </c>
      <c r="F32" s="17" t="inlineStr">
        <is>
          <t>Thấp</t>
        </is>
      </c>
      <c r="G32" s="17" t="inlineStr">
        <is>
          <t>Đã hoàn thiện</t>
        </is>
      </c>
      <c r="H32" s="17" t="inlineStr">
        <is>
          <t>Có</t>
        </is>
      </c>
      <c r="I32" s="15" t="inlineStr">
        <is>
          <t>Đăng nhập member1@sofinhub.test / Passw0rd!x (thành viên photo, yt, fin). Dữ liệu seed photo: khóa "Nhiếp ảnh", bài viết về ảnh chân dung; thành viên minh họa id demo-&lt;courseId&gt;-&lt;i&gt;</t>
        </is>
      </c>
      <c r="J32" s="15" t="inlineStr">
        <is>
          <t>1. GET /api/search?q=&lt;tên một thành viên minh họa&gt;&amp;type=members</t>
        </is>
      </c>
      <c r="K32" s="15" t="inlineStr">
        <is>
          <t>-</t>
        </is>
      </c>
      <c r="L32" s="15" t="inlineStr">
        <is>
          <t>Trả phần tử member (nếu listMembers gồm demo); link từ API là /courses/&lt;cid&gt;/community?tab=members (docs FE ghi /users/:id cho người thật, tab Thành viên ?q=handle cho minh họa: kiểm tra FE xử lý đúng).</t>
        </is>
      </c>
      <c r="M32" s="15" t="inlineStr"/>
      <c r="N32" s="18" t="inlineStr">
        <is>
          <t>Chưa test</t>
        </is>
      </c>
      <c r="O32" s="15" t="inlineStr"/>
      <c r="P32" s="15" t="inlineStr"/>
      <c r="Q32" s="18" t="inlineStr">
        <is>
          <t>Chưa test</t>
        </is>
      </c>
      <c r="R32" s="15" t="inlineStr"/>
    </row>
    <row r="33" ht="30" customHeight="1">
      <c r="A33" s="14" t="inlineStr">
        <is>
          <t>TC-SEARCH-032</t>
        </is>
      </c>
      <c r="B33" s="15" t="inlineStr">
        <is>
          <t>Tìm kiếm toàn cục</t>
        </is>
      </c>
      <c r="C33" s="15" t="inlineStr">
        <is>
          <t>Gợi ý (suggest)</t>
        </is>
      </c>
      <c r="D33" s="15" t="inlineStr">
        <is>
          <t>Suggest trả tối đa 5 mục, xen kẽ khóa học/thành viên/bài viết</t>
        </is>
      </c>
      <c r="E33" s="15" t="inlineStr">
        <is>
          <t>Chức năng</t>
        </is>
      </c>
      <c r="F33" s="16" t="inlineStr">
        <is>
          <t>Cao</t>
        </is>
      </c>
      <c r="G33" s="17" t="inlineStr">
        <is>
          <t>Đã hoàn thiện</t>
        </is>
      </c>
      <c r="H33" s="17" t="inlineStr">
        <is>
          <t>Có</t>
        </is>
      </c>
      <c r="I33" s="15" t="inlineStr">
        <is>
          <t>Đăng nhập member1@sofinhub.test / Passw0rd!x (thành viên photo, yt, fin). Dữ liệu seed photo: khóa "Nhiếp ảnh", bài viết về ảnh chân dung; q có nhiều kết quả (vd. q=anh)</t>
        </is>
      </c>
      <c r="J33" s="15" t="inlineStr">
        <is>
          <t>1. GET /api/search/suggest?q=anh</t>
        </is>
      </c>
      <c r="K33" s="15" t="inlineStr">
        <is>
          <t>q=anh</t>
        </is>
      </c>
      <c r="L33" s="15" t="inlineStr">
        <is>
          <t>200 {data:[...]}, độ dài ≤ 5, không có meta/counts; thứ tự xen kẽ course, member, post, course, member...</t>
        </is>
      </c>
      <c r="M33" s="15" t="inlineStr"/>
      <c r="N33" s="18" t="inlineStr">
        <is>
          <t>Chưa test</t>
        </is>
      </c>
      <c r="O33" s="15" t="inlineStr"/>
      <c r="P33" s="15" t="inlineStr"/>
      <c r="Q33" s="18" t="inlineStr">
        <is>
          <t>Chưa test</t>
        </is>
      </c>
      <c r="R33" s="15" t="inlineStr"/>
    </row>
    <row r="34" ht="45" customHeight="1">
      <c r="A34" s="14" t="inlineStr">
        <is>
          <t>TC-SEARCH-033</t>
        </is>
      </c>
      <c r="B34" s="15" t="inlineStr">
        <is>
          <t>Tìm kiếm toàn cục</t>
        </is>
      </c>
      <c r="C34" s="15" t="inlineStr">
        <is>
          <t>Gợi ý (suggest)</t>
        </is>
      </c>
      <c r="D34" s="15" t="inlineStr">
        <is>
          <t>Suggest validate q giống search (rỗng/1 ký tự/101 ký tự)</t>
        </is>
      </c>
      <c r="E34" s="15" t="inlineStr">
        <is>
          <t>Chức năng</t>
        </is>
      </c>
      <c r="F34" s="20" t="inlineStr">
        <is>
          <t>Trung bình</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GET /api/search/suggest?q=a
2. GET /api/search/suggest?q=
3. GET /api/search/suggest?q=&lt;101 ký tự&gt;</t>
        </is>
      </c>
      <c r="K34" s="15" t="inlineStr">
        <is>
          <t>-</t>
        </is>
      </c>
      <c r="L34" s="15" t="inlineStr">
        <is>
          <t>Cả ba 400 VALIDATION_ERROR, message "Tham số không hợp lệ".</t>
        </is>
      </c>
      <c r="M34" s="15" t="inlineStr"/>
      <c r="N34" s="18" t="inlineStr">
        <is>
          <t>Chưa test</t>
        </is>
      </c>
      <c r="O34" s="15" t="inlineStr"/>
      <c r="P34" s="15" t="inlineStr"/>
      <c r="Q34" s="18" t="inlineStr">
        <is>
          <t>Chưa test</t>
        </is>
      </c>
      <c r="R34" s="15" t="inlineStr"/>
    </row>
    <row r="35" ht="30" customHeight="1">
      <c r="A35" s="14" t="inlineStr">
        <is>
          <t>TC-SEARCH-034</t>
        </is>
      </c>
      <c r="B35" s="15" t="inlineStr">
        <is>
          <t>Tìm kiếm toàn cục</t>
        </is>
      </c>
      <c r="C35" s="15" t="inlineStr">
        <is>
          <t>Gợi ý (suggest)</t>
        </is>
      </c>
      <c r="D35" s="15" t="inlineStr">
        <is>
          <t>Suggest không dấu và tô đậm đoạn khớp</t>
        </is>
      </c>
      <c r="E35" s="15" t="inlineStr">
        <is>
          <t>Chức năng</t>
        </is>
      </c>
      <c r="F35" s="20" t="inlineStr">
        <is>
          <t>Trung bình</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GET /api/search/suggest?q=nhiep</t>
        </is>
      </c>
      <c r="K35" s="15" t="inlineStr">
        <is>
          <t>q=nhiep</t>
        </is>
      </c>
      <c r="L35" s="15" t="inlineStr">
        <is>
          <t>Phần tử khóa học có title Segment[] với đoạn "Nhiếp" match=true; các đoạn còn lại match=false.</t>
        </is>
      </c>
      <c r="M35" s="15" t="inlineStr"/>
      <c r="N35" s="18" t="inlineStr">
        <is>
          <t>Chưa test</t>
        </is>
      </c>
      <c r="O35" s="15" t="inlineStr"/>
      <c r="P35" s="15" t="inlineStr"/>
      <c r="Q35" s="18" t="inlineStr">
        <is>
          <t>Chưa test</t>
        </is>
      </c>
      <c r="R35" s="15" t="inlineStr"/>
    </row>
    <row r="36" ht="75" customHeight="1">
      <c r="A36" s="14" t="inlineStr">
        <is>
          <t>TC-SEARCH-035</t>
        </is>
      </c>
      <c r="B36" s="15" t="inlineStr">
        <is>
          <t>Tìm kiếm toàn cục</t>
        </is>
      </c>
      <c r="C36" s="15" t="inlineStr">
        <is>
          <t>Gợi ý (suggest)</t>
        </is>
      </c>
      <c r="D36" s="15" t="inlineStr">
        <is>
          <t>UI topbar: gõ ≥ 2 ký tự sau ~250ms hiện dropdown ≤ 5 gợi ý; phím ↑ ↓ Enter Esc</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Vào /courses/photo/community
2. Nhấn Ctrl+K để focus ô tìm kiếm
3. Gõ "nh"
4. Nhấn ↓ hai lần, Enter
5. Mở lại, gõ "nh", nhấn Esc</t>
        </is>
      </c>
      <c r="K36" s="15" t="inlineStr">
        <is>
          <t>q=nh</t>
        </is>
      </c>
      <c r="L36" s="15" t="inlineStr">
        <is>
          <t>Sau ~250ms dropdown ≤ 5 gợi ý, phần khớp được bôi đậm; Enter mở đúng mục đang chọn; Esc đóng; dòng cuối "Xem tất cả kết quả"; Enter khi không chọn mục nào -&gt; /search?q=nh.</t>
        </is>
      </c>
      <c r="M36" s="15" t="inlineStr"/>
      <c r="N36" s="18" t="inlineStr">
        <is>
          <t>Chưa test</t>
        </is>
      </c>
      <c r="O36" s="15" t="inlineStr"/>
      <c r="P36" s="15" t="inlineStr"/>
      <c r="Q36" s="18" t="inlineStr">
        <is>
          <t>Chưa test</t>
        </is>
      </c>
      <c r="R36" s="15" t="inlineStr"/>
    </row>
    <row r="37" ht="30" customHeight="1">
      <c r="A37" s="14" t="inlineStr">
        <is>
          <t>TC-SEARCH-036</t>
        </is>
      </c>
      <c r="B37" s="15" t="inlineStr">
        <is>
          <t>Tìm kiếm toàn cục</t>
        </is>
      </c>
      <c r="C37" s="15" t="inlineStr">
        <is>
          <t>Gợi ý (suggest)</t>
        </is>
      </c>
      <c r="D37" s="15" t="inlineStr">
        <is>
          <t>UI topbar: gõ 1 ký tự không gọi suggest</t>
        </is>
      </c>
      <c r="E37" s="15" t="inlineStr">
        <is>
          <t>Giao diện</t>
        </is>
      </c>
      <c r="F37" s="17" t="inlineStr">
        <is>
          <t>Thấp</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Gõ "n" vào ô tìm kiếm
2. Quan sát Network</t>
        </is>
      </c>
      <c r="K37" s="15" t="inlineStr">
        <is>
          <t>1 ký tự</t>
        </is>
      </c>
      <c r="L37" s="15" t="inlineStr">
        <is>
          <t>Không có request /search/suggest; không hiện dropdown (hoặc gợi ý nhập ít nhất 2 ký tự).</t>
        </is>
      </c>
      <c r="M37" s="15" t="inlineStr"/>
      <c r="N37" s="18" t="inlineStr">
        <is>
          <t>Chưa test</t>
        </is>
      </c>
      <c r="O37" s="15" t="inlineStr"/>
      <c r="P37" s="15" t="inlineStr"/>
      <c r="Q37" s="18" t="inlineStr">
        <is>
          <t>Chưa test</t>
        </is>
      </c>
      <c r="R37" s="15" t="inlineStr"/>
    </row>
    <row r="38" ht="30" customHeight="1">
      <c r="A38" s="14" t="inlineStr">
        <is>
          <t>TC-SEARCH-037</t>
        </is>
      </c>
      <c r="B38" s="15" t="inlineStr">
        <is>
          <t>Tìm kiếm toàn cục</t>
        </is>
      </c>
      <c r="C38" s="15" t="inlineStr">
        <is>
          <t>Trang /search (UI)</t>
        </is>
      </c>
      <c r="D38" s="15" t="inlineStr">
        <is>
          <t>Trang /search có tab Tất cả/Khóa học/Bài viết/Thành viên kèm số lượng</t>
        </is>
      </c>
      <c r="E38" s="15" t="inlineStr">
        <is>
          <t>Chức năng</t>
        </is>
      </c>
      <c r="F38" s="16" t="inlineStr">
        <is>
          <t>Cao</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Mở /search?q=nhiep anh
2. Bấm từng tab</t>
        </is>
      </c>
      <c r="K38" s="15" t="inlineStr">
        <is>
          <t>q=nhiep anh</t>
        </is>
      </c>
      <c r="L38" s="15" t="inlineStr">
        <is>
          <t>Số lượng trên tab bằng counts của API; đổi tab cập nhật type trên URL (type=posts...) và danh sách; phần khớp bọc &lt;mark&gt;.</t>
        </is>
      </c>
      <c r="M38" s="15" t="inlineStr"/>
      <c r="N38" s="18" t="inlineStr">
        <is>
          <t>Chưa test</t>
        </is>
      </c>
      <c r="O38" s="15" t="inlineStr"/>
      <c r="P38" s="15" t="inlineStr"/>
      <c r="Q38" s="18" t="inlineStr">
        <is>
          <t>Chưa test</t>
        </is>
      </c>
      <c r="R38" s="15" t="inlineStr"/>
    </row>
    <row r="39" ht="30" customHeight="1">
      <c r="A39" s="14" t="inlineStr">
        <is>
          <t>TC-SEARCH-038</t>
        </is>
      </c>
      <c r="B39" s="15" t="inlineStr">
        <is>
          <t>Tìm kiếm toàn cục</t>
        </is>
      </c>
      <c r="C39" s="15" t="inlineStr">
        <is>
          <t>Trang /search (UI)</t>
        </is>
      </c>
      <c r="D39" s="15" t="inlineStr">
        <is>
          <t>Bộ lọc "Mọi cộng đồng" theo cộng đồng của tôi (courseId)</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t>
        </is>
      </c>
      <c r="J39" s="15" t="inlineStr">
        <is>
          <t>1. Mở /search?q=anh
2. Chọn cộng đồng photo ở bộ lọc</t>
        </is>
      </c>
      <c r="K39" s="15" t="inlineStr">
        <is>
          <t>courseId=photo</t>
        </is>
      </c>
      <c r="L39" s="15" t="inlineStr">
        <is>
          <t>URL thêm courseId=photo; kết quả chỉ của photo; chọn lại "Mọi cộng đồng" trả đủ.</t>
        </is>
      </c>
      <c r="M39" s="15" t="inlineStr"/>
      <c r="N39" s="18" t="inlineStr">
        <is>
          <t>Chưa test</t>
        </is>
      </c>
      <c r="O39" s="15" t="inlineStr"/>
      <c r="P39" s="15" t="inlineStr"/>
      <c r="Q39" s="18" t="inlineStr">
        <is>
          <t>Chưa test</t>
        </is>
      </c>
      <c r="R39" s="15" t="inlineStr"/>
    </row>
    <row r="40" ht="30" customHeight="1">
      <c r="A40" s="14" t="inlineStr">
        <is>
          <t>TC-SEARCH-039</t>
        </is>
      </c>
      <c r="B40" s="15" t="inlineStr">
        <is>
          <t>Tìm kiếm toàn cục</t>
        </is>
      </c>
      <c r="C40" s="15" t="inlineStr">
        <is>
          <t>Trang /search (UI)</t>
        </is>
      </c>
      <c r="D40" s="15" t="inlineStr">
        <is>
          <t>Bấm kết quả: bài viết -&gt; ?post=, khóa học -&gt; /courses/:id</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Bấm một kết quả bài viết
2. Quay lại, bấm một kết quả khóa học</t>
        </is>
      </c>
      <c r="K40" s="15" t="inlineStr">
        <is>
          <t>-</t>
        </is>
      </c>
      <c r="L40" s="15" t="inlineStr">
        <is>
          <t>Bài viết mở /courses/&lt;cid&gt;/community?post=&lt;id&gt;; khóa học mở /courses/&lt;id&gt;. (Cuộn tới bài ?post= phụ thuộc FE community.)</t>
        </is>
      </c>
      <c r="M40" s="15" t="inlineStr"/>
      <c r="N40" s="18" t="inlineStr">
        <is>
          <t>Chưa test</t>
        </is>
      </c>
      <c r="O40" s="15" t="inlineStr"/>
      <c r="P40" s="15" t="inlineStr"/>
      <c r="Q40" s="18" t="inlineStr">
        <is>
          <t>Chưa test</t>
        </is>
      </c>
      <c r="R40" s="15" t="inlineStr"/>
    </row>
    <row r="41" ht="45" customHeight="1">
      <c r="A41" s="14" t="inlineStr">
        <is>
          <t>TC-SEARCH-040</t>
        </is>
      </c>
      <c r="B41" s="15" t="inlineStr">
        <is>
          <t>Tìm kiếm toàn cục</t>
        </is>
      </c>
      <c r="C41" s="15" t="inlineStr">
        <is>
          <t>Trang /search (UI)</t>
        </is>
      </c>
      <c r="D41" s="15" t="inlineStr">
        <is>
          <t>Phân trang giữ nguyên q/type/courseId trên URL</t>
        </is>
      </c>
      <c r="E41" s="15" t="inlineStr">
        <is>
          <t>Chức năng</t>
        </is>
      </c>
      <c r="F41" s="20" t="inlineStr">
        <is>
          <t>Trung bình</t>
        </is>
      </c>
      <c r="G41" s="17" t="inlineStr">
        <is>
          <t>Đã hoàn thiện</t>
        </is>
      </c>
      <c r="H41" s="17" t="inlineStr">
        <is>
          <t>Có</t>
        </is>
      </c>
      <c r="I41" s="15" t="inlineStr">
        <is>
          <t>Đăng nhập member1@sofinhub.test / Passw0rd!x (thành viên photo, yt, fin). Dữ liệu seed photo: khóa "Nhiếp ảnh", bài viết về ảnh chân dung; q có &gt; 10 kết quả</t>
        </is>
      </c>
      <c r="J41" s="15" t="inlineStr">
        <is>
          <t>1. Mở /search?q=anh&amp;type=posts
2. Bấm trang 2
3. Tải lại trang (F5)</t>
        </is>
      </c>
      <c r="K41" s="15" t="inlineStr">
        <is>
          <t>page=2</t>
        </is>
      </c>
      <c r="L41" s="15" t="inlineStr">
        <is>
          <t>URL giữ q, type và thêm page=2; sau F5 vẫn ở trang 2 với cùng bộ lọc.</t>
        </is>
      </c>
      <c r="M41" s="15" t="inlineStr"/>
      <c r="N41" s="18" t="inlineStr">
        <is>
          <t>Chưa test</t>
        </is>
      </c>
      <c r="O41" s="15" t="inlineStr"/>
      <c r="P41" s="15" t="inlineStr"/>
      <c r="Q41" s="18" t="inlineStr">
        <is>
          <t>Chưa test</t>
        </is>
      </c>
      <c r="R41" s="15" t="inlineStr"/>
    </row>
    <row r="42" ht="45" customHeight="1">
      <c r="A42" s="14" t="inlineStr">
        <is>
          <t>TC-SEARCH-041</t>
        </is>
      </c>
      <c r="B42" s="15" t="inlineStr">
        <is>
          <t>Tìm kiếm toàn cục</t>
        </is>
      </c>
      <c r="C42" s="15" t="inlineStr">
        <is>
          <t>Trang /search (UI)</t>
        </is>
      </c>
      <c r="D42" s="15" t="inlineStr">
        <is>
          <t>UI lỗi: q &lt; 2 ký tự -&gt; "Nhập ít nhất 2 ký tự"; 429; courseId lạ -&gt; 403</t>
        </is>
      </c>
      <c r="E42" s="15" t="inlineStr">
        <is>
          <t>Chức năng</t>
        </is>
      </c>
      <c r="F42" s="20" t="inlineStr">
        <is>
          <t>Trung bình</t>
        </is>
      </c>
      <c r="G42" s="17" t="inlineStr">
        <is>
          <t>Đã hoàn thiện</t>
        </is>
      </c>
      <c r="H42" s="17" t="inlineStr">
        <is>
          <t>Có</t>
        </is>
      </c>
      <c r="I42" s="15" t="inlineStr">
        <is>
          <t>Đăng nhập member1@sofinhub.test / Passw0rd!x (thành viên photo, yt, fin). Dữ liệu seed photo: khóa "Nhiếp ảnh", bài viết về ảnh chân dung</t>
        </is>
      </c>
      <c r="J42" s="15" t="inlineStr">
        <is>
          <t>1. Mở /search?q=a
2. Mở /search?q=anh&amp;courseId=yt bằng member2
3. Vượt 40 lần/phút</t>
        </is>
      </c>
      <c r="K42" s="15" t="inlineStr">
        <is>
          <t>-</t>
        </is>
      </c>
      <c r="L42" s="15" t="inlineStr">
        <is>
          <t>Trường hợp 1: "Nhập ít nhất 2 ký tự"; trường hợp 2: thông báo lỗi 403 dễ hiểu; trường hợp 3: thông báo thử lại sau (429); không màn hình trắng.</t>
        </is>
      </c>
      <c r="M42" s="15" t="inlineStr"/>
      <c r="N42" s="18" t="inlineStr">
        <is>
          <t>Chưa test</t>
        </is>
      </c>
      <c r="O42" s="15" t="inlineStr"/>
      <c r="P42" s="15" t="inlineStr"/>
      <c r="Q42" s="18" t="inlineStr">
        <is>
          <t>Chưa test</t>
        </is>
      </c>
      <c r="R42" s="15" t="inlineStr"/>
    </row>
    <row r="43" ht="30" customHeight="1">
      <c r="A43" s="14" t="inlineStr">
        <is>
          <t>TC-SEARCH-042</t>
        </is>
      </c>
      <c r="B43" s="15" t="inlineStr">
        <is>
          <t>Tìm kiếm toàn cục</t>
        </is>
      </c>
      <c r="C43" s="15" t="inlineStr">
        <is>
          <t>Bảo mật nội dung kết quả</t>
        </is>
      </c>
      <c r="D43" s="15" t="inlineStr">
        <is>
          <t>XSS: tìm &lt;script&gt; / &lt;b&gt;x&lt;/b&gt; hiển thị chữ thô, không render HTML</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 có 1 bài ở photo chứa chuỗi "&lt;b&gt;x&lt;/b&gt;" (nếu BE cho phép lưu thô)</t>
        </is>
      </c>
      <c r="J43" s="15" t="inlineStr">
        <is>
          <t>1. Mở /search?q=&lt;b&gt;x&lt;/b&gt;
2. Mở /search?q=&lt;script&gt;alert(1)&lt;/script&gt;</t>
        </is>
      </c>
      <c r="K43" s="15" t="inlineStr">
        <is>
          <t>q chứa thẻ HTML</t>
        </is>
      </c>
      <c r="L43" s="15" t="inlineStr">
        <is>
          <t>Kết quả và tiêu đề trang hiển thị chữ thô; không có alert; API trả Segment[] {text, match} (không có HTML); FE dùng text node + &lt;mark&gt;.</t>
        </is>
      </c>
      <c r="M43" s="15" t="inlineStr"/>
      <c r="N43" s="18" t="inlineStr">
        <is>
          <t>Chưa test</t>
        </is>
      </c>
      <c r="O43" s="15" t="inlineStr"/>
      <c r="P43" s="15" t="inlineStr"/>
      <c r="Q43" s="18" t="inlineStr">
        <is>
          <t>Chưa test</t>
        </is>
      </c>
      <c r="R43" s="15" t="inlineStr"/>
    </row>
    <row r="44" ht="30" customHeight="1">
      <c r="A44" s="14" t="inlineStr">
        <is>
          <t>TC-SEARCH-043</t>
        </is>
      </c>
      <c r="B44" s="15" t="inlineStr">
        <is>
          <t>Tìm kiếm toàn cục</t>
        </is>
      </c>
      <c r="C44" s="15" t="inlineStr">
        <is>
          <t>Bảo mật nội dung kết quả</t>
        </is>
      </c>
      <c r="D44" s="15" t="inlineStr">
        <is>
          <t>Snippet/highlight: nội dung bài chứa HTML không thực thi</t>
        </is>
      </c>
      <c r="E44" s="15" t="inlineStr">
        <is>
          <t>Bảo mật</t>
        </is>
      </c>
      <c r="F44" s="16" t="inlineStr">
        <is>
          <t>Cao</t>
        </is>
      </c>
      <c r="G44" s="17" t="inlineStr">
        <is>
          <t>Đã hoàn thiện</t>
        </is>
      </c>
      <c r="H44" s="20" t="inlineStr">
        <is>
          <t>Một phần</t>
        </is>
      </c>
      <c r="I44" s="15" t="inlineStr">
        <is>
          <t>Đăng nhập member1@sofinhub.test / Passw0rd!x (thành viên photo, yt, fin). Dữ liệu seed photo: khóa "Nhiếp ảnh", bài viết về ảnh chân dung; member1 đăng bài ở photo với nội dung "khuyen mai &lt;img src=x onerror=alert(1)&gt; gia re"</t>
        </is>
      </c>
      <c r="J44" s="15" t="inlineStr">
        <is>
          <t>1. Tìm q=khuyen mai
2. Xem snippet</t>
        </is>
      </c>
      <c r="K44" s="15" t="inlineStr">
        <is>
          <t>content chứa thẻ img</t>
        </is>
      </c>
      <c r="L44" s="15" t="inlineStr">
        <is>
          <t>Snippet hiển thị dạng chữ ("&lt;img src=x ...&gt;" thấy nguyên văn hoặc bị lược theo quy tắc bài viết); không có request tới x; không alert.</t>
        </is>
      </c>
      <c r="M44" s="15" t="inlineStr"/>
      <c r="N44" s="18" t="inlineStr">
        <is>
          <t>Chưa test</t>
        </is>
      </c>
      <c r="O44" s="15" t="inlineStr"/>
      <c r="P44" s="15" t="inlineStr"/>
      <c r="Q44" s="18" t="inlineStr">
        <is>
          <t>Chưa test</t>
        </is>
      </c>
      <c r="R44" s="15" t="inlineStr"/>
    </row>
    <row r="45" ht="45" customHeight="1">
      <c r="A45" s="14" t="inlineStr">
        <is>
          <t>TC-SEARCH-044</t>
        </is>
      </c>
      <c r="B45" s="15" t="inlineStr">
        <is>
          <t>Tìm kiếm toàn cục</t>
        </is>
      </c>
      <c r="C45" s="15" t="inlineStr">
        <is>
          <t>Bảo mật nội dung kết quả</t>
        </is>
      </c>
      <c r="D45" s="15" t="inlineStr">
        <is>
          <t>Ký tự regex/SQL trong q được coi là chuỗi thường</t>
        </is>
      </c>
      <c r="E45" s="15" t="inlineStr">
        <is>
          <t>Bảo mật</t>
        </is>
      </c>
      <c r="F45" s="16" t="inlineStr">
        <is>
          <t>Cao</t>
        </is>
      </c>
      <c r="G45" s="17" t="inlineStr">
        <is>
          <t>Đã hoàn thiện</t>
        </is>
      </c>
      <c r="H45" s="17" t="inlineStr">
        <is>
          <t>Có</t>
        </is>
      </c>
      <c r="I45" s="15" t="inlineStr">
        <is>
          <t>Đăng nhập member1@sofinhub.test / Passw0rd!x (thành viên photo, yt, fin). Dữ liệu seed photo: khóa "Nhiếp ảnh", bài viết về ảnh chân dung</t>
        </is>
      </c>
      <c r="J45" s="15" t="inlineStr">
        <is>
          <t>1. GET /api/search?q=(.*)
2. GET /api/search?q=' OR '1'='1
3. GET /api/search?q=%25%25</t>
        </is>
      </c>
      <c r="K45" s="15" t="inlineStr">
        <is>
          <t>3 payload</t>
        </is>
      </c>
      <c r="L45" s="15" t="inlineStr">
        <is>
          <t>200 (không 500), khớp chuỗi con nguyên văn (thường 0 kết quả); không lỗi cú pháp regex/SQL.</t>
        </is>
      </c>
      <c r="M45" s="15" t="inlineStr"/>
      <c r="N45" s="18" t="inlineStr">
        <is>
          <t>Chưa test</t>
        </is>
      </c>
      <c r="O45" s="15" t="inlineStr"/>
      <c r="P45" s="15" t="inlineStr"/>
      <c r="Q45" s="18" t="inlineStr">
        <is>
          <t>Chưa test</t>
        </is>
      </c>
      <c r="R45" s="15" t="inlineStr"/>
    </row>
    <row r="46" ht="45" customHeight="1">
      <c r="A46" s="14" t="inlineStr">
        <is>
          <t>TC-SEARCH-045</t>
        </is>
      </c>
      <c r="B46" s="15" t="inlineStr">
        <is>
          <t>Tìm kiếm toàn cục</t>
        </is>
      </c>
      <c r="C46" s="15" t="inlineStr">
        <is>
          <t>Bảo mật nội dung kết quả</t>
        </is>
      </c>
      <c r="D46" s="15" t="inlineStr">
        <is>
          <t>Tôn trọng riêng tư sau khi rời cộng đồng: hết thấy bài của cộng đồng đó</t>
        </is>
      </c>
      <c r="E46" s="15" t="inlineStr">
        <is>
          <t>Bảo mật</t>
        </is>
      </c>
      <c r="F46" s="16" t="inlineStr">
        <is>
          <t>Cao</t>
        </is>
      </c>
      <c r="G46" s="17" t="inlineStr">
        <is>
          <t>Đã hoàn thiện</t>
        </is>
      </c>
      <c r="H46" s="17" t="inlineStr">
        <is>
          <t>Có</t>
        </is>
      </c>
      <c r="I46" s="15" t="inlineStr">
        <is>
          <t>member3 đang ở photo và thấy bài ảnh chân dung qua tìm kiếm</t>
        </is>
      </c>
      <c r="J46" s="15" t="inlineStr">
        <is>
          <t>1. member3: GET /api/search?q=chân dung&amp;type=posts (ghi số bài)
2. member3 rời cộng đồng photo
3. Tìm lại cùng truy vấn</t>
        </is>
      </c>
      <c r="K46" s="15" t="inlineStr">
        <is>
          <t>-</t>
        </is>
      </c>
      <c r="L46" s="15" t="inlineStr">
        <is>
          <t>Sau khi rời: posts=0 và members=0 cho photo (tìm kiếm chỉ trong cộng đồng đang là thành viên).</t>
        </is>
      </c>
      <c r="M46" s="15" t="inlineStr"/>
      <c r="N46" s="18" t="inlineStr">
        <is>
          <t>Chưa test</t>
        </is>
      </c>
      <c r="O46" s="15" t="inlineStr"/>
      <c r="P46" s="15" t="inlineStr"/>
      <c r="Q46" s="18" t="inlineStr">
        <is>
          <t>Chưa test</t>
        </is>
      </c>
      <c r="R46" s="15" t="inlineStr"/>
    </row>
    <row r="47" ht="30" customHeight="1">
      <c r="A47" s="14" t="inlineStr">
        <is>
          <t>TC-SEARCH-046</t>
        </is>
      </c>
      <c r="B47" s="15" t="inlineStr">
        <is>
          <t>Tìm kiếm toàn cục</t>
        </is>
      </c>
      <c r="C47" s="15" t="inlineStr">
        <is>
          <t>Postgres full-text search (chưa làm)</t>
        </is>
      </c>
      <c r="D47" s="15" t="inlineStr">
        <is>
          <t>Chưa làm: tìm bằng tsvector/GIN, xếp hạng độ liên quan, sửa lỗi gõ</t>
        </is>
      </c>
      <c r="E47" s="15" t="inlineStr">
        <is>
          <t>Chức năng</t>
        </is>
      </c>
      <c r="F47" s="20" t="inlineStr">
        <is>
          <t>Trung bình</t>
        </is>
      </c>
      <c r="G47" s="20" t="inlineStr">
        <is>
          <t>Kế hoạch</t>
        </is>
      </c>
      <c r="H47" s="17" t="inlineStr">
        <is>
          <t>Có</t>
        </is>
      </c>
      <c r="I47" s="15" t="inlineStr">
        <is>
          <t>Chưa làm: cột tsvector + GIN (unaccent, to_tsquery('simple')) hoặc pg_trgm; hiện lọc trong bộ nhớ, trần 20 trang x 50 mục/cộng đồng</t>
        </is>
      </c>
      <c r="J47" s="15" t="inlineStr">
        <is>
          <t>1. Sau khi nâng cấp: tìm từ khóa 2 từ đảo thứ tự
2. Tìm sai chính tả 1 ký tự</t>
        </is>
      </c>
      <c r="K47" s="15" t="inlineStr">
        <is>
          <t>q="ánh dung chân" / "nhiep anhh"</t>
        </is>
      </c>
      <c r="L47" s="15" t="inlineStr">
        <is>
          <t>(Kế hoạch) Khớp theo từ và xếp theo độ liên quan; hiện tại không khớp (chỉ khớp chuỗi con nguyên cụm).</t>
        </is>
      </c>
      <c r="M47" s="15" t="inlineStr"/>
      <c r="N47" s="18" t="inlineStr">
        <is>
          <t>Chưa test</t>
        </is>
      </c>
      <c r="O47" s="15" t="inlineStr"/>
      <c r="P47" s="15" t="inlineStr"/>
      <c r="Q47" s="18" t="inlineStr">
        <is>
          <t>Chưa test</t>
        </is>
      </c>
      <c r="R47" s="15" t="inlineStr"/>
    </row>
    <row r="48" ht="30" customHeight="1">
      <c r="A48" s="14" t="inlineStr">
        <is>
          <t>TC-SEARCH-047</t>
        </is>
      </c>
      <c r="B48" s="15" t="inlineStr">
        <is>
          <t>Tìm kiếm toàn cục</t>
        </is>
      </c>
      <c r="C48" s="15" t="inlineStr">
        <is>
          <t>Postgres full-text search (chưa làm)</t>
        </is>
      </c>
      <c r="D48" s="15" t="inlineStr">
        <is>
          <t>Chưa làm: tìm trong bình luận, sự kiện, bài học, thẻ #tag, lịch sử tìm kiếm</t>
        </is>
      </c>
      <c r="E48" s="15" t="inlineStr">
        <is>
          <t>Chức năng</t>
        </is>
      </c>
      <c r="F48" s="17" t="inlineStr">
        <is>
          <t>Thấp</t>
        </is>
      </c>
      <c r="G48" s="20" t="inlineStr">
        <is>
          <t>Kế hoạch</t>
        </is>
      </c>
      <c r="H48" s="16" t="inlineStr">
        <is>
          <t>Không</t>
        </is>
      </c>
      <c r="I48" s="15" t="inlineStr">
        <is>
          <t>Chưa làm: docs/search.md mục "Chưa làm"</t>
        </is>
      </c>
      <c r="J48" s="15" t="inlineStr">
        <is>
          <t>1. Tìm nội dung chỉ nằm trong 1 bình luận
2. Tìm tên một sự kiện</t>
        </is>
      </c>
      <c r="K48" s="15" t="inlineStr">
        <is>
          <t>-</t>
        </is>
      </c>
      <c r="L48" s="15" t="inlineStr">
        <is>
          <t>(Kế hoạch) Hiện không có kết quả bình luận/sự kiện; sau khi làm sẽ có nhóm kết quả mới.</t>
        </is>
      </c>
      <c r="M48" s="15" t="inlineStr"/>
      <c r="N48" s="18" t="inlineStr">
        <is>
          <t>Chưa test</t>
        </is>
      </c>
      <c r="O48" s="15" t="inlineStr"/>
      <c r="P48" s="15" t="inlineStr"/>
      <c r="Q48" s="18" t="inlineStr">
        <is>
          <t>Chưa test</t>
        </is>
      </c>
      <c r="R48" s="15" t="inlineStr"/>
    </row>
    <row r="49" ht="30" customHeight="1">
      <c r="A49" s="14" t="inlineStr">
        <is>
          <t>TC-SEARCH-048</t>
        </is>
      </c>
      <c r="B49" s="15" t="inlineStr">
        <is>
          <t>Tìm kiếm toàn cục</t>
        </is>
      </c>
      <c r="C49" s="15" t="inlineStr">
        <is>
          <t>Postgres full-text search (chưa làm)</t>
        </is>
      </c>
      <c r="D49" s="15" t="inlineStr">
        <is>
          <t>Hiệu năng: quét trong bộ nhớ, cộng đồng lớn có thể trần 1000 mục</t>
        </is>
      </c>
      <c r="E49" s="15" t="inlineStr">
        <is>
          <t>Hiệu năng</t>
        </is>
      </c>
      <c r="F49" s="17" t="inlineStr">
        <is>
          <t>Thấp</t>
        </is>
      </c>
      <c r="G49" s="17" t="inlineStr">
        <is>
          <t>Đã hoàn thiện</t>
        </is>
      </c>
      <c r="H49" s="16" t="inlineStr">
        <is>
          <t>Không</t>
        </is>
      </c>
      <c r="I49" s="15" t="inlineStr">
        <is>
          <t>Cộng đồng test có &gt; 1000 bài (script sinh), member1 là thành viên</t>
        </is>
      </c>
      <c r="J49" s="15" t="inlineStr">
        <is>
          <t>1. Tìm từ chỉ có ở bài cũ nhất (ngoài 1000 bài mới nhất)
2. Đo thời gian phản hồi GET /search</t>
        </is>
      </c>
      <c r="K49" s="15" t="inlineStr">
        <is>
          <t>1200 bài</t>
        </is>
      </c>
      <c r="L49" s="15" t="inlineStr">
        <is>
          <t>Có thể bỏ sót bài vượt trần 20 trang x 50 (giới hạn đã biết, cần đẩy xuống SQL); thời gian phản hồi ghi nhận; không 500.</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30"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t>
        </is>
      </c>
      <c r="K41" s="15" t="inlineStr">
        <is>
          <t>pdf</t>
        </is>
      </c>
      <c r="L41" s="15" t="inlineStr">
        <is>
          <t>200; Content-Type application/pdf; Content-Disposition: attachment; filename="download"; filename*=UTF-8''Gi%C3%A1o%20tr%C3%ACnh.pdf; Cache-Control "private, max-age=3600"; nosniff.</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TC-UPLOAD-045</t>
        </is>
      </c>
      <c r="B46" s="15" t="inlineStr">
        <is>
          <t>Upload tệp &amp; ảnh</t>
        </is>
      </c>
      <c r="C46" s="15" t="inlineStr">
        <is>
          <t>Phục vụ file /api/files/:key</t>
        </is>
      </c>
      <c r="D46" s="15" t="inlineStr">
        <is>
          <t>/files công khai theo URL khóa 128-bit (chưa chốt)</t>
        </is>
      </c>
      <c r="E46" s="15" t="inlineStr">
        <is>
          <t>Bảo mật</t>
        </is>
      </c>
      <c r="F46" s="20" t="inlineStr">
        <is>
          <t>Trung bình</t>
        </is>
      </c>
      <c r="G46" s="17" t="inlineStr">
        <is>
          <t>Đã hoàn thiện</t>
        </is>
      </c>
      <c r="H46" s="17" t="inlineStr">
        <is>
          <t>Có</t>
        </is>
      </c>
      <c r="I46" s="15" t="inlineStr">
        <is>
          <t>Đăng nhập member1@sofinhub.test / Passw0rd!x (quota upload trống, chưa upload gì). BE dev :4000, thư mục data/uploads; đã upload ảnh purpose message_attachment; Cần quyết định: /files có yêu cầu đăng nhập cho message_attachment hay không</t>
        </is>
      </c>
      <c r="J46" s="15" t="inlineStr">
        <is>
          <t>1. Mở URL /api/files/&lt;key&gt; ở cửa sổ ẩn danh chưa đăng nhập</t>
        </is>
      </c>
      <c r="K46" s="15" t="inlineStr">
        <is>
          <t>message_attachment</t>
        </is>
      </c>
      <c r="L46" s="15" t="inlineStr">
        <is>
          <t>Hiện tại 200 trả file cho bất kỳ ai có URL (kiểu "unlisted link") - giá trị tạm / chưa chốt; nếu chốt yêu cầu đăng nhập thì kỳ vọng đổi thành 401.</t>
        </is>
      </c>
      <c r="M46" s="15" t="inlineStr"/>
      <c r="N46" s="18" t="inlineStr">
        <is>
          <t>Chưa test</t>
        </is>
      </c>
      <c r="O46" s="15" t="inlineStr"/>
      <c r="P46" s="15" t="inlineStr"/>
      <c r="Q46" s="18" t="inlineStr">
        <is>
          <t>Chưa test</t>
        </is>
      </c>
      <c r="R46" s="15" t="inlineStr"/>
    </row>
    <row r="47" ht="30" customHeight="1">
      <c r="A47" s="14" t="inlineStr">
        <is>
          <t>TC-UPLOAD-046</t>
        </is>
      </c>
      <c r="B47" s="15" t="inlineStr">
        <is>
          <t>Upload tệp &amp; ảnh</t>
        </is>
      </c>
      <c r="C47" s="15" t="inlineStr">
        <is>
          <t>Phục vụ file /api/files/:key</t>
        </is>
      </c>
      <c r="D47" s="15" t="inlineStr">
        <is>
          <t>Chưa hỗ trợ HTTP Range (video mp4 không tua được)</t>
        </is>
      </c>
      <c r="E47" s="15" t="inlineStr">
        <is>
          <t>Chức năng</t>
        </is>
      </c>
      <c r="F47" s="17" t="inlineStr">
        <is>
          <t>Thấp</t>
        </is>
      </c>
      <c r="G47" s="20" t="inlineStr">
        <is>
          <t>Kế hoạch</t>
        </is>
      </c>
      <c r="H47" s="16" t="inlineStr">
        <is>
          <t>Không</t>
        </is>
      </c>
      <c r="I47" s="15" t="inlineStr">
        <is>
          <t>Chưa làm: HTTP Range cho mp4, quét virus, thumbnail/resize</t>
        </is>
      </c>
      <c r="J47" s="15" t="inlineStr">
        <is>
          <t>1. GET /api/files/&lt;key&gt;.mp4 kèm header Range: bytes=0-99</t>
        </is>
      </c>
      <c r="K47" s="15" t="inlineStr">
        <is>
          <t>Range</t>
        </is>
      </c>
      <c r="L47" s="15" t="inlineStr">
        <is>
          <t>(Kế hoạch) Sẽ trả 206; hiện tại trả 200 toàn bộ file.</t>
        </is>
      </c>
      <c r="M47" s="15" t="inlineStr"/>
      <c r="N47" s="18" t="inlineStr">
        <is>
          <t>Chưa test</t>
        </is>
      </c>
      <c r="O47" s="15" t="inlineStr"/>
      <c r="P47" s="15" t="inlineStr"/>
      <c r="Q47" s="18" t="inlineStr">
        <is>
          <t>Chưa test</t>
        </is>
      </c>
      <c r="R47" s="15" t="inlineStr"/>
    </row>
    <row r="48" ht="30" customHeight="1">
      <c r="A48" s="14" t="inlineStr">
        <is>
          <t>TC-UPLOAD-047</t>
        </is>
      </c>
      <c r="B48" s="15" t="inlineStr">
        <is>
          <t>Upload tệp &amp; ảnh</t>
        </is>
      </c>
      <c r="C48" s="15" t="inlineStr">
        <is>
          <t>Danh sách &amp; xóa file của tôi</t>
        </is>
      </c>
      <c r="D48" s="15" t="inlineStr">
        <is>
          <t>GET /me/uploads chỉ liệt kê file đã upload xong của mình</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member1 có 1 file đã upload xong + 1 presign chưa PUT</t>
        </is>
      </c>
      <c r="J48" s="15" t="inlineStr">
        <is>
          <t>1. GET /api/me/uploads</t>
        </is>
      </c>
      <c r="K48" s="15" t="inlineStr">
        <is>
          <t>-</t>
        </is>
      </c>
      <c r="L48" s="15" t="inlineStr">
        <is>
          <t>200; chỉ file status uploaded, mỗi phần tử {key,url,filename,contentType,size,purpose,createdAt}; presign chưa PUT không xuất hiện; không lẫn file của member2.</t>
        </is>
      </c>
      <c r="M48" s="15" t="inlineStr"/>
      <c r="N48" s="18" t="inlineStr">
        <is>
          <t>Chưa test</t>
        </is>
      </c>
      <c r="O48" s="15" t="inlineStr"/>
      <c r="P48" s="15" t="inlineStr"/>
      <c r="Q48" s="18" t="inlineStr">
        <is>
          <t>Chưa test</t>
        </is>
      </c>
      <c r="R48" s="15" t="inlineStr"/>
    </row>
    <row r="49" ht="45" customHeight="1">
      <c r="A49" s="14" t="inlineStr">
        <is>
          <t>TC-UPLOAD-048</t>
        </is>
      </c>
      <c r="B49" s="15" t="inlineStr">
        <is>
          <t>Upload tệp &amp; ảnh</t>
        </is>
      </c>
      <c r="C49" s="15" t="inlineStr">
        <is>
          <t>Danh sách &amp; xóa file của tôi</t>
        </is>
      </c>
      <c r="D49" s="15" t="inlineStr">
        <is>
          <t>Chủ sở hữu xóa file: 200, sau đó /files 404</t>
        </is>
      </c>
      <c r="E49" s="15" t="inlineStr">
        <is>
          <t>Chức năng</t>
        </is>
      </c>
      <c r="F49" s="16" t="inlineStr">
        <is>
          <t>Cao</t>
        </is>
      </c>
      <c r="G49" s="17" t="inlineStr">
        <is>
          <t>Đã hoàn thiện</t>
        </is>
      </c>
      <c r="H49" s="17" t="inlineStr">
        <is>
          <t>Có</t>
        </is>
      </c>
      <c r="I49" s="15" t="inlineStr">
        <is>
          <t>Đăng nhập member1@sofinhub.test / Passw0rd!x (quota upload trống, chưa upload gì). BE dev :4000, thư mục data/uploads; đã upload 1 PNG</t>
        </is>
      </c>
      <c r="J49" s="15" t="inlineStr">
        <is>
          <t>1. DELETE /api/uploads/&lt;key&gt;
2. GET /api/files/&lt;key&gt;
3. GET /api/me/uploads</t>
        </is>
      </c>
      <c r="K49" s="15" t="inlineStr">
        <is>
          <t>-</t>
        </is>
      </c>
      <c r="L49" s="15" t="inlineStr">
        <is>
          <t>Xóa 200 {data:{deleted:true}}; /files 404; /me/uploads không còn.</t>
        </is>
      </c>
      <c r="M49" s="15" t="inlineStr"/>
      <c r="N49" s="18" t="inlineStr">
        <is>
          <t>Chưa test</t>
        </is>
      </c>
      <c r="O49" s="15" t="inlineStr"/>
      <c r="P49" s="15" t="inlineStr"/>
      <c r="Q49" s="18" t="inlineStr">
        <is>
          <t>Chưa test</t>
        </is>
      </c>
      <c r="R49" s="15" t="inlineStr"/>
    </row>
    <row r="50" ht="30" customHeight="1">
      <c r="A50" s="14" t="inlineStr">
        <is>
          <t>TC-UPLOAD-049</t>
        </is>
      </c>
      <c r="B50" s="15" t="inlineStr">
        <is>
          <t>Upload tệp &amp; ảnh</t>
        </is>
      </c>
      <c r="C50" s="15" t="inlineStr">
        <is>
          <t>Danh sách &amp; xóa file của tôi</t>
        </is>
      </c>
      <c r="D50" s="15" t="inlineStr">
        <is>
          <t>Người khác xóa file -&gt; 403</t>
        </is>
      </c>
      <c r="E50" s="15" t="inlineStr">
        <is>
          <t>Bảo mật</t>
        </is>
      </c>
      <c r="F50" s="16" t="inlineStr">
        <is>
          <t>Cao</t>
        </is>
      </c>
      <c r="G50" s="17" t="inlineStr">
        <is>
          <t>Đã hoàn thiện</t>
        </is>
      </c>
      <c r="H50" s="17" t="inlineStr">
        <is>
          <t>Có</t>
        </is>
      </c>
      <c r="I50" s="15" t="inlineStr">
        <is>
          <t>Đăng nhập member1@sofinhub.test / Passw0rd!x (quota upload trống, chưa upload gì). BE dev :4000, thư mục data/uploads; member1 có file; member2 đăng nhập</t>
        </is>
      </c>
      <c r="J50" s="15" t="inlineStr">
        <is>
          <t>1. member2: DELETE /api/uploads/&lt;key của member1&gt;</t>
        </is>
      </c>
      <c r="K50" s="15" t="inlineStr">
        <is>
          <t>-</t>
        </is>
      </c>
      <c r="L50" s="15" t="inlineStr">
        <is>
          <t>403 FORBIDDEN, message "Bạn không có quyền xóa file này"; file còn nguyên.</t>
        </is>
      </c>
      <c r="M50" s="15" t="inlineStr"/>
      <c r="N50" s="18" t="inlineStr">
        <is>
          <t>Chưa test</t>
        </is>
      </c>
      <c r="O50" s="15" t="inlineStr"/>
      <c r="P50" s="15" t="inlineStr"/>
      <c r="Q50" s="18" t="inlineStr">
        <is>
          <t>Chưa test</t>
        </is>
      </c>
      <c r="R50" s="15" t="inlineStr"/>
    </row>
    <row r="51" ht="30" customHeight="1">
      <c r="A51" s="14" t="inlineStr">
        <is>
          <t>TC-UPLOAD-050</t>
        </is>
      </c>
      <c r="B51" s="15" t="inlineStr">
        <is>
          <t>Upload tệp &amp; ảnh</t>
        </is>
      </c>
      <c r="C51" s="15" t="inlineStr">
        <is>
          <t>Danh sách &amp; xóa file của tôi</t>
        </is>
      </c>
      <c r="D51" s="15" t="inlineStr">
        <is>
          <t>Platform Admin xóa được file của người dùng</t>
        </is>
      </c>
      <c r="E51" s="15" t="inlineStr">
        <is>
          <t>Chức năng</t>
        </is>
      </c>
      <c r="F51" s="20" t="inlineStr">
        <is>
          <t>Trung bình</t>
        </is>
      </c>
      <c r="G51" s="17" t="inlineStr">
        <is>
          <t>Đã hoàn thiện</t>
        </is>
      </c>
      <c r="H51" s="17" t="inlineStr">
        <is>
          <t>Có</t>
        </is>
      </c>
      <c r="I51" s="15" t="inlineStr">
        <is>
          <t>Đăng nhập member1@sofinhub.test / Passw0rd!x (quota upload trống, chưa upload gì). BE dev :4000, thư mục data/uploads; đăng nhập admin@sofinhub.test</t>
        </is>
      </c>
      <c r="J51" s="15" t="inlineStr">
        <is>
          <t>1. admin: DELETE /api/uploads/&lt;key của member1&gt;</t>
        </is>
      </c>
      <c r="K51" s="15" t="inlineStr">
        <is>
          <t>-</t>
        </is>
      </c>
      <c r="L51" s="15" t="inlineStr">
        <is>
          <t>200 deleted:true.</t>
        </is>
      </c>
      <c r="M51" s="15" t="inlineStr"/>
      <c r="N51" s="18" t="inlineStr">
        <is>
          <t>Chưa test</t>
        </is>
      </c>
      <c r="O51" s="15" t="inlineStr"/>
      <c r="P51" s="15" t="inlineStr"/>
      <c r="Q51" s="18" t="inlineStr">
        <is>
          <t>Chưa test</t>
        </is>
      </c>
      <c r="R51" s="15" t="inlineStr"/>
    </row>
    <row r="52" ht="45" customHeight="1">
      <c r="A52" s="14" t="inlineStr">
        <is>
          <t>TC-UPLOAD-051</t>
        </is>
      </c>
      <c r="B52" s="15" t="inlineStr">
        <is>
          <t>Upload tệp &amp; ảnh</t>
        </is>
      </c>
      <c r="C52" s="15" t="inlineStr">
        <is>
          <t>Danh sách &amp; xóa file của tôi</t>
        </is>
      </c>
      <c r="D52" s="15" t="inlineStr">
        <is>
          <t>Xóa key không tồn tại / key sai định dạng -&gt; 404; không token -&gt; 401</t>
        </is>
      </c>
      <c r="E52" s="15" t="inlineStr">
        <is>
          <t>Chức năng</t>
        </is>
      </c>
      <c r="F52" s="17" t="inlineStr">
        <is>
          <t>Thấp</t>
        </is>
      </c>
      <c r="G52" s="17" t="inlineStr">
        <is>
          <t>Đã hoàn thiện</t>
        </is>
      </c>
      <c r="H52" s="17" t="inlineStr">
        <is>
          <t>Có</t>
        </is>
      </c>
      <c r="I52" s="15" t="inlineStr">
        <is>
          <t>Đăng nhập member1@sofinhub.test / Passw0rd!x (quota upload trống, chưa upload gì). BE dev :4000, thư mục data/uploads</t>
        </is>
      </c>
      <c r="J52" s="15" t="inlineStr">
        <is>
          <t>1. DELETE /api/uploads/00000000000000000000000000000000.png
2. DELETE /api/uploads/abc
3. DELETE không Bearer</t>
        </is>
      </c>
      <c r="K52" s="15" t="inlineStr">
        <is>
          <t>-</t>
        </is>
      </c>
      <c r="L52" s="15" t="inlineStr">
        <is>
          <t>Hai đầu 404 "Không tìm thấy file"; không token 401 UNAUTHORIZED, message "Vui lòng đăng nhập để tiếp tục".</t>
        </is>
      </c>
      <c r="M52" s="15" t="inlineStr"/>
      <c r="N52" s="18" t="inlineStr">
        <is>
          <t>Chưa test</t>
        </is>
      </c>
      <c r="O52" s="15" t="inlineStr"/>
      <c r="P52" s="15" t="inlineStr"/>
      <c r="Q52" s="18" t="inlineStr">
        <is>
          <t>Chưa test</t>
        </is>
      </c>
      <c r="R52" s="15" t="inlineStr"/>
    </row>
    <row r="53" ht="30" customHeight="1">
      <c r="A53" s="14" t="inlineStr">
        <is>
          <t>TC-UPLOAD-052</t>
        </is>
      </c>
      <c r="B53" s="15" t="inlineStr">
        <is>
          <t>Upload tệp &amp; ảnh</t>
        </is>
      </c>
      <c r="C53" s="15" t="inlineStr">
        <is>
          <t>Danh sách &amp; xóa file của tôi</t>
        </is>
      </c>
      <c r="D53" s="15" t="inlineStr">
        <is>
          <t>Xóa file đã đính kèm vào tin nhắn: đường dẫn ảnh trong tin trả 404</t>
        </is>
      </c>
      <c r="E53" s="15" t="inlineStr">
        <is>
          <t>Chức năng</t>
        </is>
      </c>
      <c r="F53" s="17" t="inlineStr">
        <is>
          <t>Thấp</t>
        </is>
      </c>
      <c r="G53" s="17" t="inlineStr">
        <is>
          <t>Đã hoàn thiện</t>
        </is>
      </c>
      <c r="H53" s="20" t="inlineStr">
        <is>
          <t>Một phần</t>
        </is>
      </c>
      <c r="I5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3" s="15" t="inlineStr">
        <is>
          <t>1. member1 xóa file bằng DELETE /api/uploads/&lt;key&gt;
2. member2 mở tin nhắn đó trên UI</t>
        </is>
      </c>
      <c r="K53" s="15" t="inlineStr">
        <is>
          <t>-</t>
        </is>
      </c>
      <c r="L53" s="15" t="inlineStr">
        <is>
          <t>Ảnh không tải được (404 /api/files/&lt;key&gt;), tin nhắn vẫn hiển thị (không lỗi trắng trang).</t>
        </is>
      </c>
      <c r="M53" s="15" t="inlineStr"/>
      <c r="N53" s="18" t="inlineStr">
        <is>
          <t>Chưa test</t>
        </is>
      </c>
      <c r="O53" s="15" t="inlineStr"/>
      <c r="P53" s="15" t="inlineStr"/>
      <c r="Q53" s="18" t="inlineStr">
        <is>
          <t>Chưa test</t>
        </is>
      </c>
      <c r="R53" s="15" t="inlineStr"/>
    </row>
    <row r="54" ht="30" customHeight="1">
      <c r="A54" s="14" t="inlineStr">
        <is>
          <t>TC-UPLOAD-053</t>
        </is>
      </c>
      <c r="B54" s="15" t="inlineStr">
        <is>
          <t>Upload tệp &amp; ảnh</t>
        </is>
      </c>
      <c r="C54" s="15" t="inlineStr">
        <is>
          <t>Upload theo mục đích</t>
        </is>
      </c>
      <c r="D54" s="15" t="inlineStr">
        <is>
          <t>lesson_attachment có courseId: chỉ mod trở lên</t>
        </is>
      </c>
      <c r="E54" s="15" t="inlineStr">
        <is>
          <t>Bảo mật</t>
        </is>
      </c>
      <c r="F54" s="16" t="inlineStr">
        <is>
          <t>Cao</t>
        </is>
      </c>
      <c r="G54" s="17" t="inlineStr">
        <is>
          <t>Đã hoàn thiện</t>
        </is>
      </c>
      <c r="H54" s="17" t="inlineStr">
        <is>
          <t>Có</t>
        </is>
      </c>
      <c r="I54" s="15" t="inlineStr">
        <is>
          <t>Đăng nhập member1 (member thường của photo), sau đó mod@sofinhub.test</t>
        </is>
      </c>
      <c r="J54" s="15" t="inlineStr">
        <is>
          <t>1. member1: presign purpose lesson_attachment courseId "photo" application/pdf
2. mod: cùng payload</t>
        </is>
      </c>
      <c r="K54" s="15" t="inlineStr">
        <is>
          <t>courseId=photo</t>
        </is>
      </c>
      <c r="L54" s="15" t="inlineStr">
        <is>
          <t>member1: 403 FORBIDDEN (không phải mod+); mod: 201.</t>
        </is>
      </c>
      <c r="M54" s="15" t="inlineStr"/>
      <c r="N54" s="18" t="inlineStr">
        <is>
          <t>Chưa test</t>
        </is>
      </c>
      <c r="O54" s="15" t="inlineStr"/>
      <c r="P54" s="15" t="inlineStr"/>
      <c r="Q54" s="18" t="inlineStr">
        <is>
          <t>Chưa test</t>
        </is>
      </c>
      <c r="R54" s="15" t="inlineStr"/>
    </row>
    <row r="55" ht="30" customHeight="1">
      <c r="A55" s="14" t="inlineStr">
        <is>
          <t>TC-UPLOAD-054</t>
        </is>
      </c>
      <c r="B55" s="15" t="inlineStr">
        <is>
          <t>Upload tệp &amp; ảnh</t>
        </is>
      </c>
      <c r="C55" s="15" t="inlineStr">
        <is>
          <t>Upload theo mục đích</t>
        </is>
      </c>
      <c r="D55" s="15" t="inlineStr">
        <is>
          <t>lesson_attachment courseId không tồn tại -&gt; 404; không gửi courseId thì không kiểm vai trò</t>
        </is>
      </c>
      <c r="E55" s="15" t="inlineStr">
        <is>
          <t>Chức năng</t>
        </is>
      </c>
      <c r="F55" s="20" t="inlineStr">
        <is>
          <t>Trung bình</t>
        </is>
      </c>
      <c r="G55" s="17" t="inlineStr">
        <is>
          <t>Đã hoàn thiện</t>
        </is>
      </c>
      <c r="H55" s="17" t="inlineStr">
        <is>
          <t>Có</t>
        </is>
      </c>
      <c r="I55" s="15" t="inlineStr">
        <is>
          <t>Đăng nhập member1@sofinhub.test / Passw0rd!x (quota upload trống, chưa upload gì). BE dev :4000, thư mục data/uploads</t>
        </is>
      </c>
      <c r="J55" s="15" t="inlineStr">
        <is>
          <t>1. Presign lesson_attachment courseId "khong-co"
2. Presign lesson_attachment không courseId</t>
        </is>
      </c>
      <c r="K55" s="15" t="inlineStr">
        <is>
          <t>-</t>
        </is>
      </c>
      <c r="L55" s="15" t="inlineStr">
        <is>
          <t>Lần 1: 404 NOT_FOUND; lần 2: 201 (theo thiết kế courseId tùy chọn; nêu rủi ro: member bất kỳ upload được lesson_attachment không courseId - chưa chốt).</t>
        </is>
      </c>
      <c r="M55" s="15" t="inlineStr"/>
      <c r="N55" s="18" t="inlineStr">
        <is>
          <t>Chưa test</t>
        </is>
      </c>
      <c r="O55" s="15" t="inlineStr"/>
      <c r="P55" s="15" t="inlineStr"/>
      <c r="Q55" s="18" t="inlineStr">
        <is>
          <t>Chưa test</t>
        </is>
      </c>
      <c r="R55" s="15" t="inlineStr"/>
    </row>
    <row r="56" ht="45" customHeight="1">
      <c r="A56" s="14" t="inlineStr">
        <is>
          <t>TC-UPLOAD-055</t>
        </is>
      </c>
      <c r="B56" s="15" t="inlineStr">
        <is>
          <t>Upload tệp &amp; ảnh</t>
        </is>
      </c>
      <c r="C56" s="15" t="inlineStr">
        <is>
          <t>Upload theo mục đích</t>
        </is>
      </c>
      <c r="D56" s="15" t="inlineStr">
        <is>
          <t>Đổi avatar bằng ảnh upload: ảnh hiển thị và ràng buộc 3MB</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t>
        </is>
      </c>
      <c r="J56" s="15" t="inlineStr">
        <is>
          <t>1. Vào trang hồ sơ (menu avatar -&gt; Hồ sơ)
2. Chọn ảnh JPG 1MB làm avatar
3. Thử ảnh 4MB</t>
        </is>
      </c>
      <c r="K56" s="15" t="inlineStr">
        <is>
          <t>1MB và 4MB</t>
        </is>
      </c>
      <c r="L56"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6" s="15" t="inlineStr"/>
      <c r="N56" s="18" t="inlineStr">
        <is>
          <t>Chưa test</t>
        </is>
      </c>
      <c r="O56" s="15" t="inlineStr"/>
      <c r="P56" s="15" t="inlineStr"/>
      <c r="Q56" s="18" t="inlineStr">
        <is>
          <t>Chưa test</t>
        </is>
      </c>
      <c r="R56" s="15" t="inlineStr"/>
    </row>
    <row r="57" ht="45" customHeight="1">
      <c r="A57" s="14" t="inlineStr">
        <is>
          <t>TC-UPLOAD-056</t>
        </is>
      </c>
      <c r="B57" s="15" t="inlineStr">
        <is>
          <t>Upload tệp &amp; ảnh</t>
        </is>
      </c>
      <c r="C57" s="15" t="inlineStr">
        <is>
          <t>Upload theo mục đích</t>
        </is>
      </c>
      <c r="D57" s="15" t="inlineStr">
        <is>
          <t>Ảnh trong bài viết: đính kèm ảnh, hiển thị trong feed</t>
        </is>
      </c>
      <c r="E57" s="15" t="inlineStr">
        <is>
          <t>Chức năng</t>
        </is>
      </c>
      <c r="F57" s="16" t="inlineStr">
        <is>
          <t>Cao</t>
        </is>
      </c>
      <c r="G57" s="17" t="inlineStr">
        <is>
          <t>Đã hoàn thiện</t>
        </is>
      </c>
      <c r="H57" s="20" t="inlineStr">
        <is>
          <t>Một phần</t>
        </is>
      </c>
      <c r="I57" s="15" t="inlineStr">
        <is>
          <t>Đăng nhập member1@sofinhub.test / Passw0rd!x (quota upload trống, chưa upload gì). BE dev :4000, thư mục data/uploads; member1 thuộc photo</t>
        </is>
      </c>
      <c r="J57" s="15" t="inlineStr">
        <is>
          <t>1. Vào /courses/photo/community
2. Tạo bài, đính kèm 1 PNG 500KB
3. Đăng</t>
        </is>
      </c>
      <c r="K57" s="15" t="inlineStr">
        <is>
          <t>png 500KB</t>
        </is>
      </c>
      <c r="L57" s="15" t="inlineStr">
        <is>
          <t>Bài đăng chứa ảnh có URL /api/files/&lt;key&gt;; ảnh hiển thị trong bảng tin; tải lại vẫn thấy.</t>
        </is>
      </c>
      <c r="M57" s="15" t="inlineStr"/>
      <c r="N57" s="18" t="inlineStr">
        <is>
          <t>Chưa test</t>
        </is>
      </c>
      <c r="O57" s="15" t="inlineStr"/>
      <c r="P57" s="15" t="inlineStr"/>
      <c r="Q57" s="18" t="inlineStr">
        <is>
          <t>Chưa test</t>
        </is>
      </c>
      <c r="R57" s="15" t="inlineStr"/>
    </row>
    <row r="58" ht="45" customHeight="1">
      <c r="A58" s="14" t="inlineStr">
        <is>
          <t>TC-UPLOAD-057</t>
        </is>
      </c>
      <c r="B58" s="15" t="inlineStr">
        <is>
          <t>Upload tệp &amp; ảnh</t>
        </is>
      </c>
      <c r="C58" s="15" t="inlineStr">
        <is>
          <t>Upload theo mục đích</t>
        </is>
      </c>
      <c r="D58" s="15" t="inlineStr">
        <is>
          <t>Tệp tin nhắn: purpose message_attachment cho phép ảnh + pdf, tối đa 25MB</t>
        </is>
      </c>
      <c r="E58" s="15" t="inlineStr">
        <is>
          <t>Chức năng</t>
        </is>
      </c>
      <c r="F58" s="20" t="inlineStr">
        <is>
          <t>Trung bình</t>
        </is>
      </c>
      <c r="G58" s="17" t="inlineStr">
        <is>
          <t>Đã hoàn thiện</t>
        </is>
      </c>
      <c r="H58" s="17" t="inlineStr">
        <is>
          <t>Có</t>
        </is>
      </c>
      <c r="I58" s="15" t="inlineStr">
        <is>
          <t>Đăng nhập member1@sofinhub.test / Passw0rd!x (quota upload trống, chưa upload gì). BE dev :4000, thư mục data/uploads</t>
        </is>
      </c>
      <c r="J58" s="15" t="inlineStr">
        <is>
          <t>1. Presign message_attachment application/pdf 25MB
2. Presign message_attachment 25MB+1
3. Presign message_attachment image/png 1MB</t>
        </is>
      </c>
      <c r="K58" s="15" t="inlineStr">
        <is>
          <t>-</t>
        </is>
      </c>
      <c r="L58" s="15" t="inlineStr">
        <is>
          <t>Lần 1: 201; lần 2: 400 "File quá lớn, tối đa 25MB cho mục đích này"; lần 3: 201.</t>
        </is>
      </c>
      <c r="M58" s="15" t="inlineStr"/>
      <c r="N58" s="18" t="inlineStr">
        <is>
          <t>Chưa test</t>
        </is>
      </c>
      <c r="O58" s="15" t="inlineStr"/>
      <c r="P58" s="15" t="inlineStr"/>
      <c r="Q58" s="18" t="inlineStr">
        <is>
          <t>Chưa test</t>
        </is>
      </c>
      <c r="R58" s="15" t="inlineStr"/>
    </row>
    <row r="59" ht="30" customHeight="1">
      <c r="A59" s="14" t="inlineStr">
        <is>
          <t>TC-UPLOAD-058</t>
        </is>
      </c>
      <c r="B59" s="15" t="inlineStr">
        <is>
          <t>Upload tệp &amp; ảnh</t>
        </is>
      </c>
      <c r="C59" s="15" t="inlineStr">
        <is>
          <t>Upload theo mục đích</t>
        </is>
      </c>
      <c r="D59" s="15" t="inlineStr">
        <is>
          <t>Presign song song có thể vượt hạn mức đôi chút (giới hạn đã biết)</t>
        </is>
      </c>
      <c r="E59" s="15" t="inlineStr">
        <is>
          <t>Hiệu năng</t>
        </is>
      </c>
      <c r="F59" s="17" t="inlineStr">
        <is>
          <t>Thấp</t>
        </is>
      </c>
      <c r="G59" s="17" t="inlineStr">
        <is>
          <t>Đã hoàn thiện</t>
        </is>
      </c>
      <c r="H59" s="16" t="inlineStr">
        <is>
          <t>Không</t>
        </is>
      </c>
      <c r="I59" s="15" t="inlineStr">
        <is>
          <t>Đăng nhập member1@sofinhub.test / Passw0rd!x (quota upload trống, chưa upload gì). BE dev :4000, thư mục data/uploads; đã dùng 190MB</t>
        </is>
      </c>
      <c r="J59" s="15" t="inlineStr">
        <is>
          <t>1. Gửi đồng thời 5 presign 5MB</t>
        </is>
      </c>
      <c r="K59" s="15" t="inlineStr">
        <is>
          <t>5 request song song</t>
        </is>
      </c>
      <c r="L59" s="15" t="inlineStr">
        <is>
          <t>Có thể cả 5 đều 201 (không khóa) làm tổng &gt; 200MB; chỉ ghi nhận, chưa chốt (cần lock/Redis).</t>
        </is>
      </c>
      <c r="M59" s="15" t="inlineStr"/>
      <c r="N59" s="18" t="inlineStr">
        <is>
          <t>Chưa test</t>
        </is>
      </c>
      <c r="O59" s="15" t="inlineStr"/>
      <c r="P59" s="15" t="inlineStr"/>
      <c r="Q59" s="18" t="inlineStr">
        <is>
          <t>Chưa test</t>
        </is>
      </c>
      <c r="R59" s="15" t="inlineStr"/>
    </row>
    <row r="60" ht="30" customHeight="1">
      <c r="A60" s="14" t="inlineStr">
        <is>
          <t>TC-UPLOAD-059</t>
        </is>
      </c>
      <c r="B60" s="15" t="inlineStr">
        <is>
          <t>Upload tệp &amp; ảnh</t>
        </is>
      </c>
      <c r="C60" s="15" t="inlineStr">
        <is>
          <t>Upload theo mục đích</t>
        </is>
      </c>
      <c r="D60" s="15" t="inlineStr">
        <is>
          <t>Chưa làm: lưu S3/MinIO, rate-limit riêng cho presign</t>
        </is>
      </c>
      <c r="E60" s="15" t="inlineStr">
        <is>
          <t>Chức năng</t>
        </is>
      </c>
      <c r="F60" s="17" t="inlineStr">
        <is>
          <t>Thấp</t>
        </is>
      </c>
      <c r="G60" s="20" t="inlineStr">
        <is>
          <t>Kế hoạch</t>
        </is>
      </c>
      <c r="H60" s="16" t="inlineStr">
        <is>
          <t>Không</t>
        </is>
      </c>
      <c r="I60" s="15" t="inlineStr">
        <is>
          <t>Chưa làm: S3Storage (hiện chỉ khung), POST /uploads/:key/complete, rate limit presign</t>
        </is>
      </c>
      <c r="J60" s="15" t="inlineStr">
        <is>
          <t>1. Đặt provider S3 trong env
2. Presign</t>
        </is>
      </c>
      <c r="K60" s="15" t="inlineStr">
        <is>
          <t>-</t>
        </is>
      </c>
      <c r="L60" s="15" t="inlineStr">
        <is>
          <t>(Kế hoạch) Sau khi nối S3 uploadUrl là URL ký; hiện S3Storage ném lỗi "chưa cấu hình".</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22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TC-PAY-001</t>
        </is>
      </c>
      <c r="B2" s="15" t="inlineStr">
        <is>
          <t>Thanh toán &amp; Gói thành viên</t>
        </is>
      </c>
      <c r="C2" s="15" t="inlineStr">
        <is>
          <t>Chọn gói &amp; thanh toán</t>
        </is>
      </c>
      <c r="D2" s="15" t="inlineStr">
        <is>
          <t>Thanh toán thành công qua cổng nội địa (PayOS/VNPay/MoMo)</t>
        </is>
      </c>
      <c r="E2" s="15" t="inlineStr">
        <is>
          <t>Tích hợp</t>
        </is>
      </c>
      <c r="F2" s="16" t="inlineStr">
        <is>
          <t>Cao</t>
        </is>
      </c>
      <c r="G2" s="20" t="inlineStr">
        <is>
          <t>Kế hoạch</t>
        </is>
      </c>
      <c r="H2" s="20" t="inlineStr">
        <is>
          <t>Một phần</t>
        </is>
      </c>
      <c r="I2" s="15" t="inlineStr">
        <is>
          <t>Cộng đồng/khóa học có phí, đã chọn gói</t>
        </is>
      </c>
      <c r="J2" s="15" t="inlineStr">
        <is>
          <t>1. Chọn gói thành viên
2. Chọn phương thức thanh toán nội địa
3. Quét mã QR / nhập thông tin thẻ
4. Hoàn tất thanh toán trên cổng</t>
        </is>
      </c>
      <c r="K2" s="15" t="inlineStr">
        <is>
          <t>-</t>
        </is>
      </c>
      <c r="L2" s="15" t="inlineStr">
        <is>
          <t>Giao dịch thành công, hệ thống nhận webhook và cấp quyền truy cập ngay</t>
        </is>
      </c>
      <c r="M2" s="15" t="inlineStr"/>
      <c r="N2" s="18" t="inlineStr">
        <is>
          <t>Chưa test</t>
        </is>
      </c>
      <c r="O2" s="15" t="inlineStr"/>
      <c r="P2" s="15" t="inlineStr"/>
      <c r="Q2" s="18" t="inlineStr">
        <is>
          <t>Chưa test</t>
        </is>
      </c>
      <c r="R2" s="15" t="inlineStr"/>
    </row>
    <row r="3" ht="60" customHeight="1">
      <c r="A3" s="14" t="inlineStr">
        <is>
          <t>TC-PAY-002</t>
        </is>
      </c>
      <c r="B3" s="15" t="inlineStr">
        <is>
          <t>Thanh toán &amp; Gói thành viên</t>
        </is>
      </c>
      <c r="C3" s="15" t="inlineStr">
        <is>
          <t>Chọn gói &amp; thanh toán</t>
        </is>
      </c>
      <c r="D3" s="15" t="inlineStr">
        <is>
          <t>Thanh toán thành công qua Stripe (thẻ quốc tế)</t>
        </is>
      </c>
      <c r="E3" s="15" t="inlineStr">
        <is>
          <t>Tích hợp</t>
        </is>
      </c>
      <c r="F3" s="16" t="inlineStr">
        <is>
          <t>Cao</t>
        </is>
      </c>
      <c r="G3" s="20" t="inlineStr">
        <is>
          <t>Kế hoạch</t>
        </is>
      </c>
      <c r="H3" s="20" t="inlineStr">
        <is>
          <t>Một phần</t>
        </is>
      </c>
      <c r="I3" s="15" t="inlineStr">
        <is>
          <t>Cộng đồng/khóa học có phí, đã chọn gói</t>
        </is>
      </c>
      <c r="J3" s="15" t="inlineStr">
        <is>
          <t>1. Chọn gói thành viên
2. Chọn Stripe
3. Nhập thông tin thẻ Visa/Mastercard hợp lệ
4. Xác nhận thanh toán</t>
        </is>
      </c>
      <c r="K3" s="15" t="inlineStr">
        <is>
          <t>Thẻ test Stripe hợp lệ</t>
        </is>
      </c>
      <c r="L3" s="15" t="inlineStr">
        <is>
          <t>Giao dịch thành công, quyền truy cập được cấp ngay sau xác nhận</t>
        </is>
      </c>
      <c r="M3" s="15" t="inlineStr"/>
      <c r="N3" s="18" t="inlineStr">
        <is>
          <t>Chưa test</t>
        </is>
      </c>
      <c r="O3" s="15" t="inlineStr"/>
      <c r="P3" s="15" t="inlineStr"/>
      <c r="Q3" s="18" t="inlineStr">
        <is>
          <t>Chưa test</t>
        </is>
      </c>
      <c r="R3" s="15" t="inlineStr"/>
    </row>
    <row r="4" ht="45" customHeight="1">
      <c r="A4" s="14" t="inlineStr">
        <is>
          <t>TC-PAY-003</t>
        </is>
      </c>
      <c r="B4" s="15" t="inlineStr">
        <is>
          <t>Thanh toán &amp; Gói thành viên</t>
        </is>
      </c>
      <c r="C4" s="15" t="inlineStr">
        <is>
          <t>Thanh toán thất bại</t>
        </is>
      </c>
      <c r="D4" s="15" t="inlineStr">
        <is>
          <t>Thanh toán thất bại do thẻ hết hạn</t>
        </is>
      </c>
      <c r="E4" s="15" t="inlineStr">
        <is>
          <t>Chức năng</t>
        </is>
      </c>
      <c r="F4" s="16" t="inlineStr">
        <is>
          <t>Cao</t>
        </is>
      </c>
      <c r="G4" s="20" t="inlineStr">
        <is>
          <t>Kế hoạch</t>
        </is>
      </c>
      <c r="H4" s="20" t="inlineStr">
        <is>
          <t>Một phần</t>
        </is>
      </c>
      <c r="I4" s="15" t="inlineStr">
        <is>
          <t>-</t>
        </is>
      </c>
      <c r="J4" s="15" t="inlineStr">
        <is>
          <t>1. Chọn gói thành viên
2. Nhập thông tin thẻ đã hết hạn
3. Xác nhận thanh toán</t>
        </is>
      </c>
      <c r="K4" s="15" t="inlineStr">
        <is>
          <t>Thẻ hết hạn</t>
        </is>
      </c>
      <c r="L4" s="15" t="inlineStr">
        <is>
          <t>Giao dịch bị từ chối, hiển thị lỗi rõ ràng, không cấp quyền truy cập</t>
        </is>
      </c>
      <c r="M4" s="15" t="inlineStr"/>
      <c r="N4" s="18" t="inlineStr">
        <is>
          <t>Chưa test</t>
        </is>
      </c>
      <c r="O4" s="15" t="inlineStr"/>
      <c r="P4" s="15" t="inlineStr"/>
      <c r="Q4" s="18" t="inlineStr">
        <is>
          <t>Chưa test</t>
        </is>
      </c>
      <c r="R4" s="15" t="inlineStr"/>
    </row>
    <row r="5" ht="30" customHeight="1">
      <c r="A5" s="14" t="inlineStr">
        <is>
          <t>TC-PAY-004</t>
        </is>
      </c>
      <c r="B5" s="15" t="inlineStr">
        <is>
          <t>Thanh toán &amp; Gói thành viên</t>
        </is>
      </c>
      <c r="C5" s="15" t="inlineStr">
        <is>
          <t>Thanh toán thất bại</t>
        </is>
      </c>
      <c r="D5" s="15" t="inlineStr">
        <is>
          <t>Thanh toán thất bại do không đủ số dư</t>
        </is>
      </c>
      <c r="E5" s="15" t="inlineStr">
        <is>
          <t>Chức năng</t>
        </is>
      </c>
      <c r="F5" s="16" t="inlineStr">
        <is>
          <t>Cao</t>
        </is>
      </c>
      <c r="G5" s="20" t="inlineStr">
        <is>
          <t>Kế hoạch</t>
        </is>
      </c>
      <c r="H5" s="20" t="inlineStr">
        <is>
          <t>Một phần</t>
        </is>
      </c>
      <c r="I5" s="15" t="inlineStr">
        <is>
          <t>-</t>
        </is>
      </c>
      <c r="J5" s="15" t="inlineStr">
        <is>
          <t>1. Chọn gói thành viên
2. Thanh toán bằng phương thức không đủ số dư</t>
        </is>
      </c>
      <c r="K5" s="15" t="inlineStr">
        <is>
          <t>Tài khoản không đủ tiền</t>
        </is>
      </c>
      <c r="L5" s="15" t="inlineStr">
        <is>
          <t>Giao dịch bị từ chối, hiển thị lỗi, không cấp quyền truy cập</t>
        </is>
      </c>
      <c r="M5" s="15" t="inlineStr"/>
      <c r="N5" s="18" t="inlineStr">
        <is>
          <t>Chưa test</t>
        </is>
      </c>
      <c r="O5" s="15" t="inlineStr"/>
      <c r="P5" s="15" t="inlineStr"/>
      <c r="Q5" s="18" t="inlineStr">
        <is>
          <t>Chưa test</t>
        </is>
      </c>
      <c r="R5" s="15" t="inlineStr"/>
    </row>
    <row r="6" ht="30" customHeight="1">
      <c r="A6" s="14" t="inlineStr">
        <is>
          <t>TC-PAY-005</t>
        </is>
      </c>
      <c r="B6" s="15" t="inlineStr">
        <is>
          <t>Thanh toán &amp; Gói thành viên</t>
        </is>
      </c>
      <c r="C6" s="15" t="inlineStr">
        <is>
          <t>Thử lại thanh toán</t>
        </is>
      </c>
      <c r="D6" s="15" t="inlineStr">
        <is>
          <t>Hệ thống tự động thử lại khi thanh toán định kỳ thất bại</t>
        </is>
      </c>
      <c r="E6" s="15" t="inlineStr">
        <is>
          <t>Chức năng</t>
        </is>
      </c>
      <c r="F6" s="16" t="inlineStr">
        <is>
          <t>Cao</t>
        </is>
      </c>
      <c r="G6" s="20" t="inlineStr">
        <is>
          <t>Kế hoạch</t>
        </is>
      </c>
      <c r="H6" s="20" t="inlineStr">
        <is>
          <t>Một phần</t>
        </is>
      </c>
      <c r="I6" s="15" t="inlineStr">
        <is>
          <t>Có gói đến hạn gia hạn nhưng phương thức thanh toán lỗi</t>
        </is>
      </c>
      <c r="J6" s="15" t="inlineStr">
        <is>
          <t>1. Tới ngày gia hạn với phương thức thanh toán không hợp lệ
2. Quan sát hệ thống trong các ngày tiếp theo</t>
        </is>
      </c>
      <c r="K6" s="15" t="inlineStr">
        <is>
          <t>-</t>
        </is>
      </c>
      <c r="L6" s="15" t="inlineStr">
        <is>
          <t>Hệ thống thử lại theo lịch đã định, đồng thời gửi cảnh báo cho thành viên cập nhật phương thức thanh toán</t>
        </is>
      </c>
      <c r="M6" s="15" t="inlineStr"/>
      <c r="N6" s="18" t="inlineStr">
        <is>
          <t>Chưa test</t>
        </is>
      </c>
      <c r="O6" s="15" t="inlineStr"/>
      <c r="P6" s="15" t="inlineStr"/>
      <c r="Q6" s="18" t="inlineStr">
        <is>
          <t>Chưa test</t>
        </is>
      </c>
      <c r="R6" s="15" t="inlineStr"/>
    </row>
    <row r="7" ht="30" customHeight="1">
      <c r="A7" s="14" t="inlineStr">
        <is>
          <t>TC-PAY-006</t>
        </is>
      </c>
      <c r="B7" s="15" t="inlineStr">
        <is>
          <t>Thanh toán &amp; Gói thành viên</t>
        </is>
      </c>
      <c r="C7" s="15" t="inlineStr">
        <is>
          <t>Khóa quyền truy cập</t>
        </is>
      </c>
      <c r="D7" s="15" t="inlineStr">
        <is>
          <t>Tạm khóa quyền truy cập sau X lần thanh toán thất bại liên tiếp</t>
        </is>
      </c>
      <c r="E7" s="15" t="inlineStr">
        <is>
          <t>Chức năng</t>
        </is>
      </c>
      <c r="F7" s="16" t="inlineStr">
        <is>
          <t>Cao</t>
        </is>
      </c>
      <c r="G7" s="20" t="inlineStr">
        <is>
          <t>Kế hoạch</t>
        </is>
      </c>
      <c r="H7" s="20" t="inlineStr">
        <is>
          <t>Một phần</t>
        </is>
      </c>
      <c r="I7" s="15" t="inlineStr">
        <is>
          <t>Thanh toán định kỳ thất bại liên tục đủ X lần theo cấu hình</t>
        </is>
      </c>
      <c r="J7" s="15" t="inlineStr">
        <is>
          <t>1. Để thanh toán thất bại liên tục đủ số lần cấu hình (X lần)
2. Kiểm tra quyền truy cập của thành viên</t>
        </is>
      </c>
      <c r="K7" s="15" t="inlineStr">
        <is>
          <t>X lần thất bại liên tiếp</t>
        </is>
      </c>
      <c r="L7" s="15" t="inlineStr">
        <is>
          <t>Quyền truy cập nội dung có phí bị tạm khóa cho tới khi thanh toán thành công</t>
        </is>
      </c>
      <c r="M7" s="15" t="inlineStr"/>
      <c r="N7" s="18" t="inlineStr">
        <is>
          <t>Chưa test</t>
        </is>
      </c>
      <c r="O7" s="15" t="inlineStr"/>
      <c r="P7" s="15" t="inlineStr"/>
      <c r="Q7" s="18" t="inlineStr">
        <is>
          <t>Chưa test</t>
        </is>
      </c>
      <c r="R7" s="15" t="inlineStr"/>
    </row>
    <row r="8" ht="30" customHeight="1">
      <c r="A8" s="14" t="inlineStr">
        <is>
          <t>TC-PAY-007</t>
        </is>
      </c>
      <c r="B8" s="15" t="inlineStr">
        <is>
          <t>Thanh toán &amp; Gói thành viên</t>
        </is>
      </c>
      <c r="C8" s="15" t="inlineStr">
        <is>
          <t>Dùng thử miễn phí</t>
        </is>
      </c>
      <c r="D8" s="15" t="inlineStr">
        <is>
          <t>Kích hoạt đúng số ngày dùng thử miễn phí (VD 7 ngày)</t>
        </is>
      </c>
      <c r="E8" s="15" t="inlineStr">
        <is>
          <t>Chức năng</t>
        </is>
      </c>
      <c r="F8" s="16" t="inlineStr">
        <is>
          <t>Cao</t>
        </is>
      </c>
      <c r="G8" s="17" t="inlineStr">
        <is>
          <t>Đã hoàn thiện</t>
        </is>
      </c>
      <c r="H8" s="17" t="inlineStr">
        <is>
          <t>Có</t>
        </is>
      </c>
      <c r="I8" s="15" t="inlineStr">
        <is>
          <t>Gói có cấu hình dùng thử miễn phí 7 ngày</t>
        </is>
      </c>
      <c r="J8" s="15" t="inlineStr">
        <is>
          <t>1. Đăng ký gói có dùng thử miễn phí
2. Kiểm tra ngày bắt đầu tính phí hiển thị</t>
        </is>
      </c>
      <c r="K8" s="15" t="inlineStr">
        <is>
          <t>Dùng thử: 7 ngày</t>
        </is>
      </c>
      <c r="L8" s="15" t="inlineStr">
        <is>
          <t>Không bị tính phí trong 7 ngày đầu, chỉ thu phí đúng vào ngày thứ 8 nếu không hủy</t>
        </is>
      </c>
      <c r="M8" s="15" t="inlineStr"/>
      <c r="N8" s="18" t="inlineStr">
        <is>
          <t>Chưa test</t>
        </is>
      </c>
      <c r="O8" s="15" t="inlineStr"/>
      <c r="P8" s="15" t="inlineStr"/>
      <c r="Q8" s="18" t="inlineStr">
        <is>
          <t>Chưa test</t>
        </is>
      </c>
      <c r="R8" s="15" t="inlineStr"/>
    </row>
    <row r="9" ht="30" customHeight="1">
      <c r="A9" s="14" t="inlineStr">
        <is>
          <t>TC-PAY-008</t>
        </is>
      </c>
      <c r="B9" s="15" t="inlineStr">
        <is>
          <t>Thanh toán &amp; Gói thành viên</t>
        </is>
      </c>
      <c r="C9" s="15" t="inlineStr">
        <is>
          <t>Hủy trong thời gian dùng thử</t>
        </is>
      </c>
      <c r="D9" s="15" t="inlineStr">
        <is>
          <t>Hủy trong thời gian dùng thử không mất phí</t>
        </is>
      </c>
      <c r="E9" s="15" t="inlineStr">
        <is>
          <t>Chức năng</t>
        </is>
      </c>
      <c r="F9" s="16" t="inlineStr">
        <is>
          <t>Cao</t>
        </is>
      </c>
      <c r="G9" s="17" t="inlineStr">
        <is>
          <t>Đã hoàn thiện</t>
        </is>
      </c>
      <c r="H9" s="17" t="inlineStr">
        <is>
          <t>Có</t>
        </is>
      </c>
      <c r="I9" s="15" t="inlineStr">
        <is>
          <t>Đang trong thời gian dùng thử miễn phí</t>
        </is>
      </c>
      <c r="J9" s="15" t="inlineStr">
        <is>
          <t>1. Vào 'Gói của tôi'
2. Bấm Hủy trong lúc còn hạn dùng thử</t>
        </is>
      </c>
      <c r="K9" s="15" t="inlineStr">
        <is>
          <t>-</t>
        </is>
      </c>
      <c r="L9" s="15" t="inlineStr">
        <is>
          <t>Hủy thành công, không phát sinh bất kỳ khoản phí nào, không có giao dịch được tạo</t>
        </is>
      </c>
      <c r="M9" s="15" t="inlineStr"/>
      <c r="N9" s="18" t="inlineStr">
        <is>
          <t>Chưa test</t>
        </is>
      </c>
      <c r="O9" s="15" t="inlineStr"/>
      <c r="P9" s="15" t="inlineStr"/>
      <c r="Q9" s="18" t="inlineStr">
        <is>
          <t>Chưa test</t>
        </is>
      </c>
      <c r="R9" s="15" t="inlineStr"/>
    </row>
    <row r="10" ht="45" customHeight="1">
      <c r="A10" s="14" t="inlineStr">
        <is>
          <t>TC-PAY-009</t>
        </is>
      </c>
      <c r="B10" s="15" t="inlineStr">
        <is>
          <t>Thanh toán &amp; Gói thành viên</t>
        </is>
      </c>
      <c r="C10" s="15" t="inlineStr">
        <is>
          <t>Hủy sau khi đã thanh toán</t>
        </is>
      </c>
      <c r="D10" s="15" t="inlineStr">
        <is>
          <t>Hủy gói sau khi đã thanh toán vẫn còn quyền truy cập tới hết chu kỳ</t>
        </is>
      </c>
      <c r="E10" s="15" t="inlineStr">
        <is>
          <t>Chức năng</t>
        </is>
      </c>
      <c r="F10" s="16" t="inlineStr">
        <is>
          <t>Cao</t>
        </is>
      </c>
      <c r="G10" s="17" t="inlineStr">
        <is>
          <t>Đã hoàn thiện</t>
        </is>
      </c>
      <c r="H10" s="20" t="inlineStr">
        <is>
          <t>Một phần</t>
        </is>
      </c>
      <c r="I10" s="15" t="inlineStr">
        <is>
          <t>Đã thanh toán ít nhất 1 chu kỳ</t>
        </is>
      </c>
      <c r="J10" s="15" t="inlineStr">
        <is>
          <t>1. Vào 'Gói của tôi'
2. Bấm Hủy gói
3. Xác nhận hủy</t>
        </is>
      </c>
      <c r="K10" s="15" t="inlineStr">
        <is>
          <t>-</t>
        </is>
      </c>
      <c r="L10" s="15" t="inlineStr">
        <is>
          <t>Không bị thu phí chu kỳ tiếp theo, nhưng vẫn giữ quyền truy cập tới hết ngày cuối chu kỳ đã trả</t>
        </is>
      </c>
      <c r="M10" s="15" t="inlineStr"/>
      <c r="N10" s="18" t="inlineStr">
        <is>
          <t>Chưa test</t>
        </is>
      </c>
      <c r="O10" s="15" t="inlineStr"/>
      <c r="P10" s="15" t="inlineStr"/>
      <c r="Q10" s="18" t="inlineStr">
        <is>
          <t>Chưa test</t>
        </is>
      </c>
      <c r="R10" s="15" t="inlineStr"/>
    </row>
    <row r="11" ht="30" customHeight="1">
      <c r="A11" s="14" t="inlineStr">
        <is>
          <t>TC-PAY-010</t>
        </is>
      </c>
      <c r="B11" s="15" t="inlineStr">
        <is>
          <t>Thanh toán &amp; Gói thành viên</t>
        </is>
      </c>
      <c r="C11" s="15" t="inlineStr">
        <is>
          <t>Gia hạn tự động</t>
        </is>
      </c>
      <c r="D11" s="15" t="inlineStr">
        <is>
          <t>Gia hạn tự động thu phí đúng vào ngày tới hạn</t>
        </is>
      </c>
      <c r="E11" s="15" t="inlineStr">
        <is>
          <t>Chức năng</t>
        </is>
      </c>
      <c r="F11" s="16" t="inlineStr">
        <is>
          <t>Cao</t>
        </is>
      </c>
      <c r="G11" s="17" t="inlineStr">
        <is>
          <t>Đã hoàn thiện</t>
        </is>
      </c>
      <c r="H11" s="20" t="inlineStr">
        <is>
          <t>Một phần</t>
        </is>
      </c>
      <c r="I11" s="15" t="inlineStr">
        <is>
          <t>Gói đang active, chưa hủy, tới ngày gia hạn</t>
        </is>
      </c>
      <c r="J11" s="15" t="inlineStr">
        <is>
          <t>1. Chờ tới đúng ngày gia hạn chu kỳ
2. Kiểm tra giao dịch phát sinh và quyền truy cập</t>
        </is>
      </c>
      <c r="K11" s="15" t="inlineStr">
        <is>
          <t>-</t>
        </is>
      </c>
      <c r="L11" s="15" t="inlineStr">
        <is>
          <t>Hệ thống tự động thu phí đúng ngày, quyền truy cập tiếp tục không gián đoạn nếu thanh toán thành công</t>
        </is>
      </c>
      <c r="M11" s="15" t="inlineStr"/>
      <c r="N11" s="18" t="inlineStr">
        <is>
          <t>Chưa test</t>
        </is>
      </c>
      <c r="O11" s="15" t="inlineStr"/>
      <c r="P11" s="15" t="inlineStr"/>
      <c r="Q11" s="18" t="inlineStr">
        <is>
          <t>Chưa test</t>
        </is>
      </c>
      <c r="R11" s="15" t="inlineStr"/>
    </row>
    <row r="12" ht="30" customHeight="1">
      <c r="A12" s="14" t="inlineStr">
        <is>
          <t>TC-PAY-011</t>
        </is>
      </c>
      <c r="B12" s="15" t="inlineStr">
        <is>
          <t>Thanh toán &amp; Gói thành viên</t>
        </is>
      </c>
      <c r="C12" s="15" t="inlineStr">
        <is>
          <t>Thông báo trước gia hạn</t>
        </is>
      </c>
      <c r="D12" s="15" t="inlineStr">
        <is>
          <t>Gửi thông báo nhắc trước khi thu phí chu kỳ mới</t>
        </is>
      </c>
      <c r="E12" s="15" t="inlineStr">
        <is>
          <t>Tích hợp</t>
        </is>
      </c>
      <c r="F12" s="20" t="inlineStr">
        <is>
          <t>Trung bình</t>
        </is>
      </c>
      <c r="G12" s="17" t="inlineStr">
        <is>
          <t>Đã hoàn thiện</t>
        </is>
      </c>
      <c r="H12" s="16" t="inlineStr">
        <is>
          <t>Không</t>
        </is>
      </c>
      <c r="I12" s="15" t="inlineStr">
        <is>
          <t>Gói sắp tới ngày gia hạn</t>
        </is>
      </c>
      <c r="J12" s="15" t="inlineStr">
        <is>
          <t>1. Chờ tới thời điểm nhắc trước cấu hình (VD 3 ngày trước)</t>
        </is>
      </c>
      <c r="K12" s="15" t="inlineStr">
        <is>
          <t>-</t>
        </is>
      </c>
      <c r="L12" s="15" t="inlineStr">
        <is>
          <t>Thành viên nhận được thông báo/email nhắc trước đúng thời điểm</t>
        </is>
      </c>
      <c r="M12" s="15" t="inlineStr"/>
      <c r="N12" s="18" t="inlineStr">
        <is>
          <t>Chưa test</t>
        </is>
      </c>
      <c r="O12" s="15" t="inlineStr"/>
      <c r="P12" s="15" t="inlineStr"/>
      <c r="Q12" s="18" t="inlineStr">
        <is>
          <t>Chưa test</t>
        </is>
      </c>
      <c r="R12" s="15" t="inlineStr"/>
    </row>
    <row r="13" ht="30" customHeight="1">
      <c r="A13" s="14" t="inlineStr">
        <is>
          <t>TC-PAY-012</t>
        </is>
      </c>
      <c r="B13" s="15" t="inlineStr">
        <is>
          <t>Thanh toán &amp; Gói thành viên</t>
        </is>
      </c>
      <c r="C13" s="15" t="inlineStr">
        <is>
          <t>Quản lý gói của tôi</t>
        </is>
      </c>
      <c r="D13" s="15" t="inlineStr">
        <is>
          <t>Xem thông tin gói hiện tại (giá, chu kỳ, ngày gia hạn)</t>
        </is>
      </c>
      <c r="E13" s="15" t="inlineStr">
        <is>
          <t>Chức năng</t>
        </is>
      </c>
      <c r="F13" s="20" t="inlineStr">
        <is>
          <t>Trung bình</t>
        </is>
      </c>
      <c r="G13" s="17" t="inlineStr">
        <is>
          <t>Đã hoàn thiện</t>
        </is>
      </c>
      <c r="H13" s="17" t="inlineStr">
        <is>
          <t>Có</t>
        </is>
      </c>
      <c r="I13" s="15" t="inlineStr">
        <is>
          <t>Đang có gói active</t>
        </is>
      </c>
      <c r="J13" s="15" t="inlineStr">
        <is>
          <t>1. Vào 'Gói của tôi'</t>
        </is>
      </c>
      <c r="K13" s="15" t="inlineStr">
        <is>
          <t>-</t>
        </is>
      </c>
      <c r="L13" s="15" t="inlineStr">
        <is>
          <t>Hiển thị chính xác gói đang dùng, giá, chu kỳ, ngày gia hạn tiếp theo</t>
        </is>
      </c>
      <c r="M13" s="15" t="inlineStr"/>
      <c r="N13" s="18" t="inlineStr">
        <is>
          <t>Chưa test</t>
        </is>
      </c>
      <c r="O13" s="15" t="inlineStr"/>
      <c r="P13" s="15" t="inlineStr"/>
      <c r="Q13" s="18" t="inlineStr">
        <is>
          <t>Chưa test</t>
        </is>
      </c>
      <c r="R13" s="15" t="inlineStr"/>
    </row>
    <row r="14" ht="60" customHeight="1">
      <c r="A14" s="14" t="inlineStr">
        <is>
          <t>TC-PAY-013</t>
        </is>
      </c>
      <c r="B14" s="15" t="inlineStr">
        <is>
          <t>Thanh toán &amp; Gói thành viên</t>
        </is>
      </c>
      <c r="C14" s="15" t="inlineStr">
        <is>
          <t>Quản lý gói của tôi</t>
        </is>
      </c>
      <c r="D14" s="15" t="inlineStr">
        <is>
          <t>Đổi phương thức thanh toán</t>
        </is>
      </c>
      <c r="E14" s="15" t="inlineStr">
        <is>
          <t>Chức năng</t>
        </is>
      </c>
      <c r="F14" s="20" t="inlineStr">
        <is>
          <t>Trung bình</t>
        </is>
      </c>
      <c r="G14" s="20" t="inlineStr">
        <is>
          <t>Kế hoạch</t>
        </is>
      </c>
      <c r="H14" s="20" t="inlineStr">
        <is>
          <t>Một phần</t>
        </is>
      </c>
      <c r="I14" s="15" t="inlineStr">
        <is>
          <t>Đang có gói active</t>
        </is>
      </c>
      <c r="J14" s="15" t="inlineStr">
        <is>
          <t>1. Vào 'Gói của tôi'
2. Chọn 'Đổi phương thức thanh toán'
3. Nhập phương thức mới
4. Lưu</t>
        </is>
      </c>
      <c r="K14" s="15" t="inlineStr">
        <is>
          <t>-</t>
        </is>
      </c>
      <c r="L14" s="15" t="inlineStr">
        <is>
          <t>Phương thức thanh toán mới được lưu, áp dụng cho lần thu phí tiếp theo</t>
        </is>
      </c>
      <c r="M14" s="15" t="inlineStr"/>
      <c r="N14" s="18" t="inlineStr">
        <is>
          <t>Chưa test</t>
        </is>
      </c>
      <c r="O14" s="15" t="inlineStr"/>
      <c r="P14" s="15" t="inlineStr"/>
      <c r="Q14" s="18" t="inlineStr">
        <is>
          <t>Chưa test</t>
        </is>
      </c>
      <c r="R14" s="15" t="inlineStr"/>
    </row>
    <row r="15" ht="30" customHeight="1">
      <c r="A15" s="14" t="inlineStr">
        <is>
          <t>TC-PAY-014</t>
        </is>
      </c>
      <c r="B15" s="15" t="inlineStr">
        <is>
          <t>Thanh toán &amp; Gói thành viên</t>
        </is>
      </c>
      <c r="C15" s="15" t="inlineStr">
        <is>
          <t>Trang doanh thu Owner</t>
        </is>
      </c>
      <c r="D15" s="15" t="inlineStr">
        <is>
          <t>Trang 'Doanh thu của tôi' hiển thị đúng số dư, lịch sử giao dịch</t>
        </is>
      </c>
      <c r="E15" s="15" t="inlineStr">
        <is>
          <t>Chức năng</t>
        </is>
      </c>
      <c r="F15" s="16" t="inlineStr">
        <is>
          <t>Cao</t>
        </is>
      </c>
      <c r="G15" s="17" t="inlineStr">
        <is>
          <t>Đã hoàn thiện</t>
        </is>
      </c>
      <c r="H15" s="17" t="inlineStr">
        <is>
          <t>Có</t>
        </is>
      </c>
      <c r="I15" s="15" t="inlineStr">
        <is>
          <t>Owner có giao dịch phát sinh từ cộng đồng</t>
        </is>
      </c>
      <c r="J15" s="15" t="inlineStr">
        <is>
          <t>1. Đăng nhập với vai trò Owner
2. Vào trang Doanh thu của tôi</t>
        </is>
      </c>
      <c r="K15" s="15" t="inlineStr">
        <is>
          <t>-</t>
        </is>
      </c>
      <c r="L15" s="15" t="inlineStr">
        <is>
          <t>Số dư, lịch sử giao dịch, lịch rút tiền tiếp theo khớp đúng với dữ liệu giao dịch thực tế</t>
        </is>
      </c>
      <c r="M15" s="15" t="inlineStr"/>
      <c r="N15" s="18" t="inlineStr">
        <is>
          <t>Chưa test</t>
        </is>
      </c>
      <c r="O15" s="15" t="inlineStr"/>
      <c r="P15" s="15" t="inlineStr"/>
      <c r="Q15" s="18" t="inlineStr">
        <is>
          <t>Chưa test</t>
        </is>
      </c>
      <c r="R15" s="15" t="inlineStr"/>
    </row>
    <row r="16" ht="60" customHeight="1">
      <c r="A16" s="14" t="inlineStr">
        <is>
          <t>TC-PAY-015</t>
        </is>
      </c>
      <c r="B16" s="15" t="inlineStr">
        <is>
          <t>Thanh toán &amp; Gói thành viên</t>
        </is>
      </c>
      <c r="C16" s="15" t="inlineStr">
        <is>
          <t>Rút tiền (Payout)</t>
        </is>
      </c>
      <c r="D16" s="15" t="inlineStr">
        <is>
          <t>Rút tiền thành công khi đủ ngưỡng tối thiểu</t>
        </is>
      </c>
      <c r="E16" s="15" t="inlineStr">
        <is>
          <t>Chức năng</t>
        </is>
      </c>
      <c r="F16" s="16" t="inlineStr">
        <is>
          <t>Cao</t>
        </is>
      </c>
      <c r="G16" s="17" t="inlineStr">
        <is>
          <t>Đã hoàn thiện</t>
        </is>
      </c>
      <c r="H16" s="20" t="inlineStr">
        <is>
          <t>Một phần</t>
        </is>
      </c>
      <c r="I16" s="15" t="inlineStr">
        <is>
          <t>Số dư Owner &gt;= ngưỡng rút tối thiểu</t>
        </is>
      </c>
      <c r="J16" s="15" t="inlineStr">
        <is>
          <t>1. Vào trang Doanh thu của tôi
2. Bấm 'Rút tiền'
3. Nhập thông tin tài khoản nhận
4. Xác nhận</t>
        </is>
      </c>
      <c r="K16" s="15" t="inlineStr">
        <is>
          <t>Số dư &gt;= ngưỡng tối thiểu</t>
        </is>
      </c>
      <c r="L16" s="15" t="inlineStr">
        <is>
          <t>Yêu cầu rút tiền được tạo, số dư trừ đúng số tiền rút, sau trừ hoa hồng nền tảng và phí cổng thanh toán</t>
        </is>
      </c>
      <c r="M16" s="15" t="inlineStr"/>
      <c r="N16" s="18" t="inlineStr">
        <is>
          <t>Chưa test</t>
        </is>
      </c>
      <c r="O16" s="15" t="inlineStr"/>
      <c r="P16" s="15" t="inlineStr"/>
      <c r="Q16" s="18" t="inlineStr">
        <is>
          <t>Chưa test</t>
        </is>
      </c>
      <c r="R16" s="15" t="inlineStr"/>
    </row>
    <row r="17" ht="30" customHeight="1">
      <c r="A17" s="14" t="inlineStr">
        <is>
          <t>TC-PAY-016</t>
        </is>
      </c>
      <c r="B17" s="15" t="inlineStr">
        <is>
          <t>Thanh toán &amp; Gói thành viên</t>
        </is>
      </c>
      <c r="C17" s="15" t="inlineStr">
        <is>
          <t>Rút tiền (Payout)</t>
        </is>
      </c>
      <c r="D17" s="15" t="inlineStr">
        <is>
          <t>Không cho rút tiền khi chưa đủ ngưỡng tối thiểu</t>
        </is>
      </c>
      <c r="E17" s="15" t="inlineStr">
        <is>
          <t>Chức năng</t>
        </is>
      </c>
      <c r="F17" s="20" t="inlineStr">
        <is>
          <t>Trung bình</t>
        </is>
      </c>
      <c r="G17" s="17" t="inlineStr">
        <is>
          <t>Đã hoàn thiện</t>
        </is>
      </c>
      <c r="H17" s="17" t="inlineStr">
        <is>
          <t>Có</t>
        </is>
      </c>
      <c r="I17" s="15" t="inlineStr">
        <is>
          <t>Số dư Owner &lt; ngưỡng rút tối thiểu</t>
        </is>
      </c>
      <c r="J17" s="15" t="inlineStr">
        <is>
          <t>1. Vào trang Doanh thu của tôi
2. Bấm 'Rút tiền'</t>
        </is>
      </c>
      <c r="K17" s="15" t="inlineStr">
        <is>
          <t>Số dư &lt; ngưỡng tối thiểu</t>
        </is>
      </c>
      <c r="L17" s="15" t="inlineStr">
        <is>
          <t>Hệ thống chặn yêu cầu rút tiền, hiển thị rõ ngưỡng tối thiểu cần đạt</t>
        </is>
      </c>
      <c r="M17" s="15" t="inlineStr"/>
      <c r="N17" s="18" t="inlineStr">
        <is>
          <t>Chưa test</t>
        </is>
      </c>
      <c r="O17" s="15" t="inlineStr"/>
      <c r="P17" s="15" t="inlineStr"/>
      <c r="Q17" s="18" t="inlineStr">
        <is>
          <t>Chưa test</t>
        </is>
      </c>
      <c r="R17" s="15" t="inlineStr"/>
    </row>
    <row r="18" ht="30" customHeight="1">
      <c r="A18" s="14" t="inlineStr">
        <is>
          <t>TC-PAY-017</t>
        </is>
      </c>
      <c r="B18" s="15" t="inlineStr">
        <is>
          <t>Thanh toán &amp; Gói thành viên</t>
        </is>
      </c>
      <c r="C18" s="15" t="inlineStr">
        <is>
          <t>Webhook thanh toán</t>
        </is>
      </c>
      <c r="D18" s="15" t="inlineStr">
        <is>
          <t>Xử lý webhook idempotent — không cấp quyền/tính phí 2 lần khi webhook gửi trùng</t>
        </is>
      </c>
      <c r="E18" s="15" t="inlineStr">
        <is>
          <t>Bảo mật</t>
        </is>
      </c>
      <c r="F18" s="16" t="inlineStr">
        <is>
          <t>Cao</t>
        </is>
      </c>
      <c r="G18" s="17" t="inlineStr">
        <is>
          <t>Đã hoàn thiện</t>
        </is>
      </c>
      <c r="H18" s="20" t="inlineStr">
        <is>
          <t>Một phần</t>
        </is>
      </c>
      <c r="I18" s="15" t="inlineStr">
        <is>
          <t>Cổng thanh toán gửi trùng 1 webhook xác nhận thanh toán (retry)</t>
        </is>
      </c>
      <c r="J18" s="15" t="inlineStr">
        <is>
          <t>1. Giả lập cổng thanh toán gửi 2 lần cùng 1 webhook xác nhận thành công cho cùng 1 giao dịch</t>
        </is>
      </c>
      <c r="K18" s="15" t="inlineStr">
        <is>
          <t>Webhook trùng ID giao dịch</t>
        </is>
      </c>
      <c r="L18" s="15" t="inlineStr">
        <is>
          <t>Hệ thống chỉ xử lý đúng 1 lần, không cấp quyền truy cập/ghi nhận doanh thu 2 lần</t>
        </is>
      </c>
      <c r="M18" s="15" t="inlineStr"/>
      <c r="N18" s="18" t="inlineStr">
        <is>
          <t>Chưa test</t>
        </is>
      </c>
      <c r="O18" s="15" t="inlineStr"/>
      <c r="P18" s="15" t="inlineStr"/>
      <c r="Q18" s="18" t="inlineStr">
        <is>
          <t>Chưa test</t>
        </is>
      </c>
      <c r="R18" s="15" t="inlineStr"/>
    </row>
    <row r="19" ht="30" customHeight="1">
      <c r="A19" s="14" t="inlineStr">
        <is>
          <t>TC-PAY-018</t>
        </is>
      </c>
      <c r="B19" s="15" t="inlineStr">
        <is>
          <t>Thanh toán &amp; Gói thành viên</t>
        </is>
      </c>
      <c r="C19" s="15" t="inlineStr">
        <is>
          <t>Webhook thanh toán</t>
        </is>
      </c>
      <c r="D19" s="15" t="inlineStr">
        <is>
          <t>Từ chối webhook có chữ ký không hợp lệ</t>
        </is>
      </c>
      <c r="E19" s="15" t="inlineStr">
        <is>
          <t>Bảo mật</t>
        </is>
      </c>
      <c r="F19" s="16" t="inlineStr">
        <is>
          <t>Cao</t>
        </is>
      </c>
      <c r="G19" s="17" t="inlineStr">
        <is>
          <t>Đã hoàn thiện</t>
        </is>
      </c>
      <c r="H19" s="20" t="inlineStr">
        <is>
          <t>Một phần</t>
        </is>
      </c>
      <c r="I19" s="15" t="inlineStr">
        <is>
          <t>-</t>
        </is>
      </c>
      <c r="J19" s="15" t="inlineStr">
        <is>
          <t>1. Gửi request giả tới endpoint webhook thanh toán với chữ ký (signature) sai/không có</t>
        </is>
      </c>
      <c r="K19" s="15" t="inlineStr">
        <is>
          <t>-</t>
        </is>
      </c>
      <c r="L19" s="15" t="inlineStr">
        <is>
          <t>Hệ thống từ chối xử lý, không cấp quyền truy cập, ghi log cảnh báo bất thường</t>
        </is>
      </c>
      <c r="M19" s="15" t="inlineStr"/>
      <c r="N19" s="18" t="inlineStr">
        <is>
          <t>Chưa test</t>
        </is>
      </c>
      <c r="O19" s="15" t="inlineStr"/>
      <c r="P19" s="15" t="inlineStr"/>
      <c r="Q19" s="18" t="inlineStr">
        <is>
          <t>Chưa test</t>
        </is>
      </c>
      <c r="R19" s="15" t="inlineStr"/>
    </row>
    <row r="20" ht="30" customHeight="1">
      <c r="A20" s="14" t="inlineStr">
        <is>
          <t>TC-PAY-019</t>
        </is>
      </c>
      <c r="B20" s="15" t="inlineStr">
        <is>
          <t>Thanh toán &amp; Gói thành viên</t>
        </is>
      </c>
      <c r="C20" s="15" t="inlineStr">
        <is>
          <t>Đổi gói</t>
        </is>
      </c>
      <c r="D20" s="15" t="inlineStr">
        <is>
          <t>Owner đổi giá cộng đồng — thành viên hiện tại được xử lý đúng theo chính sách đã chốt</t>
        </is>
      </c>
      <c r="E20" s="15" t="inlineStr">
        <is>
          <t>Chức năng</t>
        </is>
      </c>
      <c r="F20" s="16" t="inlineStr">
        <is>
          <t>Cao</t>
        </is>
      </c>
      <c r="G20" s="20" t="inlineStr">
        <is>
          <t>Kế hoạch</t>
        </is>
      </c>
      <c r="H20" s="17" t="inlineStr">
        <is>
          <t>Có</t>
        </is>
      </c>
      <c r="I20" s="15" t="inlineStr">
        <is>
          <t>Cộng đồng có thành viên đang trả phí ở mức giá cũ, Owner đổi sang giá mới</t>
        </is>
      </c>
      <c r="J20" s="15" t="inlineStr">
        <is>
          <t>1. Owner đổi giá cộng đồng từ 99k lên 149k/tháng
2. Kiểm tra chu kỳ gia hạn tiếp theo của thành viên đã tham gia trước đó</t>
        </is>
      </c>
      <c r="K20" s="15" t="inlineStr">
        <is>
          <t>-</t>
        </is>
      </c>
      <c r="L20" s="15" t="inlineStr">
        <is>
          <t>Áp dụng đúng theo chính sách đã chốt với BA (giữ giá cũ tới khi hủy, hay áp giá mới ngay từ chu kỳ sau)</t>
        </is>
      </c>
      <c r="M20" s="15" t="inlineStr"/>
      <c r="N20" s="18" t="inlineStr">
        <is>
          <t>Chưa test</t>
        </is>
      </c>
      <c r="O20" s="15" t="inlineStr"/>
      <c r="P20" s="15" t="inlineStr"/>
      <c r="Q20" s="18" t="inlineStr">
        <is>
          <t>Chưa test</t>
        </is>
      </c>
      <c r="R20" s="15" t="inlineStr"/>
    </row>
    <row r="21" ht="30" customHeight="1">
      <c r="A21" s="14" t="inlineStr">
        <is>
          <t>TC-PAY-020</t>
        </is>
      </c>
      <c r="B21" s="15" t="inlineStr">
        <is>
          <t>Thanh toán &amp; Gói thành viên</t>
        </is>
      </c>
      <c r="C21" s="15" t="inlineStr">
        <is>
          <t>Hoàn tiền</t>
        </is>
      </c>
      <c r="D21" s="15" t="inlineStr">
        <is>
          <t>Platform Admin thực hiện hoàn tiền cho trường hợp đặc biệt</t>
        </is>
      </c>
      <c r="E21" s="15" t="inlineStr">
        <is>
          <t>Chức năng</t>
        </is>
      </c>
      <c r="F21" s="20" t="inlineStr">
        <is>
          <t>Trung bình</t>
        </is>
      </c>
      <c r="G21" s="17" t="inlineStr">
        <is>
          <t>Đã hoàn thiện</t>
        </is>
      </c>
      <c r="H21" s="20" t="inlineStr">
        <is>
          <t>Một phần</t>
        </is>
      </c>
      <c r="I21" s="15" t="inlineStr">
        <is>
          <t>Có giao dịch đã thanh toán, Platform Admin xét duyệt hoàn tiền</t>
        </is>
      </c>
      <c r="J21" s="15" t="inlineStr">
        <is>
          <t>1. Platform Admin vào quản lý giao dịch
2. Chọn 1 giao dịch, thực hiện hoàn tiền có ghi lý do</t>
        </is>
      </c>
      <c r="K21" s="15" t="inlineStr">
        <is>
          <t>-</t>
        </is>
      </c>
      <c r="L21" s="15" t="inlineStr">
        <is>
          <t>Giao dịch chuyển trạng thái đã hoàn tiền, tiền được hoàn qua cổng thanh toán gốc, thành viên nhận thông báo</t>
        </is>
      </c>
      <c r="M21" s="15" t="inlineStr"/>
      <c r="N21" s="18" t="inlineStr">
        <is>
          <t>Chưa test</t>
        </is>
      </c>
      <c r="O21" s="15" t="inlineStr"/>
      <c r="P21" s="15" t="inlineStr"/>
      <c r="Q21" s="18" t="inlineStr">
        <is>
          <t>Chưa test</t>
        </is>
      </c>
      <c r="R21" s="15" t="inlineStr"/>
    </row>
    <row r="22" ht="30" customHeight="1">
      <c r="A22" s="14" t="inlineStr">
        <is>
          <t>TC-PAY-021</t>
        </is>
      </c>
      <c r="B22" s="15" t="inlineStr">
        <is>
          <t>Thanh toán &amp; Gói thành viên</t>
        </is>
      </c>
      <c r="C22" s="15" t="inlineStr">
        <is>
          <t>Đơn vị tiền tệ</t>
        </is>
      </c>
      <c r="D22" s="15" t="inlineStr">
        <is>
          <t>Hiển thị đúng đơn vị tiền tệ theo thị trường (VNĐ nội địa, USD Stripe)</t>
        </is>
      </c>
      <c r="E22" s="15" t="inlineStr">
        <is>
          <t>Giao diện</t>
        </is>
      </c>
      <c r="F22" s="20" t="inlineStr">
        <is>
          <t>Trung bình</t>
        </is>
      </c>
      <c r="G22" s="20" t="inlineStr">
        <is>
          <t>Kế hoạch</t>
        </is>
      </c>
      <c r="H22" s="20" t="inlineStr">
        <is>
          <t>Một phần</t>
        </is>
      </c>
      <c r="I22" s="15" t="inlineStr">
        <is>
          <t>Cộng đồng cấu hình giá theo cả 2 loại cổng thanh toán</t>
        </is>
      </c>
      <c r="J22" s="15" t="inlineStr">
        <is>
          <t>1. Xem trang chọn gói khi thanh toán qua cổng nội địa
2. Xem trang chọn gói khi thanh toán qua Stripe</t>
        </is>
      </c>
      <c r="K22" s="15" t="inlineStr">
        <is>
          <t>-</t>
        </is>
      </c>
      <c r="L22" s="15" t="inlineStr">
        <is>
          <t>Hiển thị đúng đơn vị tiền tệ và mức giá tương ứng cho từng cổng thanh toán</t>
        </is>
      </c>
      <c r="M22" s="15" t="inlineStr"/>
      <c r="N22" s="18" t="inlineStr">
        <is>
          <t>Chưa test</t>
        </is>
      </c>
      <c r="O22" s="15" t="inlineStr"/>
      <c r="P22" s="15" t="inlineStr"/>
      <c r="Q22" s="18" t="inlineStr">
        <is>
          <t>Chưa test</t>
        </is>
      </c>
      <c r="R22" s="15" t="inlineStr"/>
    </row>
    <row r="23" ht="30" customHeight="1">
      <c r="A23" s="14" t="inlineStr">
        <is>
          <t>TC-PAY-022</t>
        </is>
      </c>
      <c r="B23" s="15" t="inlineStr">
        <is>
          <t>Thanh toán &amp; Gói thành viên</t>
        </is>
      </c>
      <c r="C23" s="15" t="inlineStr">
        <is>
          <t>Nhiều cộng đồng</t>
        </is>
      </c>
      <c r="D23" s="15" t="inlineStr">
        <is>
          <t>Thành viên tham gia trả phí nhiều cộng đồng cùng lúc, mỗi gói tính phí độc lập</t>
        </is>
      </c>
      <c r="E23" s="15" t="inlineStr">
        <is>
          <t>Chức năng</t>
        </is>
      </c>
      <c r="F23" s="20" t="inlineStr">
        <is>
          <t>Trung bình</t>
        </is>
      </c>
      <c r="G23" s="17" t="inlineStr">
        <is>
          <t>Đã hoàn thiện</t>
        </is>
      </c>
      <c r="H23" s="17" t="inlineStr">
        <is>
          <t>Có</t>
        </is>
      </c>
      <c r="I23" s="15" t="inlineStr">
        <is>
          <t>Thành viên đã tham gia trả phí cộng đồng A</t>
        </is>
      </c>
      <c r="J23" s="15" t="inlineStr">
        <is>
          <t>1. Thành viên tham gia trả phí thêm cộng đồng B
2. Kiểm tra 'Gói của tôi'</t>
        </is>
      </c>
      <c r="K23" s="15" t="inlineStr">
        <is>
          <t>-</t>
        </is>
      </c>
      <c r="L23" s="15" t="inlineStr">
        <is>
          <t>Hiển thị đúng 2 gói riêng biệt của cộng đồng A và B, thu phí/gia hạn độc lập nhau</t>
        </is>
      </c>
      <c r="M23" s="15" t="inlineStr"/>
      <c r="N23" s="18" t="inlineStr">
        <is>
          <t>Chưa test</t>
        </is>
      </c>
      <c r="O23" s="15" t="inlineStr"/>
      <c r="P23" s="15" t="inlineStr"/>
      <c r="Q23" s="18" t="inlineStr">
        <is>
          <t>Chưa test</t>
        </is>
      </c>
      <c r="R23" s="15" t="inlineStr"/>
    </row>
    <row r="24" ht="30" customHeight="1">
      <c r="A24" s="14" t="inlineStr">
        <is>
          <t>TC-PAY-023</t>
        </is>
      </c>
      <c r="B24" s="15" t="inlineStr">
        <is>
          <t>Thanh toán &amp; Gói thành viên</t>
        </is>
      </c>
      <c r="C24" s="15" t="inlineStr">
        <is>
          <t>Thanh toán</t>
        </is>
      </c>
      <c r="D24" s="15" t="inlineStr">
        <is>
          <t>Chặn thanh toán trùng khi bấm nút 'Thanh toán' nhiều lần liên tiếp</t>
        </is>
      </c>
      <c r="E24" s="15" t="inlineStr">
        <is>
          <t>Chức năng</t>
        </is>
      </c>
      <c r="F24" s="16" t="inlineStr">
        <is>
          <t>Cao</t>
        </is>
      </c>
      <c r="G24" s="17" t="inlineStr">
        <is>
          <t>Đã hoàn thiện</t>
        </is>
      </c>
      <c r="H24" s="20" t="inlineStr">
        <is>
          <t>Một phần</t>
        </is>
      </c>
      <c r="I24" s="15" t="inlineStr">
        <is>
          <t>Đang ở màn hình xác nhận thanh toán</t>
        </is>
      </c>
      <c r="J24" s="15" t="inlineStr">
        <is>
          <t>1. Bấm rất nhanh nhiều lần liên tiếp vào nút 'Thanh toán'</t>
        </is>
      </c>
      <c r="K24" s="15" t="inlineStr">
        <is>
          <t>-</t>
        </is>
      </c>
      <c r="L24" s="15" t="inlineStr">
        <is>
          <t>Chỉ tạo đúng 1 giao dịch/1 lần bị trừ tiền, nút bị vô hiệu hóa ngay sau lần bấm đầu tiên</t>
        </is>
      </c>
      <c r="M24" s="15" t="inlineStr"/>
      <c r="N24" s="18" t="inlineStr">
        <is>
          <t>Chưa test</t>
        </is>
      </c>
      <c r="O24" s="15" t="inlineStr"/>
      <c r="P24" s="15" t="inlineStr"/>
      <c r="Q24" s="18" t="inlineStr">
        <is>
          <t>Chưa test</t>
        </is>
      </c>
      <c r="R24" s="15" t="inlineStr"/>
    </row>
    <row r="25" ht="30" customHeight="1">
      <c r="A25" s="14" t="inlineStr">
        <is>
          <t>TC-PAY-024</t>
        </is>
      </c>
      <c r="B25" s="15" t="inlineStr">
        <is>
          <t>Thanh toán &amp; Gói thành viên</t>
        </is>
      </c>
      <c r="C25" s="15" t="inlineStr">
        <is>
          <t>Dùng thử miễn phí</t>
        </is>
      </c>
      <c r="D25" s="15" t="inlineStr">
        <is>
          <t>Không cho dùng thử miễn phí lần 2 cho cùng 1 tài khoản trên cùng 1 gói</t>
        </is>
      </c>
      <c r="E25" s="15" t="inlineStr">
        <is>
          <t>Chức năng</t>
        </is>
      </c>
      <c r="F25" s="16" t="inlineStr">
        <is>
          <t>Cao</t>
        </is>
      </c>
      <c r="G25" s="17" t="inlineStr">
        <is>
          <t>Đã hoàn thiện</t>
        </is>
      </c>
      <c r="H25" s="20" t="inlineStr">
        <is>
          <t>Một phần</t>
        </is>
      </c>
      <c r="I25" s="15" t="inlineStr">
        <is>
          <t>Tài khoản đã từng dùng thử miễn phí gói này và đã hủy/hết hạn</t>
        </is>
      </c>
      <c r="J25" s="15" t="inlineStr">
        <is>
          <t>1. Tài khoản đã từng dùng thử gói X trước đó
2. Đăng ký tham gia lại gói X</t>
        </is>
      </c>
      <c r="K25" s="15" t="inlineStr">
        <is>
          <t>-</t>
        </is>
      </c>
      <c r="L25" s="15" t="inlineStr">
        <is>
          <t>Không được cấp thêm thời gian dùng thử miễn phí lần 2, vào thẳng thanh toán ngay (đúng chính sách chống lạm dụng)</t>
        </is>
      </c>
      <c r="M25" s="15" t="inlineStr"/>
      <c r="N25" s="18" t="inlineStr">
        <is>
          <t>Chưa test</t>
        </is>
      </c>
      <c r="O25" s="15" t="inlineStr"/>
      <c r="P25" s="15" t="inlineStr"/>
      <c r="Q25" s="18" t="inlineStr">
        <is>
          <t>Chưa test</t>
        </is>
      </c>
      <c r="R25" s="15" t="inlineStr"/>
    </row>
    <row r="26" ht="30" customHeight="1">
      <c r="A26" s="14" t="inlineStr">
        <is>
          <t>TC-PAY-025</t>
        </is>
      </c>
      <c r="B26" s="15" t="inlineStr">
        <is>
          <t>Thanh toán &amp; Gói thành viên</t>
        </is>
      </c>
      <c r="C26" s="15" t="inlineStr">
        <is>
          <t>Trang doanh thu Owner</t>
        </is>
      </c>
      <c r="D26" s="15" t="inlineStr">
        <is>
          <t>Owner chỉ xem được doanh thu của cộng đồng mình sở hữu</t>
        </is>
      </c>
      <c r="E26" s="15" t="inlineStr">
        <is>
          <t>Bảo mật</t>
        </is>
      </c>
      <c r="F26" s="16" t="inlineStr">
        <is>
          <t>Cao</t>
        </is>
      </c>
      <c r="G26" s="17" t="inlineStr">
        <is>
          <t>Đã hoàn thiện</t>
        </is>
      </c>
      <c r="H26" s="17" t="inlineStr">
        <is>
          <t>Có</t>
        </is>
      </c>
      <c r="I26" s="15" t="inlineStr">
        <is>
          <t>Owner A sở hữu cộng đồng A, có cộng đồng B của Owner khác</t>
        </is>
      </c>
      <c r="J26" s="15" t="inlineStr">
        <is>
          <t>1. Đăng nhập Owner A
2. Thử truy cập URL trang doanh thu của cộng đồng B (sửa ID trên URL)</t>
        </is>
      </c>
      <c r="K26" s="15" t="inlineStr">
        <is>
          <t>-</t>
        </is>
      </c>
      <c r="L26" s="15" t="inlineStr">
        <is>
          <t>Bị từ chối truy cập (403), không xem được số liệu doanh thu của cộng đồng B</t>
        </is>
      </c>
      <c r="M26" s="15" t="inlineStr"/>
      <c r="N26" s="18" t="inlineStr">
        <is>
          <t>Chưa test</t>
        </is>
      </c>
      <c r="O26" s="15" t="inlineStr"/>
      <c r="P26" s="15" t="inlineStr"/>
      <c r="Q26" s="18" t="inlineStr">
        <is>
          <t>Chưa test</t>
        </is>
      </c>
      <c r="R26" s="15" t="inlineStr"/>
    </row>
    <row r="27" ht="45" customHeight="1">
      <c r="A27" s="14" t="inlineStr">
        <is>
          <t>TC-PAY-026</t>
        </is>
      </c>
      <c r="B27" s="15" t="inlineStr">
        <is>
          <t>Thanh toán &amp; Gói thành viên</t>
        </is>
      </c>
      <c r="C27" s="15" t="inlineStr">
        <is>
          <t>Rút tiền (Payout)</t>
        </is>
      </c>
      <c r="D27" s="15" t="inlineStr">
        <is>
          <t>Không cho rút tiền vượt quá số dư khả dụng hiện tại</t>
        </is>
      </c>
      <c r="E27" s="15" t="inlineStr">
        <is>
          <t>Chức năng</t>
        </is>
      </c>
      <c r="F27" s="16" t="inlineStr">
        <is>
          <t>Cao</t>
        </is>
      </c>
      <c r="G27" s="17" t="inlineStr">
        <is>
          <t>Đã hoàn thiện</t>
        </is>
      </c>
      <c r="H27" s="17" t="inlineStr">
        <is>
          <t>Có</t>
        </is>
      </c>
      <c r="I27" s="15" t="inlineStr">
        <is>
          <t>Owner có số dư khả dụng xác định</t>
        </is>
      </c>
      <c r="J27" s="15" t="inlineStr">
        <is>
          <t>1. Owner vào trang Doanh thu
2. Nhập số tiền rút lớn hơn số dư khả dụng
3. Xác nhận</t>
        </is>
      </c>
      <c r="K27" s="15" t="inlineStr">
        <is>
          <t>Số tiền rút &gt; số dư</t>
        </is>
      </c>
      <c r="L27" s="15" t="inlineStr">
        <is>
          <t>Hệ thống từ chối yêu cầu, báo lỗi vượt quá số dư khả dụng</t>
        </is>
      </c>
      <c r="M27" s="15" t="inlineStr"/>
      <c r="N27" s="18" t="inlineStr">
        <is>
          <t>Chưa test</t>
        </is>
      </c>
      <c r="O27" s="15" t="inlineStr"/>
      <c r="P27" s="15" t="inlineStr"/>
      <c r="Q27" s="18" t="inlineStr">
        <is>
          <t>Chưa test</t>
        </is>
      </c>
      <c r="R27" s="15" t="inlineStr"/>
    </row>
    <row r="28" ht="45" customHeight="1">
      <c r="A28" s="14" t="inlineStr">
        <is>
          <t>TC-PAY-027</t>
        </is>
      </c>
      <c r="B28" s="15" t="inlineStr">
        <is>
          <t>Thanh toán &amp; Gói thành viên</t>
        </is>
      </c>
      <c r="C28" s="15" t="inlineStr">
        <is>
          <t>Checkout</t>
        </is>
      </c>
      <c r="D28" s="15" t="inlineStr">
        <is>
          <t>Tạo giao dịch checkout khóa có phí: giá lấy từ server, trạng thái pending</t>
        </is>
      </c>
      <c r="E28" s="15" t="inlineStr">
        <is>
          <t>Chức năng</t>
        </is>
      </c>
      <c r="F28" s="16" t="inlineStr">
        <is>
          <t>Cao</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 (chưa ở cộng đồng nào).</t>
        </is>
      </c>
      <c r="J28" s="15" t="inlineStr">
        <is>
          <t>1. Đăng nhập newbie, lấy access token
2. Gọi POST /api/courses/paid-demo/checkout với body {"method":"stripe"}
3. Đọc response</t>
        </is>
      </c>
      <c r="K28" s="15" t="inlineStr">
        <is>
          <t>method=stripe; không gửi Idempotency-Key</t>
        </is>
      </c>
      <c r="L28" s="15" t="inlineStr">
        <is>
          <t>201 {data}: PaymentIntent có courseId=paid-demo, userId=newbie, amountCents=1900 (amountUsd=19), status=pending, kind=initial, trialDays=7, chưa có invoiceNumber. newbie vẫn CHƯA ở cộng đồng (GET /api/courses/paid-demo/subscription -&gt; enrolled=false).</t>
        </is>
      </c>
      <c r="M28" s="15" t="inlineStr"/>
      <c r="N28" s="18" t="inlineStr">
        <is>
          <t>Chưa test</t>
        </is>
      </c>
      <c r="O28" s="15" t="inlineStr"/>
      <c r="P28" s="15" t="inlineStr"/>
      <c r="Q28" s="18" t="inlineStr">
        <is>
          <t>Chưa test</t>
        </is>
      </c>
      <c r="R28" s="15" t="inlineStr"/>
    </row>
    <row r="29" ht="30" customHeight="1">
      <c r="A29" s="14" t="inlineStr">
        <is>
          <t>TC-PAY-028</t>
        </is>
      </c>
      <c r="B29" s="15" t="inlineStr">
        <is>
          <t>Thanh toán &amp; Gói thành viên</t>
        </is>
      </c>
      <c r="C29" s="15" t="inlineStr">
        <is>
          <t>Checkout</t>
        </is>
      </c>
      <c r="D29" s="15" t="inlineStr">
        <is>
          <t>Không tin số tiền client: amountUsd/amountCents trong body bị bỏ qua</t>
        </is>
      </c>
      <c r="E29" s="15" t="inlineStr">
        <is>
          <t>Bảo mật</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9" s="15" t="inlineStr">
        <is>
          <t>1. POST /api/courses/paid-demo/checkout với body {"method":"stripe","amountCents":1,"amountUsd":0.01}
2. Đọc response</t>
        </is>
      </c>
      <c r="K29" s="15" t="inlineStr">
        <is>
          <t>amountCents=1, amountUsd=0.01</t>
        </is>
      </c>
      <c r="L29" s="15" t="inlineStr">
        <is>
          <t>201; amountCents trong response vẫn = 1900 (lấy từ course.priceUsd ở server), không có 400 vì field thừa.</t>
        </is>
      </c>
      <c r="M29" s="15" t="inlineStr"/>
      <c r="N29" s="18" t="inlineStr">
        <is>
          <t>Chưa test</t>
        </is>
      </c>
      <c r="O29" s="15" t="inlineStr"/>
      <c r="P29" s="15" t="inlineStr"/>
      <c r="Q29" s="18" t="inlineStr">
        <is>
          <t>Chưa test</t>
        </is>
      </c>
      <c r="R29" s="15" t="inlineStr"/>
    </row>
    <row r="30" ht="30" customHeight="1">
      <c r="A30" s="14" t="inlineStr">
        <is>
          <t>TC-PAY-029</t>
        </is>
      </c>
      <c r="B30" s="15" t="inlineStr">
        <is>
          <t>Thanh toán &amp; Gói thành viên</t>
        </is>
      </c>
      <c r="C30" s="15" t="inlineStr">
        <is>
          <t>Checkout</t>
        </is>
      </c>
      <c r="D30" s="15" t="inlineStr">
        <is>
          <t>Checkout với phương thức hợp lệ 'stripe'</t>
        </is>
      </c>
      <c r="E30" s="15" t="inlineStr">
        <is>
          <t>Chức năng</t>
        </is>
      </c>
      <c r="F30" s="20" t="inlineStr">
        <is>
          <t>Trung bình</t>
        </is>
      </c>
      <c r="G30" s="17" t="inlineStr">
        <is>
          <t>Đã hoàn thiện</t>
        </is>
      </c>
      <c r="H30" s="17" t="inlineStr">
        <is>
          <t>Có</t>
        </is>
      </c>
      <c r="I30"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0" s="15" t="inlineStr">
        <is>
          <t>1. POST /api/courses/paid-demo/checkout body {"method":"stripe"}</t>
        </is>
      </c>
      <c r="K30" s="15" t="inlineStr">
        <is>
          <t>method=stripe</t>
        </is>
      </c>
      <c r="L30" s="15" t="inlineStr">
        <is>
          <t>201, PaymentIntent.method=stripe, status=pending, amountCents=1900.</t>
        </is>
      </c>
      <c r="M30" s="15" t="inlineStr"/>
      <c r="N30" s="18" t="inlineStr">
        <is>
          <t>Chưa test</t>
        </is>
      </c>
      <c r="O30" s="15" t="inlineStr"/>
      <c r="P30" s="15" t="inlineStr"/>
      <c r="Q30" s="18" t="inlineStr">
        <is>
          <t>Chưa test</t>
        </is>
      </c>
      <c r="R30" s="15" t="inlineStr"/>
    </row>
    <row r="31" ht="30" customHeight="1">
      <c r="A31" s="14" t="inlineStr">
        <is>
          <t>TC-PAY-030</t>
        </is>
      </c>
      <c r="B31" s="15" t="inlineStr">
        <is>
          <t>Thanh toán &amp; Gói thành viên</t>
        </is>
      </c>
      <c r="C31" s="15" t="inlineStr">
        <is>
          <t>Checkout</t>
        </is>
      </c>
      <c r="D31" s="15" t="inlineStr">
        <is>
          <t>Checkout với phương thức hợp lệ 'vnpay'</t>
        </is>
      </c>
      <c r="E31" s="15" t="inlineStr">
        <is>
          <t>Chức năng</t>
        </is>
      </c>
      <c r="F31" s="20" t="inlineStr">
        <is>
          <t>Trung bình</t>
        </is>
      </c>
      <c r="G31" s="17" t="inlineStr">
        <is>
          <t>Đã hoàn thiện</t>
        </is>
      </c>
      <c r="H31" s="17" t="inlineStr">
        <is>
          <t>Có</t>
        </is>
      </c>
      <c r="I31"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1" s="15" t="inlineStr">
        <is>
          <t>1. POST /api/courses/paid-demo/checkout body {"method":"vnpay"}</t>
        </is>
      </c>
      <c r="K31" s="15" t="inlineStr">
        <is>
          <t>method=vnpay</t>
        </is>
      </c>
      <c r="L31" s="15" t="inlineStr">
        <is>
          <t>201, PaymentIntent.method=vnpay, status=pending, amountCents=1900.</t>
        </is>
      </c>
      <c r="M31" s="15" t="inlineStr"/>
      <c r="N31" s="18" t="inlineStr">
        <is>
          <t>Chưa test</t>
        </is>
      </c>
      <c r="O31" s="15" t="inlineStr"/>
      <c r="P31" s="15" t="inlineStr"/>
      <c r="Q31" s="18" t="inlineStr">
        <is>
          <t>Chưa test</t>
        </is>
      </c>
      <c r="R31" s="15" t="inlineStr"/>
    </row>
    <row r="32" ht="30" customHeight="1">
      <c r="A32" s="14" t="inlineStr">
        <is>
          <t>TC-PAY-031</t>
        </is>
      </c>
      <c r="B32" s="15" t="inlineStr">
        <is>
          <t>Thanh toán &amp; Gói thành viên</t>
        </is>
      </c>
      <c r="C32" s="15" t="inlineStr">
        <is>
          <t>Checkout</t>
        </is>
      </c>
      <c r="D32" s="15" t="inlineStr">
        <is>
          <t>Checkout với phương thức hợp lệ 'momo'</t>
        </is>
      </c>
      <c r="E32" s="15" t="inlineStr">
        <is>
          <t>Chức năng</t>
        </is>
      </c>
      <c r="F32" s="20" t="inlineStr">
        <is>
          <t>Trung bình</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2" s="15" t="inlineStr">
        <is>
          <t>1. POST /api/courses/paid-demo/checkout body {"method":"momo"}</t>
        </is>
      </c>
      <c r="K32" s="15" t="inlineStr">
        <is>
          <t>method=momo</t>
        </is>
      </c>
      <c r="L32" s="15" t="inlineStr">
        <is>
          <t>201, PaymentIntent.method=momo, status=pending, amountCents=1900.</t>
        </is>
      </c>
      <c r="M32" s="15" t="inlineStr"/>
      <c r="N32" s="18" t="inlineStr">
        <is>
          <t>Chưa test</t>
        </is>
      </c>
      <c r="O32" s="15" t="inlineStr"/>
      <c r="P32" s="15" t="inlineStr"/>
      <c r="Q32" s="18" t="inlineStr">
        <is>
          <t>Chưa test</t>
        </is>
      </c>
      <c r="R32" s="15" t="inlineStr"/>
    </row>
    <row r="33" ht="30" customHeight="1">
      <c r="A33" s="14" t="inlineStr">
        <is>
          <t>TC-PAY-032</t>
        </is>
      </c>
      <c r="B33" s="15" t="inlineStr">
        <is>
          <t>Thanh toán &amp; Gói thành viên</t>
        </is>
      </c>
      <c r="C33" s="15" t="inlineStr">
        <is>
          <t>Checkout</t>
        </is>
      </c>
      <c r="D33" s="15" t="inlineStr">
        <is>
          <t>Checkout body sai: phương thức ngoài danh sách</t>
        </is>
      </c>
      <c r="E33" s="15" t="inlineStr">
        <is>
          <t>Chức năng</t>
        </is>
      </c>
      <c r="F33" s="20" t="inlineStr">
        <is>
          <t>Trung bình</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3" s="15" t="inlineStr">
        <is>
          <t>1. POST /api/courses/paid-demo/checkout body {"method":"paypal"}</t>
        </is>
      </c>
      <c r="K33" s="15" t="inlineStr">
        <is>
          <t>body={"method":"paypal"}</t>
        </is>
      </c>
      <c r="L33" s="15" t="inlineStr">
        <is>
          <t>400, error.code=VALIDATION_ERROR, message 'Tham số không hợp lệ' (details chỉ ra field method). Không tạo giao dịch nào (GET /api/me/payments không có dòng mới).</t>
        </is>
      </c>
      <c r="M33" s="15" t="inlineStr"/>
      <c r="N33" s="18" t="inlineStr">
        <is>
          <t>Chưa test</t>
        </is>
      </c>
      <c r="O33" s="15" t="inlineStr"/>
      <c r="P33" s="15" t="inlineStr"/>
      <c r="Q33" s="18" t="inlineStr">
        <is>
          <t>Chưa test</t>
        </is>
      </c>
      <c r="R33" s="15" t="inlineStr"/>
    </row>
    <row r="34" ht="30" customHeight="1">
      <c r="A34" s="14" t="inlineStr">
        <is>
          <t>TC-PAY-033</t>
        </is>
      </c>
      <c r="B34" s="15" t="inlineStr">
        <is>
          <t>Thanh toán &amp; Gói thành viên</t>
        </is>
      </c>
      <c r="C34" s="15" t="inlineStr">
        <is>
          <t>Checkout</t>
        </is>
      </c>
      <c r="D34" s="15" t="inlineStr">
        <is>
          <t>Checkout body sai: chuỗi rỗng</t>
        </is>
      </c>
      <c r="E34" s="15" t="inlineStr">
        <is>
          <t>Chức năng</t>
        </is>
      </c>
      <c r="F34" s="20" t="inlineStr">
        <is>
          <t>Trung bình</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4" s="15" t="inlineStr">
        <is>
          <t>1. POST /api/courses/paid-demo/checkout body {"method":""}</t>
        </is>
      </c>
      <c r="K34" s="15" t="inlineStr">
        <is>
          <t>body={"method":""}</t>
        </is>
      </c>
      <c r="L34" s="15" t="inlineStr">
        <is>
          <t>400, error.code=VALIDATION_ERROR, message 'Tham số không hợp lệ' (details chỉ ra field method). Không tạo giao dịch nào (GET /api/me/payments không có dòng mới).</t>
        </is>
      </c>
      <c r="M34" s="15" t="inlineStr"/>
      <c r="N34" s="18" t="inlineStr">
        <is>
          <t>Chưa test</t>
        </is>
      </c>
      <c r="O34" s="15" t="inlineStr"/>
      <c r="P34" s="15" t="inlineStr"/>
      <c r="Q34" s="18" t="inlineStr">
        <is>
          <t>Chưa test</t>
        </is>
      </c>
      <c r="R34" s="15" t="inlineStr"/>
    </row>
    <row r="35" ht="30" customHeight="1">
      <c r="A35" s="14" t="inlineStr">
        <is>
          <t>TC-PAY-034</t>
        </is>
      </c>
      <c r="B35" s="15" t="inlineStr">
        <is>
          <t>Thanh toán &amp; Gói thành viên</t>
        </is>
      </c>
      <c r="C35" s="15" t="inlineStr">
        <is>
          <t>Checkout</t>
        </is>
      </c>
      <c r="D35" s="15" t="inlineStr">
        <is>
          <t>Checkout body sai: thiếu field method</t>
        </is>
      </c>
      <c r="E35" s="15" t="inlineStr">
        <is>
          <t>Chức năng</t>
        </is>
      </c>
      <c r="F35" s="20" t="inlineStr">
        <is>
          <t>Trung bình</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5" s="15" t="inlineStr">
        <is>
          <t>1. POST /api/courses/paid-demo/checkout body {}</t>
        </is>
      </c>
      <c r="K35" s="15" t="inlineStr">
        <is>
          <t>body={}</t>
        </is>
      </c>
      <c r="L35" s="15" t="inlineStr">
        <is>
          <t>400, error.code=VALIDATION_ERROR, message 'Tham số không hợp lệ' (details chỉ ra field method). Không tạo giao dịch nào (GET /api/me/payments không có dòng mới).</t>
        </is>
      </c>
      <c r="M35" s="15" t="inlineStr"/>
      <c r="N35" s="18" t="inlineStr">
        <is>
          <t>Chưa test</t>
        </is>
      </c>
      <c r="O35" s="15" t="inlineStr"/>
      <c r="P35" s="15" t="inlineStr"/>
      <c r="Q35" s="18" t="inlineStr">
        <is>
          <t>Chưa test</t>
        </is>
      </c>
      <c r="R35" s="15" t="inlineStr"/>
    </row>
    <row r="36" ht="30" customHeight="1">
      <c r="A36" s="14" t="inlineStr">
        <is>
          <t>TC-PAY-035</t>
        </is>
      </c>
      <c r="B36" s="15" t="inlineStr">
        <is>
          <t>Thanh toán &amp; Gói thành viên</t>
        </is>
      </c>
      <c r="C36" s="15" t="inlineStr">
        <is>
          <t>Checkout</t>
        </is>
      </c>
      <c r="D36" s="15" t="inlineStr">
        <is>
          <t>Checkout khóa miễn phí bị từ chối 400</t>
        </is>
      </c>
      <c r="E36" s="15" t="inlineStr">
        <is>
          <t>Chức năng</t>
        </is>
      </c>
      <c r="F36" s="16" t="inlineStr">
        <is>
          <t>Cao</t>
        </is>
      </c>
      <c r="G36" s="17" t="inlineStr">
        <is>
          <t>Đã hoàn thiện</t>
        </is>
      </c>
      <c r="H36" s="17" t="inlineStr">
        <is>
          <t>Có</t>
        </is>
      </c>
      <c r="I36" s="15" t="inlineStr">
        <is>
          <t>Đăng nhập newbie. Cộng đồng photo là miễn phí.</t>
        </is>
      </c>
      <c r="J36" s="15" t="inlineStr">
        <is>
          <t>1. POST /api/courses/photo/checkout body {"method":"stripe"}</t>
        </is>
      </c>
      <c r="K36" s="15" t="inlineStr">
        <is>
          <t>courseId=photo</t>
        </is>
      </c>
      <c r="L36" s="15" t="inlineStr">
        <is>
          <t>400, error.code=BAD_REQUEST, message 'Khóa học này miễn phí, không cần thanh toán'. Kiểm tra miễn phí đi trước kiểm tra đã-tham-gia.</t>
        </is>
      </c>
      <c r="M36" s="15" t="inlineStr"/>
      <c r="N36" s="18" t="inlineStr">
        <is>
          <t>Chưa test</t>
        </is>
      </c>
      <c r="O36" s="15" t="inlineStr"/>
      <c r="P36" s="15" t="inlineStr"/>
      <c r="Q36" s="18" t="inlineStr">
        <is>
          <t>Chưa test</t>
        </is>
      </c>
      <c r="R36" s="15" t="inlineStr"/>
    </row>
    <row r="37" ht="30" customHeight="1">
      <c r="A37" s="14" t="inlineStr">
        <is>
          <t>TC-PAY-036</t>
        </is>
      </c>
      <c r="B37" s="15" t="inlineStr">
        <is>
          <t>Thanh toán &amp; Gói thành viên</t>
        </is>
      </c>
      <c r="C37" s="15" t="inlineStr">
        <is>
          <t>Checkout</t>
        </is>
      </c>
      <c r="D37" s="15" t="inlineStr">
        <is>
          <t>Checkout khóa học không tồn tại trả 404</t>
        </is>
      </c>
      <c r="E37" s="15" t="inlineStr">
        <is>
          <t>Chức năng</t>
        </is>
      </c>
      <c r="F37" s="20" t="inlineStr">
        <is>
          <t>Trung bình</t>
        </is>
      </c>
      <c r="G37" s="17" t="inlineStr">
        <is>
          <t>Đã hoàn thiện</t>
        </is>
      </c>
      <c r="H37" s="17" t="inlineStr">
        <is>
          <t>Có</t>
        </is>
      </c>
      <c r="I37" s="15" t="inlineStr">
        <is>
          <t>Đăng nhập newbie.</t>
        </is>
      </c>
      <c r="J37" s="15" t="inlineStr">
        <is>
          <t>1. POST /api/courses/khong-ton-tai-xyz/checkout body {"method":"stripe"}</t>
        </is>
      </c>
      <c r="K37" s="15" t="inlineStr">
        <is>
          <t>courseId=khong-ton-tai-xyz</t>
        </is>
      </c>
      <c r="L37" s="15" t="inlineStr">
        <is>
          <t>404, error.code=NOT_FOUND.</t>
        </is>
      </c>
      <c r="M37" s="15" t="inlineStr"/>
      <c r="N37" s="18" t="inlineStr">
        <is>
          <t>Chưa test</t>
        </is>
      </c>
      <c r="O37" s="15" t="inlineStr"/>
      <c r="P37" s="15" t="inlineStr"/>
      <c r="Q37" s="18" t="inlineStr">
        <is>
          <t>Chưa test</t>
        </is>
      </c>
      <c r="R37" s="15" t="inlineStr"/>
    </row>
    <row r="38" ht="30" customHeight="1">
      <c r="A38" s="14" t="inlineStr">
        <is>
          <t>TC-PAY-037</t>
        </is>
      </c>
      <c r="B38" s="15" t="inlineStr">
        <is>
          <t>Thanh toán &amp; Gói thành viên</t>
        </is>
      </c>
      <c r="C38" s="15" t="inlineStr">
        <is>
          <t>Checkout</t>
        </is>
      </c>
      <c r="D38" s="15" t="inlineStr">
        <is>
          <t>Checkout không có token trả 401</t>
        </is>
      </c>
      <c r="E38" s="15" t="inlineStr">
        <is>
          <t>Bảo mật</t>
        </is>
      </c>
      <c r="F38" s="16" t="inlineStr">
        <is>
          <t>Cao</t>
        </is>
      </c>
      <c r="G38" s="17" t="inlineStr">
        <is>
          <t>Đã hoàn thiện</t>
        </is>
      </c>
      <c r="H38" s="17" t="inlineStr">
        <is>
          <t>Có</t>
        </is>
      </c>
      <c r="I38" s="15" t="inlineStr">
        <is>
          <t>Không đăng nhập (guest).</t>
        </is>
      </c>
      <c r="J38" s="15" t="inlineStr">
        <is>
          <t>1. POST /api/courses/paid-demo/checkout body {"method":"stripe"} không gửi Authorization</t>
        </is>
      </c>
      <c r="K38" s="15" t="inlineStr">
        <is>
          <t>-</t>
        </is>
      </c>
      <c r="L38" s="15" t="inlineStr">
        <is>
          <t>401, error.code=UNAUTHORIZED, message 'Vui lòng đăng nhập để tiếp tục'.</t>
        </is>
      </c>
      <c r="M38" s="15" t="inlineStr"/>
      <c r="N38" s="18" t="inlineStr">
        <is>
          <t>Chưa test</t>
        </is>
      </c>
      <c r="O38" s="15" t="inlineStr"/>
      <c r="P38" s="15" t="inlineStr"/>
      <c r="Q38" s="18" t="inlineStr">
        <is>
          <t>Chưa test</t>
        </is>
      </c>
      <c r="R38" s="15" t="inlineStr"/>
    </row>
    <row r="39" ht="30" customHeight="1">
      <c r="A39" s="14" t="inlineStr">
        <is>
          <t>TC-PAY-038</t>
        </is>
      </c>
      <c r="B39" s="15" t="inlineStr">
        <is>
          <t>Thanh toán &amp; Gói thành viên</t>
        </is>
      </c>
      <c r="C39" s="15" t="inlineStr">
        <is>
          <t>Checkout</t>
        </is>
      </c>
      <c r="D39" s="15" t="inlineStr">
        <is>
          <t>Đã là thành viên trả phí (member1) checkout lại bị 409</t>
        </is>
      </c>
      <c r="E39" s="15" t="inlineStr">
        <is>
          <t>Chức năng</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39" s="15" t="inlineStr">
        <is>
          <t>1. Đăng nhập member1
2. POST /api/courses/paid-demo/checkout body {"method":"stripe"}</t>
        </is>
      </c>
      <c r="K39" s="15" t="inlineStr">
        <is>
          <t>-</t>
        </is>
      </c>
      <c r="L39" s="15" t="inlineStr">
        <is>
          <t>409, error.code=CONFLICT, message 'Bạn đã tham gia khóa học này rồi'. Không tạo giao dịch pending mới.</t>
        </is>
      </c>
      <c r="M39" s="15" t="inlineStr"/>
      <c r="N39" s="18" t="inlineStr">
        <is>
          <t>Chưa test</t>
        </is>
      </c>
      <c r="O39" s="15" t="inlineStr"/>
      <c r="P39" s="15" t="inlineStr"/>
      <c r="Q39" s="18" t="inlineStr">
        <is>
          <t>Chưa test</t>
        </is>
      </c>
      <c r="R39" s="15" t="inlineStr"/>
    </row>
    <row r="40" ht="30" customHeight="1">
      <c r="A40" s="14" t="inlineStr">
        <is>
          <t>TC-PAY-039</t>
        </is>
      </c>
      <c r="B40" s="15" t="inlineStr">
        <is>
          <t>Thanh toán &amp; Gói thành viên</t>
        </is>
      </c>
      <c r="C40" s="15" t="inlineStr">
        <is>
          <t>Checkout</t>
        </is>
      </c>
      <c r="D40" s="15" t="inlineStr">
        <is>
          <t>Owner checkout khóa của chính mình bị 409</t>
        </is>
      </c>
      <c r="E40" s="15" t="inlineStr">
        <is>
          <t>Chức năng</t>
        </is>
      </c>
      <c r="F40" s="17" t="inlineStr">
        <is>
          <t>Thấp</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40" s="15" t="inlineStr">
        <is>
          <t>1. Đăng nhập owner
2. POST /api/courses/paid-demo/checkout body {"method":"stripe"}</t>
        </is>
      </c>
      <c r="K40" s="15" t="inlineStr">
        <is>
          <t>-</t>
        </is>
      </c>
      <c r="L40" s="15" t="inlineStr">
        <is>
          <t>409 'Bạn đã tham gia khóa học này rồi'.</t>
        </is>
      </c>
      <c r="M40" s="15" t="inlineStr"/>
      <c r="N40" s="18" t="inlineStr">
        <is>
          <t>Chưa test</t>
        </is>
      </c>
      <c r="O40" s="15" t="inlineStr"/>
      <c r="P40" s="15" t="inlineStr"/>
      <c r="Q40" s="18" t="inlineStr">
        <is>
          <t>Chưa test</t>
        </is>
      </c>
      <c r="R40" s="15" t="inlineStr"/>
    </row>
    <row r="41" ht="30" customHeight="1">
      <c r="A41" s="14" t="inlineStr">
        <is>
          <t>TC-PAY-040</t>
        </is>
      </c>
      <c r="B41" s="15" t="inlineStr">
        <is>
          <t>Thanh toán &amp; Gói thành viên</t>
        </is>
      </c>
      <c r="C41" s="15" t="inlineStr">
        <is>
          <t>Checkout</t>
        </is>
      </c>
      <c r="D41" s="15" t="inlineStr">
        <is>
          <t>Thành viên đang dùng thử (member3) vẫn checkout được để nâng lên gói trả phí</t>
        </is>
      </c>
      <c r="E41" s="15" t="inlineStr">
        <is>
          <t>Chức năng</t>
        </is>
      </c>
      <c r="F41" s="16" t="inlineStr">
        <is>
          <t>Cao</t>
        </is>
      </c>
      <c r="G41" s="17" t="inlineStr">
        <is>
          <t>Đã hoàn thiện</t>
        </is>
      </c>
      <c r="H41" s="17" t="inlineStr">
        <is>
          <t>Có</t>
        </is>
      </c>
      <c r="I41"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41" s="15" t="inlineStr">
        <is>
          <t>1. Đăng nhập member3
2. POST /api/courses/paid-demo/checkout body {"method":"stripe"}</t>
        </is>
      </c>
      <c r="K41" s="15" t="inlineStr">
        <is>
          <t>-</t>
        </is>
      </c>
      <c r="L41" s="15" t="inlineStr">
        <is>
          <t>201, giao dịch pending amountCents=1900 (khác member1: KHÔNG bị 409 vì gói đang trialing).</t>
        </is>
      </c>
      <c r="M41" s="15" t="inlineStr"/>
      <c r="N41" s="18" t="inlineStr">
        <is>
          <t>Chưa test</t>
        </is>
      </c>
      <c r="O41" s="15" t="inlineStr"/>
      <c r="P41" s="15" t="inlineStr"/>
      <c r="Q41" s="18" t="inlineStr">
        <is>
          <t>Chưa test</t>
        </is>
      </c>
      <c r="R41" s="15" t="inlineStr"/>
    </row>
    <row r="42" ht="30" customHeight="1">
      <c r="A42" s="14" t="inlineStr">
        <is>
          <t>TC-PAY-041</t>
        </is>
      </c>
      <c r="B42" s="15" t="inlineStr">
        <is>
          <t>Thanh toán &amp; Gói thành viên</t>
        </is>
      </c>
      <c r="C42" s="15" t="inlineStr">
        <is>
          <t>Checkout</t>
        </is>
      </c>
      <c r="D42" s="15" t="inlineStr">
        <is>
          <t>Giao diện trang /courses/paid-demo/checkout hiển thị giá và 3 phương thức</t>
        </is>
      </c>
      <c r="E42" s="15" t="inlineStr">
        <is>
          <t>Giao diện</t>
        </is>
      </c>
      <c r="F42" s="20" t="inlineStr">
        <is>
          <t>Trung bình</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2" s="15" t="inlineStr">
        <is>
          <t>1. Mở /courses/paid-demo/checkout
2. Quan sát tiêu đề, danh sách phương thức, nút thanh toán</t>
        </is>
      </c>
      <c r="K42" s="15" t="inlineStr">
        <is>
          <t>-</t>
        </is>
      </c>
      <c r="L42" s="15" t="inlineStr">
        <is>
          <t>Tiêu đề 'Xác nhận thanh toán'; 3 lựa chọn VNPay (mặc định chọn), MoMo, Stripe; nút 'Thanh toán $19/tháng'; có khung 'Bắt đầu dùng thử' 7 ngày.</t>
        </is>
      </c>
      <c r="M42" s="15" t="inlineStr"/>
      <c r="N42" s="18" t="inlineStr">
        <is>
          <t>Chưa test</t>
        </is>
      </c>
      <c r="O42" s="15" t="inlineStr"/>
      <c r="P42" s="15" t="inlineStr"/>
      <c r="Q42" s="18" t="inlineStr">
        <is>
          <t>Chưa test</t>
        </is>
      </c>
      <c r="R42" s="15" t="inlineStr"/>
    </row>
    <row r="43" ht="30" customHeight="1">
      <c r="A43" s="14" t="inlineStr">
        <is>
          <t>TC-PAY-042</t>
        </is>
      </c>
      <c r="B43" s="15" t="inlineStr">
        <is>
          <t>Thanh toán &amp; Gói thành viên</t>
        </is>
      </c>
      <c r="C43" s="15" t="inlineStr">
        <is>
          <t>Checkout</t>
        </is>
      </c>
      <c r="D43" s="15" t="inlineStr">
        <is>
          <t>Bấm Thanh toán trên UI: gửi Idempotency-Key, chuyển vào cộng đồng</t>
        </is>
      </c>
      <c r="E43" s="15" t="inlineStr">
        <is>
          <t>Chức năng</t>
        </is>
      </c>
      <c r="F43" s="16" t="inlineStr">
        <is>
          <t>Cao</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43" s="15" t="inlineStr">
        <is>
          <t>1. Mở /courses/paid-demo/checkout, chọn Stripe
2. Bấm 'Thanh toán $19/tháng' (xem tab Network)</t>
        </is>
      </c>
      <c r="K43" s="15" t="inlineStr">
        <is>
          <t>method=stripe</t>
        </is>
      </c>
      <c r="L43" s="15" t="inlineStr">
        <is>
          <t>Nút chuyển 'Đang xử lý…' và bị vô hiệu hóa; POST checkout có header Idempotency-Key (uuid) -&gt; 201, POST /payments/:id/confirm -&gt; 200 succeeded; trình duyệt chuyển tới /courses/paid-demo/community; newbie có thông báo 'Thanh toán thành công' (body 'Bạn đã thanh toán 19.00 USD. Hóa đơn INV-…').</t>
        </is>
      </c>
      <c r="M43" s="15" t="inlineStr"/>
      <c r="N43" s="18" t="inlineStr">
        <is>
          <t>Chưa test</t>
        </is>
      </c>
      <c r="O43" s="15" t="inlineStr"/>
      <c r="P43" s="15" t="inlineStr"/>
      <c r="Q43" s="18" t="inlineStr">
        <is>
          <t>Chưa test</t>
        </is>
      </c>
      <c r="R43" s="15" t="inlineStr"/>
    </row>
    <row r="44" ht="45" customHeight="1">
      <c r="A44" s="14" t="inlineStr">
        <is>
          <t>TC-PAY-043</t>
        </is>
      </c>
      <c r="B44" s="15" t="inlineStr">
        <is>
          <t>Thanh toán &amp; Gói thành viên</t>
        </is>
      </c>
      <c r="C44" s="15" t="inlineStr">
        <is>
          <t>Confirm</t>
        </is>
      </c>
      <c r="D44" s="15" t="inlineStr">
        <is>
          <t>Confirm thanh toán thành công: cấp quyền, hóa đơn, gói active 30 ngày</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newbie đã có 1 giao dịch pending từ checkout paid-demo. Case làm thay đổi dữ liệu seed - chạy lại npm run db:seed (hoặc dùng tài khoản/gói mới) trước khi lặp lại.</t>
        </is>
      </c>
      <c r="J44" s="15" t="inlineStr">
        <is>
          <t>1. POST /api/payments/&lt;paymentId&gt;/confirm bằng token newbie
2. GET /api/courses/paid-demo/subscription
3. GET /api/courses/paid-demo/members hoặc mở /courses/paid-demo/community</t>
        </is>
      </c>
      <c r="K44" s="15" t="inlineStr">
        <is>
          <t>paymentId từ bước checkout</t>
        </is>
      </c>
      <c r="L44" s="15" t="inlineStr">
        <is>
          <t>200: status=succeeded, confirmedAt có giá trị, invoiceNumber dạng INV-2026-nnnnnn (kế tiếp số hóa đơn lớn nhất đang có), gatewayChargeId bắt đầu 'mock_ch_', periodEnd = periodStart + 30 ngày. Subscription status=active, priceCents=1900, cancelAtPeriodEnd=false; enrolled=true; newbie vào được cộng đồng.</t>
        </is>
      </c>
      <c r="M44" s="15" t="inlineStr"/>
      <c r="N44" s="18" t="inlineStr">
        <is>
          <t>Chưa test</t>
        </is>
      </c>
      <c r="O44" s="15" t="inlineStr"/>
      <c r="P44" s="15" t="inlineStr"/>
      <c r="Q44" s="18" t="inlineStr">
        <is>
          <t>Chưa test</t>
        </is>
      </c>
      <c r="R44" s="15" t="inlineStr"/>
    </row>
    <row r="45" ht="30" customHeight="1">
      <c r="A45" s="14" t="inlineStr">
        <is>
          <t>TC-PAY-044</t>
        </is>
      </c>
      <c r="B45" s="15" t="inlineStr">
        <is>
          <t>Thanh toán &amp; Gói thành viên</t>
        </is>
      </c>
      <c r="C45" s="15" t="inlineStr">
        <is>
          <t>Confirm</t>
        </is>
      </c>
      <c r="D45" s="15" t="inlineStr">
        <is>
          <t>Confirm lần 2 cùng giao dịch: idempotent, không thu tiền/hóa đơn trùng</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newbie đã confirm thành công 1 giao dịch (xem case trước).</t>
        </is>
      </c>
      <c r="J45" s="15" t="inlineStr">
        <is>
          <t>1. Ghi lại invoiceNumber và số dòng GET /api/me/payments
2. POST /api/payments/&lt;cùng paymentId&gt;/confirm lần 2</t>
        </is>
      </c>
      <c r="K45" s="15" t="inlineStr">
        <is>
          <t>-</t>
        </is>
      </c>
      <c r="L45" s="15" t="inlineStr">
        <is>
          <t>200, trả đúng bản ghi đã succeeded (cùng invoiceNumber, cùng gatewayChargeId); GET /api/me/payments không thêm dòng; số hóa đơn kế tiếp của hệ thống không nhảy.</t>
        </is>
      </c>
      <c r="M45" s="15" t="inlineStr"/>
      <c r="N45" s="18" t="inlineStr">
        <is>
          <t>Chưa test</t>
        </is>
      </c>
      <c r="O45" s="15" t="inlineStr"/>
      <c r="P45" s="15" t="inlineStr"/>
      <c r="Q45" s="18" t="inlineStr">
        <is>
          <t>Chưa test</t>
        </is>
      </c>
      <c r="R45" s="15" t="inlineStr"/>
    </row>
    <row r="46" ht="30" customHeight="1">
      <c r="A46" s="14" t="inlineStr">
        <is>
          <t>TC-PAY-045</t>
        </is>
      </c>
      <c r="B46" s="15" t="inlineStr">
        <is>
          <t>Thanh toán &amp; Gói thành viên</t>
        </is>
      </c>
      <c r="C46" s="15" t="inlineStr">
        <is>
          <t>Confirm</t>
        </is>
      </c>
      <c r="D46" s="15" t="inlineStr">
        <is>
          <t>Người khác confirm giao dịch của mình bị 403 (IDOR)</t>
        </is>
      </c>
      <c r="E46" s="15" t="inlineStr">
        <is>
          <t>Bảo mật</t>
        </is>
      </c>
      <c r="F46" s="16" t="inlineStr">
        <is>
          <t>Cao</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46" s="15" t="inlineStr">
        <is>
          <t>1. Đăng nhập member2
2. POST /api/payments/&lt;P&gt;/confirm bằng token member2</t>
        </is>
      </c>
      <c r="K46" s="15" t="inlineStr">
        <is>
          <t>paymentId của newbie</t>
        </is>
      </c>
      <c r="L46" s="15" t="inlineStr">
        <is>
          <t>403, error.code=FORBIDDEN, message 'Bạn không có quyền thực hiện thao tác này'. Giao dịch P vẫn pending.</t>
        </is>
      </c>
      <c r="M46" s="15" t="inlineStr"/>
      <c r="N46" s="18" t="inlineStr">
        <is>
          <t>Chưa test</t>
        </is>
      </c>
      <c r="O46" s="15" t="inlineStr"/>
      <c r="P46" s="15" t="inlineStr"/>
      <c r="Q46" s="18" t="inlineStr">
        <is>
          <t>Chưa test</t>
        </is>
      </c>
      <c r="R46" s="15" t="inlineStr"/>
    </row>
    <row r="47" ht="30" customHeight="1">
      <c r="A47" s="14" t="inlineStr">
        <is>
          <t>TC-PAY-046</t>
        </is>
      </c>
      <c r="B47" s="15" t="inlineStr">
        <is>
          <t>Thanh toán &amp; Gói thành viên</t>
        </is>
      </c>
      <c r="C47" s="15" t="inlineStr">
        <is>
          <t>Confirm</t>
        </is>
      </c>
      <c r="D47" s="15" t="inlineStr">
        <is>
          <t>Confirm giao dịch không tồn tại trả 404</t>
        </is>
      </c>
      <c r="E47" s="15" t="inlineStr">
        <is>
          <t>Chức năng</t>
        </is>
      </c>
      <c r="F47" s="20" t="inlineStr">
        <is>
          <t>Trung bình</t>
        </is>
      </c>
      <c r="G47" s="17" t="inlineStr">
        <is>
          <t>Đã hoàn thiện</t>
        </is>
      </c>
      <c r="H47" s="17" t="inlineStr">
        <is>
          <t>Có</t>
        </is>
      </c>
      <c r="I47" s="15" t="inlineStr">
        <is>
          <t>Đăng nhập newbie.</t>
        </is>
      </c>
      <c r="J47" s="15" t="inlineStr">
        <is>
          <t>1. POST /api/payments/khong-co-giao-dich/confirm</t>
        </is>
      </c>
      <c r="K47" s="15" t="inlineStr">
        <is>
          <t>paymentId=khong-co-giao-dich</t>
        </is>
      </c>
      <c r="L47" s="15" t="inlineStr">
        <is>
          <t>404, error.code=NOT_FOUND, message 'Không tìm thấy giao dịch'.</t>
        </is>
      </c>
      <c r="M47" s="15" t="inlineStr"/>
      <c r="N47" s="18" t="inlineStr">
        <is>
          <t>Chưa test</t>
        </is>
      </c>
      <c r="O47" s="15" t="inlineStr"/>
      <c r="P47" s="15" t="inlineStr"/>
      <c r="Q47" s="18" t="inlineStr">
        <is>
          <t>Chưa test</t>
        </is>
      </c>
      <c r="R47" s="15" t="inlineStr"/>
    </row>
    <row r="48" ht="30" customHeight="1">
      <c r="A48" s="14" t="inlineStr">
        <is>
          <t>TC-PAY-047</t>
        </is>
      </c>
      <c r="B48" s="15" t="inlineStr">
        <is>
          <t>Thanh toán &amp; Gói thành viên</t>
        </is>
      </c>
      <c r="C48" s="15" t="inlineStr">
        <is>
          <t>Confirm</t>
        </is>
      </c>
      <c r="D48" s="15" t="inlineStr">
        <is>
          <t>Confirm không token trả 401</t>
        </is>
      </c>
      <c r="E48" s="15" t="inlineStr">
        <is>
          <t>Bảo mật</t>
        </is>
      </c>
      <c r="F48" s="20" t="inlineStr">
        <is>
          <t>Trung bình</t>
        </is>
      </c>
      <c r="G48" s="17" t="inlineStr">
        <is>
          <t>Đã hoàn thiện</t>
        </is>
      </c>
      <c r="H48" s="17" t="inlineStr">
        <is>
          <t>Có</t>
        </is>
      </c>
      <c r="I48" s="15" t="inlineStr">
        <is>
          <t>Guest.</t>
        </is>
      </c>
      <c r="J48" s="15" t="inlineStr">
        <is>
          <t>1. POST /api/payments/seed-pay-member1-a/confirm không gửi token</t>
        </is>
      </c>
      <c r="K48" s="15" t="inlineStr">
        <is>
          <t>-</t>
        </is>
      </c>
      <c r="L48" s="15" t="inlineStr">
        <is>
          <t>401 UNAUTHORIZED.</t>
        </is>
      </c>
      <c r="M48" s="15" t="inlineStr"/>
      <c r="N48" s="18" t="inlineStr">
        <is>
          <t>Chưa test</t>
        </is>
      </c>
      <c r="O48" s="15" t="inlineStr"/>
      <c r="P48" s="15" t="inlineStr"/>
      <c r="Q48" s="18" t="inlineStr">
        <is>
          <t>Chưa test</t>
        </is>
      </c>
      <c r="R48" s="15" t="inlineStr"/>
    </row>
    <row r="49" ht="30" customHeight="1">
      <c r="A49" s="14" t="inlineStr">
        <is>
          <t>TC-PAY-048</t>
        </is>
      </c>
      <c r="B49" s="15" t="inlineStr">
        <is>
          <t>Thanh toán &amp; Gói thành viên</t>
        </is>
      </c>
      <c r="C49" s="15" t="inlineStr">
        <is>
          <t>Confirm</t>
        </is>
      </c>
      <c r="D49" s="15" t="inlineStr">
        <is>
          <t>Confirm giao dịch đã succeeded của seed (member1) trả lại bản ghi, không đổi dữ liệu</t>
        </is>
      </c>
      <c r="E49" s="15" t="inlineStr">
        <is>
          <t>Chức năng</t>
        </is>
      </c>
      <c r="F49" s="20" t="inlineStr">
        <is>
          <t>Trung bình</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49" s="15" t="inlineStr">
        <is>
          <t>1. POST /api/payments/seed-pay-member1-a/confirm bằng token member1</t>
        </is>
      </c>
      <c r="K49" s="15" t="inlineStr">
        <is>
          <t>paymentId=seed-pay-member1-a</t>
        </is>
      </c>
      <c r="L49" s="15" t="inlineStr">
        <is>
          <t>200, trả nguyên bản ghi succeeded (invoiceNumber, gatewayChargeId='seed_ch_seed-pay-member1-a'), không tạo giao dịch mới.</t>
        </is>
      </c>
      <c r="M49" s="15" t="inlineStr"/>
      <c r="N49" s="18" t="inlineStr">
        <is>
          <t>Chưa test</t>
        </is>
      </c>
      <c r="O49" s="15" t="inlineStr"/>
      <c r="P49" s="15" t="inlineStr"/>
      <c r="Q49" s="18" t="inlineStr">
        <is>
          <t>Chưa test</t>
        </is>
      </c>
      <c r="R49" s="15" t="inlineStr"/>
    </row>
    <row r="50" ht="45" customHeight="1">
      <c r="A50" s="14" t="inlineStr">
        <is>
          <t>TC-PAY-049</t>
        </is>
      </c>
      <c r="B50" s="15" t="inlineStr">
        <is>
          <t>Thanh toán &amp; Gói thành viên</t>
        </is>
      </c>
      <c r="C50" s="15" t="inlineStr">
        <is>
          <t>Confirm</t>
        </is>
      </c>
      <c r="D50" s="15" t="inlineStr">
        <is>
          <t>Confirm giao dịch đã failed trả 409, phải tạo giao dịch mới</t>
        </is>
      </c>
      <c r="E50" s="15" t="inlineStr">
        <is>
          <t>Chức năng</t>
        </is>
      </c>
      <c r="F50" s="20" t="inlineStr">
        <is>
          <t>Trung bình</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Cần giao dịch failed: tạo bằng cách checkout (newbie) rồi gửi webhook payment.failed {paymentId}. Ký webhook: header x-sofin-signature = t=&lt;unix giây hiện tại&gt;,v1=&lt;hex HMAC-SHA256 của chuỗi "&lt;t&gt;.&lt;rawBody&gt;"&gt;, secret = PAYMENT_WEBHOOK_SECRET (mặc định dev: dev-webhook-secret-change-me), rawBody là đúng chuỗi JSON gửi đi (không khoảng trắng thừa).</t>
        </is>
      </c>
      <c r="J50" s="15" t="inlineStr">
        <is>
          <t>1. Checkout paid-demo bằng newbie lấy paymentId
2. Gửi webhook payment.failed {paymentId} hợp lệ
3. POST /api/payments/&lt;paymentId&gt;/confirm bằng newbie</t>
        </is>
      </c>
      <c r="K50" s="15" t="inlineStr">
        <is>
          <t>event {"id":"evt-fail-1","type":"payment.failed","data":{"paymentId":"&lt;id&gt;","reason":"card_declined"}}</t>
        </is>
      </c>
      <c r="L50" s="15" t="inlineStr">
        <is>
          <t>Webhook 200 {received:true}; confirm trả 409 CONFLICT 'Giao dịch đã thất bại, vui lòng tạo giao dịch mới'; newbie có thông báo 'Thanh toán thất bại'; không được cấp quyền.</t>
        </is>
      </c>
      <c r="M50" s="15" t="inlineStr"/>
      <c r="N50" s="18" t="inlineStr">
        <is>
          <t>Chưa test</t>
        </is>
      </c>
      <c r="O50" s="15" t="inlineStr"/>
      <c r="P50" s="15" t="inlineStr"/>
      <c r="Q50" s="18" t="inlineStr">
        <is>
          <t>Chưa test</t>
        </is>
      </c>
      <c r="R50" s="15" t="inlineStr"/>
    </row>
    <row r="51" ht="30" customHeight="1">
      <c r="A51" s="14" t="inlineStr">
        <is>
          <t>TC-PAY-050</t>
        </is>
      </c>
      <c r="B51" s="15" t="inlineStr">
        <is>
          <t>Thanh toán &amp; Gói thành viên</t>
        </is>
      </c>
      <c r="C51" s="15" t="inlineStr">
        <is>
          <t>Confirm</t>
        </is>
      </c>
      <c r="D51" s="15" t="inlineStr">
        <is>
          <t>Cổng từ chối thẻ khi confirm: 402 PAYMENT_FAILED, không cấp quyền</t>
        </is>
      </c>
      <c r="E51" s="15" t="inlineStr">
        <is>
          <t>Chức năng</t>
        </is>
      </c>
      <c r="F51" s="16" t="inlineStr">
        <is>
          <t>Cao</t>
        </is>
      </c>
      <c r="G51" s="17" t="inlineStr">
        <is>
          <t>Đã hoàn thiện</t>
        </is>
      </c>
      <c r="H51" s="16" t="inlineStr">
        <is>
          <t>Không</t>
        </is>
      </c>
      <c r="I51" s="15" t="inlineStr">
        <is>
          <t>Chỉ kiểm được bằng test tích hợp BE (payments.test.ts dùng mockGateway.failFor(userId)); MockGateway của dev luôn thành công nên không giả lập được qua UI.</t>
        </is>
      </c>
      <c r="J51" s="15" t="inlineStr">
        <is>
          <t>1. Trong test BE: mockGateway.failFor(&lt;userId&gt;)
2. Checkout rồi confirm</t>
        </is>
      </c>
      <c r="K51" s="15" t="inlineStr">
        <is>
          <t>-</t>
        </is>
      </c>
      <c r="L51" s="15" t="inlineStr">
        <is>
          <t>402, error.code=PAYMENT_FAILED, message 'Thanh toán không thành công, vui lòng thử lại hoặc dùng phương thức khác'; giao dịch chuyển failed; người dùng không được ghi danh; có thông báo payment_failed.</t>
        </is>
      </c>
      <c r="M51" s="15" t="inlineStr"/>
      <c r="N51" s="18" t="inlineStr">
        <is>
          <t>Chưa test</t>
        </is>
      </c>
      <c r="O51" s="15" t="inlineStr"/>
      <c r="P51" s="15" t="inlineStr"/>
      <c r="Q51" s="18" t="inlineStr">
        <is>
          <t>Chưa test</t>
        </is>
      </c>
      <c r="R51" s="15" t="inlineStr"/>
    </row>
    <row r="52" ht="30" customHeight="1">
      <c r="A52" s="14" t="inlineStr">
        <is>
          <t>TC-PAY-051</t>
        </is>
      </c>
      <c r="B52" s="15" t="inlineStr">
        <is>
          <t>Thanh toán &amp; Gói thành viên</t>
        </is>
      </c>
      <c r="C52" s="15" t="inlineStr">
        <is>
          <t>Confirm</t>
        </is>
      </c>
      <c r="D52" s="15" t="inlineStr">
        <is>
          <t>Sau khi bị cấm khỏi paid-demo, confirm bị 403 và không cấp quyền</t>
        </is>
      </c>
      <c r="E52" s="15" t="inlineStr">
        <is>
          <t>Bảo mật</t>
        </is>
      </c>
      <c r="F52" s="16" t="inlineStr">
        <is>
          <t>Cao</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ở paid-demo. Owner đã cấm newbie: POST /api/courses/paid-demo/members/&lt;newbieId&gt;/ban body {"reason":"test"}. Case làm thay đổi dữ liệu seed - chạy lại npm run db:seed (hoặc dùng tài khoản/gói mới) trước khi lặp lại.</t>
        </is>
      </c>
      <c r="J52" s="15" t="inlineStr">
        <is>
          <t>1. Đăng nhập newbie
2. POST /api/payments/&lt;P&gt;/confirm</t>
        </is>
      </c>
      <c r="K52" s="15" t="inlineStr">
        <is>
          <t>-</t>
        </is>
      </c>
      <c r="L52" s="15" t="inlineStr">
        <is>
          <t>403, message 'Bạn đã bị cấm khỏi cộng đồng này'; không có Subscription mới; newbie vẫn không vào được cộng đồng.</t>
        </is>
      </c>
      <c r="M52" s="15" t="inlineStr"/>
      <c r="N52" s="18" t="inlineStr">
        <is>
          <t>Chưa test</t>
        </is>
      </c>
      <c r="O52" s="15" t="inlineStr"/>
      <c r="P52" s="15" t="inlineStr"/>
      <c r="Q52" s="18" t="inlineStr">
        <is>
          <t>Chưa test</t>
        </is>
      </c>
      <c r="R52" s="15" t="inlineStr"/>
    </row>
    <row r="53" ht="45" customHeight="1">
      <c r="A53" s="14" t="inlineStr">
        <is>
          <t>TC-PAY-052</t>
        </is>
      </c>
      <c r="B53" s="15" t="inlineStr">
        <is>
          <t>Thanh toán &amp; Gói thành viên</t>
        </is>
      </c>
      <c r="C53" s="15" t="inlineStr">
        <is>
          <t>Idempotency</t>
        </is>
      </c>
      <c r="D53" s="15" t="inlineStr">
        <is>
          <t>Cùng Idempotency-Key checkout 2 lần trả cùng một giao dịch</t>
        </is>
      </c>
      <c r="E53" s="15" t="inlineStr">
        <is>
          <t>Chức năng</t>
        </is>
      </c>
      <c r="F53" s="16" t="inlineStr">
        <is>
          <t>Cao</t>
        </is>
      </c>
      <c r="G53" s="17" t="inlineStr">
        <is>
          <t>Đã hoàn thiện</t>
        </is>
      </c>
      <c r="H53" s="17" t="inlineStr">
        <is>
          <t>Có</t>
        </is>
      </c>
      <c r="I5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53" s="15" t="inlineStr">
        <is>
          <t>1. POST /api/courses/paid-demo/checkout header Idempotency-Key: qa-key-001 body {"method":"stripe"}
2. Lặp lại đúng request lần 2
3. GET /api/me/payments</t>
        </is>
      </c>
      <c r="K53" s="15" t="inlineStr">
        <is>
          <t>Idempotency-Key=qa-key-001</t>
        </is>
      </c>
      <c r="L53" s="15" t="inlineStr">
        <is>
          <t>Cả hai đều 201 với cùng payment.id; /me/payments chỉ có 1 dòng pending mới.</t>
        </is>
      </c>
      <c r="M53" s="15" t="inlineStr"/>
      <c r="N53" s="18" t="inlineStr">
        <is>
          <t>Chưa test</t>
        </is>
      </c>
      <c r="O53" s="15" t="inlineStr"/>
      <c r="P53" s="15" t="inlineStr"/>
      <c r="Q53" s="18" t="inlineStr">
        <is>
          <t>Chưa test</t>
        </is>
      </c>
      <c r="R53" s="15" t="inlineStr"/>
    </row>
    <row r="54" ht="30" customHeight="1">
      <c r="A54" s="14" t="inlineStr">
        <is>
          <t>TC-PAY-053</t>
        </is>
      </c>
      <c r="B54" s="15" t="inlineStr">
        <is>
          <t>Thanh toán &amp; Gói thành viên</t>
        </is>
      </c>
      <c r="C54" s="15" t="inlineStr">
        <is>
          <t>Idempotency</t>
        </is>
      </c>
      <c r="D54" s="15" t="inlineStr">
        <is>
          <t>Idempotency-Key khác nhau tạo hai giao dịch pending khác nhau</t>
        </is>
      </c>
      <c r="E54" s="15" t="inlineStr">
        <is>
          <t>Chức năng</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54" s="15" t="inlineStr">
        <is>
          <t>1. POST checkout key qa-key-A
2. POST checkout key qa-key-B</t>
        </is>
      </c>
      <c r="K54" s="15" t="inlineStr">
        <is>
          <t>2 key khác nhau</t>
        </is>
      </c>
      <c r="L54" s="15" t="inlineStr">
        <is>
          <t>Hai response 201 có payment.id khác nhau, cùng amountCents=1900.</t>
        </is>
      </c>
      <c r="M54" s="15" t="inlineStr"/>
      <c r="N54" s="18" t="inlineStr">
        <is>
          <t>Chưa test</t>
        </is>
      </c>
      <c r="O54" s="15" t="inlineStr"/>
      <c r="P54" s="15" t="inlineStr"/>
      <c r="Q54" s="18" t="inlineStr">
        <is>
          <t>Chưa test</t>
        </is>
      </c>
      <c r="R54" s="15" t="inlineStr"/>
    </row>
    <row r="55" ht="30" customHeight="1">
      <c r="A55" s="14" t="inlineStr">
        <is>
          <t>TC-PAY-054</t>
        </is>
      </c>
      <c r="B55" s="15" t="inlineStr">
        <is>
          <t>Thanh toán &amp; Gói thành viên</t>
        </is>
      </c>
      <c r="C55" s="15" t="inlineStr">
        <is>
          <t>Idempotency</t>
        </is>
      </c>
      <c r="D55" s="15" t="inlineStr">
        <is>
          <t>Idempotency-Key dùng cho khóa học khác trả 409</t>
        </is>
      </c>
      <c r="E55" s="15" t="inlineStr">
        <is>
          <t>Chức năng</t>
        </is>
      </c>
      <c r="F55" s="20" t="inlineStr">
        <is>
          <t>Trung bình</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55" s="15" t="inlineStr">
        <is>
          <t>1. Tạo một giao dịch checkout ở khóa có phí X với key qa-key-X (dùng tài khoản chưa tham gia X)
2. Gọi checkout khóa có phí Y khác cùng tài khoản, cùng key qa-key-X</t>
        </is>
      </c>
      <c r="K55" s="15" t="inlineStr">
        <is>
          <t>key dùng lại cho khóa khác</t>
        </is>
      </c>
      <c r="L55" s="15" t="inlineStr">
        <is>
          <t>409, error.code=CONFLICT, message 'Idempotency-Key này đã được dùng cho giao dịch khác'.</t>
        </is>
      </c>
      <c r="M55" s="15" t="inlineStr"/>
      <c r="N55" s="18" t="inlineStr">
        <is>
          <t>Chưa test</t>
        </is>
      </c>
      <c r="O55" s="15" t="inlineStr"/>
      <c r="P55" s="15" t="inlineStr"/>
      <c r="Q55" s="18" t="inlineStr">
        <is>
          <t>Chưa test</t>
        </is>
      </c>
      <c r="R55" s="15" t="inlineStr"/>
    </row>
    <row r="56" ht="30" customHeight="1">
      <c r="A56" s="14" t="inlineStr">
        <is>
          <t>TC-PAY-055</t>
        </is>
      </c>
      <c r="B56" s="15" t="inlineStr">
        <is>
          <t>Thanh toán &amp; Gói thành viên</t>
        </is>
      </c>
      <c r="C56" s="15" t="inlineStr">
        <is>
          <t>Idempotency</t>
        </is>
      </c>
      <c r="D56" s="15" t="inlineStr">
        <is>
          <t>Idempotency-Key của người khác không bị lộ giao dịch (key tách theo userId)</t>
        </is>
      </c>
      <c r="E56" s="15" t="inlineStr">
        <is>
          <t>Bảo mật</t>
        </is>
      </c>
      <c r="F56" s="20" t="inlineStr">
        <is>
          <t>Trung bình</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56" s="15" t="inlineStr">
        <is>
          <t>1. Đăng ký tài khoản mới B (chưa ở paid-demo) và đăng nhập
2. POST checkout paid-demo cùng header Idempotency-Key: qa-key-001</t>
        </is>
      </c>
      <c r="K56" s="15" t="inlineStr">
        <is>
          <t>cùng key khác user</t>
        </is>
      </c>
      <c r="L56" s="15" t="inlineStr">
        <is>
          <t>Người dùng B nhận giao dịch MỚI của chính B (payment.id khác, userId=B), không nhận giao dịch của newbie (key map theo (userId,key)).</t>
        </is>
      </c>
      <c r="M56" s="15" t="inlineStr"/>
      <c r="N56" s="18" t="inlineStr">
        <is>
          <t>Chưa test</t>
        </is>
      </c>
      <c r="O56" s="15" t="inlineStr"/>
      <c r="P56" s="15" t="inlineStr"/>
      <c r="Q56" s="18" t="inlineStr">
        <is>
          <t>Chưa test</t>
        </is>
      </c>
      <c r="R56" s="15" t="inlineStr"/>
    </row>
    <row r="57" ht="45" customHeight="1">
      <c r="A57" s="14" t="inlineStr">
        <is>
          <t>TC-PAY-056</t>
        </is>
      </c>
      <c r="B57" s="15" t="inlineStr">
        <is>
          <t>Thanh toán &amp; Gói thành viên</t>
        </is>
      </c>
      <c r="C57" s="15" t="inlineStr">
        <is>
          <t>Idempotency</t>
        </is>
      </c>
      <c r="D57" s="15" t="inlineStr">
        <is>
          <t>Double submit nút Thanh toán: chỉ 1 giao dịch, 1 hóa đơn</t>
        </is>
      </c>
      <c r="E57" s="15" t="inlineStr">
        <is>
          <t>Chức năng</t>
        </is>
      </c>
      <c r="F57" s="16" t="inlineStr">
        <is>
          <t>Cao</t>
        </is>
      </c>
      <c r="G57" s="17" t="inlineStr">
        <is>
          <t>Đã hoàn thiện</t>
        </is>
      </c>
      <c r="H57" s="20" t="inlineStr">
        <is>
          <t>Một phần</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57" s="15" t="inlineStr">
        <is>
          <t>1. Mở /courses/paid-demo/checkout
2. Bấm rất nhanh 'Thanh toán $19/tháng' nhiều lần (hoặc Enter lặp)
3. Mở /billing xem Lịch sử thanh toán</t>
        </is>
      </c>
      <c r="K57" s="15" t="inlineStr">
        <is>
          <t>-</t>
        </is>
      </c>
      <c r="L57" s="15" t="inlineStr">
        <is>
          <t>Nút disabled ngay sau lần bấm đầu; chỉ 1 dòng giao dịch succeeded, 1 số hóa đơn, 1 gói active.</t>
        </is>
      </c>
      <c r="M57" s="15" t="inlineStr"/>
      <c r="N57" s="18" t="inlineStr">
        <is>
          <t>Chưa test</t>
        </is>
      </c>
      <c r="O57" s="15" t="inlineStr"/>
      <c r="P57" s="15" t="inlineStr"/>
      <c r="Q57" s="18" t="inlineStr">
        <is>
          <t>Chưa test</t>
        </is>
      </c>
      <c r="R57" s="15" t="inlineStr"/>
    </row>
    <row r="58" ht="30" customHeight="1">
      <c r="A58" s="14" t="inlineStr">
        <is>
          <t>TC-PAY-057</t>
        </is>
      </c>
      <c r="B58" s="15" t="inlineStr">
        <is>
          <t>Thanh toán &amp; Gói thành viên</t>
        </is>
      </c>
      <c r="C58" s="15" t="inlineStr">
        <is>
          <t>Idempotency</t>
        </is>
      </c>
      <c r="D58" s="15" t="inlineStr">
        <is>
          <t>Hai confirm song song cùng giao dịch: cổng chỉ trừ 1 lần, 1 hóa đơn</t>
        </is>
      </c>
      <c r="E58" s="15" t="inlineStr">
        <is>
          <t>Chức năng</t>
        </is>
      </c>
      <c r="F58" s="16" t="inlineStr">
        <is>
          <t>Cao</t>
        </is>
      </c>
      <c r="G58" s="17" t="inlineStr">
        <is>
          <t>Đã hoàn thiện</t>
        </is>
      </c>
      <c r="H58" s="20" t="inlineStr">
        <is>
          <t>Một phần</t>
        </is>
      </c>
      <c r="I58"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Case làm thay đổi dữ liệu seed - chạy lại npm run db:seed (hoặc dùng tài khoản/gói mới) trước khi lặp lại.</t>
        </is>
      </c>
      <c r="J58" s="15" t="inlineStr">
        <is>
          <t>1. Gửi đồng thời 5 request POST /api/payments/&lt;P&gt;/confirm (Promise.all trong Playwright request context)
2. GET /api/me/payments</t>
        </is>
      </c>
      <c r="K58" s="15" t="inlineStr">
        <is>
          <t>5 request song song</t>
        </is>
      </c>
      <c r="L58" s="15" t="inlineStr">
        <is>
          <t>Tất cả 200 (hoặc trả bản ghi đã xử lý); chỉ 1 giao dịch succeeded, 1 invoiceNumber, 1 Subscription; không có 500.</t>
        </is>
      </c>
      <c r="M58" s="15" t="inlineStr"/>
      <c r="N58" s="18" t="inlineStr">
        <is>
          <t>Chưa test</t>
        </is>
      </c>
      <c r="O58" s="15" t="inlineStr"/>
      <c r="P58" s="15" t="inlineStr"/>
      <c r="Q58" s="18" t="inlineStr">
        <is>
          <t>Chưa test</t>
        </is>
      </c>
      <c r="R58" s="15" t="inlineStr"/>
    </row>
    <row r="59" ht="60" customHeight="1">
      <c r="A59" s="14" t="inlineStr">
        <is>
          <t>TC-PAY-058</t>
        </is>
      </c>
      <c r="B59" s="15" t="inlineStr">
        <is>
          <t>Thanh toán &amp; Gói thành viên</t>
        </is>
      </c>
      <c r="C59" s="15" t="inlineStr">
        <is>
          <t>Dùng thử miễn phí</t>
        </is>
      </c>
      <c r="D59" s="15" t="inlineStr">
        <is>
          <t>Bắt đầu dùng thử 7 ngày: cấp quyền ngay, không thu tiền</t>
        </is>
      </c>
      <c r="E59" s="15" t="inlineStr">
        <is>
          <t>Chức năng</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newbie chưa từng dùng thử. Case làm thay đổi dữ liệu seed - chạy lại npm run db:seed (hoặc dùng tài khoản/gói mới) trước khi lặp lại.</t>
        </is>
      </c>
      <c r="J59" s="15" t="inlineStr">
        <is>
          <t>1. Đăng nhập newbie
2. POST /api/courses/paid-demo/trial
3. GET /api/me/payments
4. GET /api/me/subscriptions</t>
        </is>
      </c>
      <c r="K59" s="15" t="inlineStr">
        <is>
          <t>TRIAL_DAYS=7 (giá trị tạm)</t>
        </is>
      </c>
      <c r="L59" s="15" t="inlineStr">
        <is>
          <t>201 Subscription status=trialing, trialEndsAt = currentPeriodEnd = hiện tại + 7 ngày, priceCents=1900; newbie đã ghi danh, vào được /courses/paid-demo/community; /me/payments KHÔNG có giao dịch; có thông báo 'Bắt đầu dùng thử'.</t>
        </is>
      </c>
      <c r="M59" s="15" t="inlineStr"/>
      <c r="N59" s="18" t="inlineStr">
        <is>
          <t>Chưa test</t>
        </is>
      </c>
      <c r="O59" s="15" t="inlineStr"/>
      <c r="P59" s="15" t="inlineStr"/>
      <c r="Q59" s="18" t="inlineStr">
        <is>
          <t>Chưa test</t>
        </is>
      </c>
      <c r="R59" s="15" t="inlineStr"/>
    </row>
    <row r="60" ht="30" customHeight="1">
      <c r="A60" s="14" t="inlineStr">
        <is>
          <t>TC-PAY-059</t>
        </is>
      </c>
      <c r="B60" s="15" t="inlineStr">
        <is>
          <t>Thanh toán &amp; Gói thành viên</t>
        </is>
      </c>
      <c r="C60" s="15" t="inlineStr">
        <is>
          <t>Dùng thử miễn phí</t>
        </is>
      </c>
      <c r="D60" s="15" t="inlineStr">
        <is>
          <t>Nút 'Bắt đầu dùng thử' trên trang checkout</t>
        </is>
      </c>
      <c r="E60" s="15" t="inlineStr">
        <is>
          <t>Giao diện</t>
        </is>
      </c>
      <c r="F60" s="16" t="inlineStr">
        <is>
          <t>Cao</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newbie (chưa dùng thử). Case làm thay đổi dữ liệu seed - chạy lại npm run db:seed (hoặc dùng tài khoản/gói mới) trước khi lặp lại.</t>
        </is>
      </c>
      <c r="J60" s="15" t="inlineStr">
        <is>
          <t>1. Mở /courses/paid-demo/checkout
2. Bấm 'Bắt đầu dùng thử'</t>
        </is>
      </c>
      <c r="K60" s="15" t="inlineStr">
        <is>
          <t>-</t>
        </is>
      </c>
      <c r="L60" s="15" t="inlineStr">
        <is>
          <t>Chuyển tới /courses/paid-demo/community; /billing hiển thị gói 'Đang dùng thử' với ngày truy cập đến = hôm nay + 7.</t>
        </is>
      </c>
      <c r="M60" s="15" t="inlineStr"/>
      <c r="N60" s="18" t="inlineStr">
        <is>
          <t>Chưa test</t>
        </is>
      </c>
      <c r="O60" s="15" t="inlineStr"/>
      <c r="P60" s="15" t="inlineStr"/>
      <c r="Q60" s="18" t="inlineStr">
        <is>
          <t>Chưa test</t>
        </is>
      </c>
      <c r="R60" s="15" t="inlineStr"/>
    </row>
    <row r="61" ht="30" customHeight="1">
      <c r="A61" s="14" t="inlineStr">
        <is>
          <t>TC-PAY-060</t>
        </is>
      </c>
      <c r="B61" s="15" t="inlineStr">
        <is>
          <t>Thanh toán &amp; Gói thành viên</t>
        </is>
      </c>
      <c r="C61" s="15" t="inlineStr">
        <is>
          <t>Dùng thử miễn phí</t>
        </is>
      </c>
      <c r="D61" s="15" t="inlineStr">
        <is>
          <t>Không dùng thử lần 2 sau khi đã hủy gói dùng thử</t>
        </is>
      </c>
      <c r="E61" s="15" t="inlineStr">
        <is>
          <t>Chức năng</t>
        </is>
      </c>
      <c r="F61" s="16" t="inlineStr">
        <is>
          <t>Cao</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vừa dùng thử và đã hủy ngay: POST /api/courses/paid-demo/subscription/cancel body {"atPeriodEnd":false}. Case làm thay đổi dữ liệu seed - chạy lại npm run db:seed (hoặc dùng tài khoản/gói mới) trước khi lặp lại.</t>
        </is>
      </c>
      <c r="J61" s="15" t="inlineStr">
        <is>
          <t>1. POST /api/courses/paid-demo/trial lần nữa bằng newbie</t>
        </is>
      </c>
      <c r="K61" s="15" t="inlineStr">
        <is>
          <t>-</t>
        </is>
      </c>
      <c r="L61" s="15" t="inlineStr">
        <is>
          <t>409 CONFLICT, message 'Bạn đã dùng thử cộng đồng này rồi'; không có Subscription mới; newbie chưa ở cộng đồng.</t>
        </is>
      </c>
      <c r="M61" s="15" t="inlineStr"/>
      <c r="N61" s="18" t="inlineStr">
        <is>
          <t>Chưa test</t>
        </is>
      </c>
      <c r="O61" s="15" t="inlineStr"/>
      <c r="P61" s="15" t="inlineStr"/>
      <c r="Q61" s="18" t="inlineStr">
        <is>
          <t>Chưa test</t>
        </is>
      </c>
      <c r="R61" s="15" t="inlineStr"/>
    </row>
    <row r="62" ht="30" customHeight="1">
      <c r="A62" s="14" t="inlineStr">
        <is>
          <t>TC-PAY-061</t>
        </is>
      </c>
      <c r="B62" s="15" t="inlineStr">
        <is>
          <t>Thanh toán &amp; Gói thành viên</t>
        </is>
      </c>
      <c r="C62" s="15" t="inlineStr">
        <is>
          <t>Dùng thử miễn phí</t>
        </is>
      </c>
      <c r="D62" s="15" t="inlineStr">
        <is>
          <t>Đang dùng thử (member3) gọi trial lại bị 409 'đã tham gia'</t>
        </is>
      </c>
      <c r="E62" s="15" t="inlineStr">
        <is>
          <t>Chức năng</t>
        </is>
      </c>
      <c r="F62" s="20" t="inlineStr">
        <is>
          <t>Trung bình</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member3 đang trialing.</t>
        </is>
      </c>
      <c r="J62" s="15" t="inlineStr">
        <is>
          <t>1. Đăng nhập member3
2. POST /api/courses/paid-demo/trial</t>
        </is>
      </c>
      <c r="K62" s="15" t="inlineStr">
        <is>
          <t>-</t>
        </is>
      </c>
      <c r="L62" s="15" t="inlineStr">
        <is>
          <t>409, message 'Bạn đã tham gia cộng đồng này rồi' (kiểm tra ghi danh đi trước kiểm tra đã dùng thử).</t>
        </is>
      </c>
      <c r="M62" s="15" t="inlineStr"/>
      <c r="N62" s="18" t="inlineStr">
        <is>
          <t>Chưa test</t>
        </is>
      </c>
      <c r="O62" s="15" t="inlineStr"/>
      <c r="P62" s="15" t="inlineStr"/>
      <c r="Q62" s="18" t="inlineStr">
        <is>
          <t>Chưa test</t>
        </is>
      </c>
      <c r="R62" s="15" t="inlineStr"/>
    </row>
    <row r="63" ht="30" customHeight="1">
      <c r="A63" s="14" t="inlineStr">
        <is>
          <t>TC-PAY-062</t>
        </is>
      </c>
      <c r="B63" s="15" t="inlineStr">
        <is>
          <t>Thanh toán &amp; Gói thành viên</t>
        </is>
      </c>
      <c r="C63" s="15" t="inlineStr">
        <is>
          <t>Dùng thử miễn phí</t>
        </is>
      </c>
      <c r="D63" s="15" t="inlineStr">
        <is>
          <t>Thành viên trả phí (member1) không dùng thử được</t>
        </is>
      </c>
      <c r="E63" s="15" t="inlineStr">
        <is>
          <t>Chức năng</t>
        </is>
      </c>
      <c r="F63" s="20" t="inlineStr">
        <is>
          <t>Trung bình</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t>
        </is>
      </c>
      <c r="J63" s="15" t="inlineStr">
        <is>
          <t>1. Đăng nhập member1
2. POST /api/courses/paid-demo/trial</t>
        </is>
      </c>
      <c r="K63" s="15" t="inlineStr">
        <is>
          <t>-</t>
        </is>
      </c>
      <c r="L63" s="15" t="inlineStr">
        <is>
          <t>409 'Bạn đã tham gia cộng đồng này rồi'.</t>
        </is>
      </c>
      <c r="M63" s="15" t="inlineStr"/>
      <c r="N63" s="18" t="inlineStr">
        <is>
          <t>Chưa test</t>
        </is>
      </c>
      <c r="O63" s="15" t="inlineStr"/>
      <c r="P63" s="15" t="inlineStr"/>
      <c r="Q63" s="18" t="inlineStr">
        <is>
          <t>Chưa test</t>
        </is>
      </c>
      <c r="R63" s="15" t="inlineStr"/>
    </row>
    <row r="64" ht="30" customHeight="1">
      <c r="A64" s="14" t="inlineStr">
        <is>
          <t>TC-PAY-063</t>
        </is>
      </c>
      <c r="B64" s="15" t="inlineStr">
        <is>
          <t>Thanh toán &amp; Gói thành viên</t>
        </is>
      </c>
      <c r="C64" s="15" t="inlineStr">
        <is>
          <t>Dùng thử miễn phí</t>
        </is>
      </c>
      <c r="D64" s="15" t="inlineStr">
        <is>
          <t>Dùng thử khóa miễn phí trả 400</t>
        </is>
      </c>
      <c r="E64" s="15" t="inlineStr">
        <is>
          <t>Chức năng</t>
        </is>
      </c>
      <c r="F64" s="20" t="inlineStr">
        <is>
          <t>Trung bình</t>
        </is>
      </c>
      <c r="G64" s="17" t="inlineStr">
        <is>
          <t>Đã hoàn thiện</t>
        </is>
      </c>
      <c r="H64" s="17" t="inlineStr">
        <is>
          <t>Có</t>
        </is>
      </c>
      <c r="I64" s="15" t="inlineStr">
        <is>
          <t>Đăng nhập newbie; photo miễn phí.</t>
        </is>
      </c>
      <c r="J64" s="15" t="inlineStr">
        <is>
          <t>1. POST /api/courses/photo/trial</t>
        </is>
      </c>
      <c r="K64" s="15" t="inlineStr">
        <is>
          <t>-</t>
        </is>
      </c>
      <c r="L64" s="15" t="inlineStr">
        <is>
          <t>400 BAD_REQUEST, message 'Cộng đồng miễn phí không có dùng thử'.</t>
        </is>
      </c>
      <c r="M64" s="15" t="inlineStr"/>
      <c r="N64" s="18" t="inlineStr">
        <is>
          <t>Chưa test</t>
        </is>
      </c>
      <c r="O64" s="15" t="inlineStr"/>
      <c r="P64" s="15" t="inlineStr"/>
      <c r="Q64" s="18" t="inlineStr">
        <is>
          <t>Chưa test</t>
        </is>
      </c>
      <c r="R64" s="15" t="inlineStr"/>
    </row>
    <row r="65" ht="45" customHeight="1">
      <c r="A65" s="14" t="inlineStr">
        <is>
          <t>TC-PAY-064</t>
        </is>
      </c>
      <c r="B65" s="15" t="inlineStr">
        <is>
          <t>Thanh toán &amp; Gói thành viên</t>
        </is>
      </c>
      <c r="C65" s="15" t="inlineStr">
        <is>
          <t>Dùng thử miễn phí</t>
        </is>
      </c>
      <c r="D65" s="15" t="inlineStr">
        <is>
          <t>Bị cấm khỏi paid-demo thì không dùng thử được, rollback gói</t>
        </is>
      </c>
      <c r="E65" s="15" t="inlineStr">
        <is>
          <t>Bảo mật</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Owner đã cấm newbie khỏi paid-demo (POST /api/courses/paid-demo/members/&lt;id&gt;/ban). Case làm thay đổi dữ liệu seed - chạy lại npm run db:seed (hoặc dùng tài khoản/gói mới) trước khi lặp lại.</t>
        </is>
      </c>
      <c r="J65" s="15" t="inlineStr">
        <is>
          <t>1. Đăng nhập newbie
2. POST /api/courses/paid-demo/trial
3. GET /api/me/subscriptions</t>
        </is>
      </c>
      <c r="K65" s="15" t="inlineStr">
        <is>
          <t>-</t>
        </is>
      </c>
      <c r="L65" s="15" t="inlineStr">
        <is>
          <t>403 FORBIDDEN; không có Subscription trialing nào được tạo (rollback); newbie vẫn không ghi danh.</t>
        </is>
      </c>
      <c r="M65" s="15" t="inlineStr"/>
      <c r="N65" s="18" t="inlineStr">
        <is>
          <t>Chưa test</t>
        </is>
      </c>
      <c r="O65" s="15" t="inlineStr"/>
      <c r="P65" s="15" t="inlineStr"/>
      <c r="Q65" s="18" t="inlineStr">
        <is>
          <t>Chưa test</t>
        </is>
      </c>
      <c r="R65" s="15" t="inlineStr"/>
    </row>
    <row r="66" ht="30" customHeight="1">
      <c r="A66" s="14" t="inlineStr">
        <is>
          <t>TC-PAY-065</t>
        </is>
      </c>
      <c r="B66" s="15" t="inlineStr">
        <is>
          <t>Thanh toán &amp; Gói thành viên</t>
        </is>
      </c>
      <c r="C66" s="15" t="inlineStr">
        <is>
          <t>Dùng thử miễn phí</t>
        </is>
      </c>
      <c r="D66" s="15" t="inlineStr">
        <is>
          <t>Dùng thử không token trả 401 và khóa không tồn tại trả 404</t>
        </is>
      </c>
      <c r="E66" s="15" t="inlineStr">
        <is>
          <t>Chức năng</t>
        </is>
      </c>
      <c r="F66" s="17" t="inlineStr">
        <is>
          <t>Thấp</t>
        </is>
      </c>
      <c r="G66" s="17" t="inlineStr">
        <is>
          <t>Đã hoàn thiện</t>
        </is>
      </c>
      <c r="H66" s="17" t="inlineStr">
        <is>
          <t>Có</t>
        </is>
      </c>
      <c r="I66" s="15" t="inlineStr">
        <is>
          <t>-</t>
        </is>
      </c>
      <c r="J66" s="15" t="inlineStr">
        <is>
          <t>1. POST /api/courses/paid-demo/trial không token
2. POST /api/courses/khong-co/trial có token newbie</t>
        </is>
      </c>
      <c r="K66" s="15" t="inlineStr">
        <is>
          <t>-</t>
        </is>
      </c>
      <c r="L66" s="15" t="inlineStr">
        <is>
          <t>Lần 1: 401 UNAUTHORIZED. Lần 2: 404 NOT_FOUND.</t>
        </is>
      </c>
      <c r="M66" s="15" t="inlineStr"/>
      <c r="N66" s="18" t="inlineStr">
        <is>
          <t>Chưa test</t>
        </is>
      </c>
      <c r="O66" s="15" t="inlineStr"/>
      <c r="P66" s="15" t="inlineStr"/>
      <c r="Q66" s="18" t="inlineStr">
        <is>
          <t>Chưa test</t>
        </is>
      </c>
      <c r="R66" s="15" t="inlineStr"/>
    </row>
    <row r="67" ht="45" customHeight="1">
      <c r="A67" s="14" t="inlineStr">
        <is>
          <t>TC-PAY-066</t>
        </is>
      </c>
      <c r="B67" s="15" t="inlineStr">
        <is>
          <t>Thanh toán &amp; Gói thành viên</t>
        </is>
      </c>
      <c r="C67" s="15" t="inlineStr">
        <is>
          <t>Dùng thử miễn phí</t>
        </is>
      </c>
      <c r="D67" s="15" t="inlineStr">
        <is>
          <t>Đang dùng thử rồi thanh toán: chuyển thành gói active, kỳ mới từ lúc trả tiền</t>
        </is>
      </c>
      <c r="E67" s="15" t="inlineStr">
        <is>
          <t>Chức năng</t>
        </is>
      </c>
      <c r="F67" s="16" t="inlineStr">
        <is>
          <t>Cao</t>
        </is>
      </c>
      <c r="G67" s="17" t="inlineStr">
        <is>
          <t>Đã hoàn thiện</t>
        </is>
      </c>
      <c r="H67" s="17" t="inlineStr">
        <is>
          <t>Có</t>
        </is>
      </c>
      <c r="I67" s="15" t="inlineStr">
        <is>
          <t>Seed đã chạy (npm run db:seed) trên DB sạch; paid-demo = cộng đồng công khai $19/tháng (1900 cent), Owner: owner@sofinhub.test. Mật khẩu chung Passw0rd!x. Thành viên minh họa isDemo = demo-paid-demo-&lt;i&gt;, không đăng nhập được. member3 đang trialing (seed-sub-member3). Case làm thay đổi dữ liệu seed - chạy lại npm run db:seed (hoặc dùng tài khoản/gói mới) trước khi lặp lại.</t>
        </is>
      </c>
      <c r="J67" s="15" t="inlineStr">
        <is>
          <t>1. Đăng nhập member3
2. Checkout paid-demo rồi confirm
3. GET /api/courses/paid-demo/subscription</t>
        </is>
      </c>
      <c r="K67" s="15" t="inlineStr">
        <is>
          <t>-</t>
        </is>
      </c>
      <c r="L67" s="15" t="inlineStr">
        <is>
          <t>Confirm 200 succeeded có invoiceNumber; subscription cùng id seed-sub-member3 chuyển status=active, currentPeriodStart = thời điểm trả tiền, currentPeriodEnd = +30 ngày, cancelAtPeriodEnd=false; không tạo gói thứ hai.</t>
        </is>
      </c>
      <c r="M67" s="15" t="inlineStr"/>
      <c r="N67" s="18" t="inlineStr">
        <is>
          <t>Chưa test</t>
        </is>
      </c>
      <c r="O67" s="15" t="inlineStr"/>
      <c r="P67" s="15" t="inlineStr"/>
      <c r="Q67" s="18" t="inlineStr">
        <is>
          <t>Chưa test</t>
        </is>
      </c>
      <c r="R67" s="15" t="inlineStr"/>
    </row>
    <row r="68" ht="60" customHeight="1">
      <c r="A68" s="14" t="inlineStr">
        <is>
          <t>TC-PAY-067</t>
        </is>
      </c>
      <c r="B68" s="15" t="inlineStr">
        <is>
          <t>Thanh toán &amp; Gói thành viên</t>
        </is>
      </c>
      <c r="C68" s="15" t="inlineStr">
        <is>
          <t>Dùng thử miễn phí</t>
        </is>
      </c>
      <c r="D68" s="15" t="inlineStr">
        <is>
          <t>Hết hạn dùng thử: scheduler chuyển expired và thu hồi quyền</t>
        </is>
      </c>
      <c r="E68" s="15" t="inlineStr">
        <is>
          <t>Tích hợp</t>
        </is>
      </c>
      <c r="F68" s="16" t="inlineStr">
        <is>
          <t>Cao</t>
        </is>
      </c>
      <c r="G68" s="17" t="inlineStr">
        <is>
          <t>Đã hoàn thiện</t>
        </is>
      </c>
      <c r="H68" s="16" t="inlineStr">
        <is>
          <t>Không</t>
        </is>
      </c>
      <c r="I6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68" s="15" t="inlineStr">
        <is>
          <t>1. Sửa currentPeriodEnd bằng SQL
2. Chờ tối đa 5 phút (hoặc restart BE) cho processDueSubscriptions
3. Đăng nhập member3, mở /courses/paid-demo/community
4. GET /api/notifications</t>
        </is>
      </c>
      <c r="K68" s="15" t="inlineStr">
        <is>
          <t>-</t>
        </is>
      </c>
      <c r="L6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68" s="15" t="inlineStr"/>
      <c r="N68" s="18" t="inlineStr">
        <is>
          <t>Chưa test</t>
        </is>
      </c>
      <c r="O68" s="15" t="inlineStr"/>
      <c r="P68" s="15" t="inlineStr"/>
      <c r="Q68" s="18" t="inlineStr">
        <is>
          <t>Chưa test</t>
        </is>
      </c>
      <c r="R68" s="15" t="inlineStr"/>
    </row>
    <row r="69" ht="45" customHeight="1">
      <c r="A69" s="14" t="inlineStr">
        <is>
          <t>TC-PAY-068</t>
        </is>
      </c>
      <c r="B69" s="15" t="inlineStr">
        <is>
          <t>Thanh toán &amp; Gói thành viên</t>
        </is>
      </c>
      <c r="C69" s="15" t="inlineStr">
        <is>
          <t>Hủy &amp; tiếp tục gói</t>
        </is>
      </c>
      <c r="D69" s="15" t="inlineStr">
        <is>
          <t>member2 (đã hủy cuối kỳ) vẫn còn truy cập, trạng thái 'Đã hủy'</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69" s="15" t="inlineStr">
        <is>
          <t>1. Đăng nhập member2
2. GET /api/courses/paid-demo/subscription
3. Mở /billing</t>
        </is>
      </c>
      <c r="K69" s="15" t="inlineStr">
        <is>
          <t>-</t>
        </is>
      </c>
      <c r="L69" s="15" t="inlineStr">
        <is>
          <t>enrolled=true; subscription.cancelAtPeriodEnd=true, status=active, accessUntil = currentPeriodEnd (~ +15 ngày); /billing hiện nhãn 'Đã hủy' kèm nút 'Tiếp tục gói'.</t>
        </is>
      </c>
      <c r="M69" s="15" t="inlineStr"/>
      <c r="N69" s="18" t="inlineStr">
        <is>
          <t>Chưa test</t>
        </is>
      </c>
      <c r="O69" s="15" t="inlineStr"/>
      <c r="P69" s="15" t="inlineStr"/>
      <c r="Q69" s="18" t="inlineStr">
        <is>
          <t>Chưa test</t>
        </is>
      </c>
      <c r="R69" s="15" t="inlineStr"/>
    </row>
    <row r="70" ht="30" customHeight="1">
      <c r="A70" s="14" t="inlineStr">
        <is>
          <t>TC-PAY-069</t>
        </is>
      </c>
      <c r="B70" s="15" t="inlineStr">
        <is>
          <t>Thanh toán &amp; Gói thành viên</t>
        </is>
      </c>
      <c r="C70" s="15" t="inlineStr">
        <is>
          <t>Hủy &amp; tiếp tục gói</t>
        </is>
      </c>
      <c r="D70" s="15" t="inlineStr">
        <is>
          <t>member2 bấm 'Tiếp tục gói' (resume)</t>
        </is>
      </c>
      <c r="E70" s="15" t="inlineStr">
        <is>
          <t>Chức năng</t>
        </is>
      </c>
      <c r="F70" s="16" t="inlineStr">
        <is>
          <t>Cao</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70" s="15" t="inlineStr">
        <is>
          <t>1. Đăng nhập member2
2. Mở /billing, bấm 'Tiếp tục gói' (hoặc POST /api/courses/paid-demo/subscription/resume)</t>
        </is>
      </c>
      <c r="K70" s="15" t="inlineStr">
        <is>
          <t>-</t>
        </is>
      </c>
      <c r="L70" s="15" t="inlineStr">
        <is>
          <t>200 Subscription cancelAtPeriodEnd=false, canceledAt=null, status vẫn active, currentPeriodEnd không đổi; UI trở lại 'Đang hoạt động' và hiện nút 'Hủy gói'; MRR của owner tăng 1900.</t>
        </is>
      </c>
      <c r="M70" s="15" t="inlineStr"/>
      <c r="N70" s="18" t="inlineStr">
        <is>
          <t>Chưa test</t>
        </is>
      </c>
      <c r="O70" s="15" t="inlineStr"/>
      <c r="P70" s="15" t="inlineStr"/>
      <c r="Q70" s="18" t="inlineStr">
        <is>
          <t>Chưa test</t>
        </is>
      </c>
      <c r="R70" s="15" t="inlineStr"/>
    </row>
    <row r="71" ht="30" customHeight="1">
      <c r="A71" s="14" t="inlineStr">
        <is>
          <t>TC-PAY-070</t>
        </is>
      </c>
      <c r="B71" s="15" t="inlineStr">
        <is>
          <t>Thanh toán &amp; Gói thành viên</t>
        </is>
      </c>
      <c r="C71" s="15" t="inlineStr">
        <is>
          <t>Hủy &amp; tiếp tục gói</t>
        </is>
      </c>
      <c r="D71" s="15" t="inlineStr">
        <is>
          <t>Resume khi chưa hủy trả 409</t>
        </is>
      </c>
      <c r="E71" s="15" t="inlineStr">
        <is>
          <t>Chức năng</t>
        </is>
      </c>
      <c r="F71" s="20" t="inlineStr">
        <is>
          <t>Trung bình</t>
        </is>
      </c>
      <c r="G71" s="17" t="inlineStr">
        <is>
          <t>Đã hoàn thiện</t>
        </is>
      </c>
      <c r="H71" s="17" t="inlineStr">
        <is>
          <t>Có</t>
        </is>
      </c>
      <c r="I7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71" s="15" t="inlineStr">
        <is>
          <t>1. Đăng nhập member1
2. POST /api/courses/paid-demo/subscription/resume</t>
        </is>
      </c>
      <c r="K71" s="15" t="inlineStr">
        <is>
          <t>-</t>
        </is>
      </c>
      <c r="L71" s="15" t="inlineStr">
        <is>
          <t>409, message 'Gói này không ở trạng thái hủy cuối kỳ'.</t>
        </is>
      </c>
      <c r="M71" s="15" t="inlineStr"/>
      <c r="N71" s="18" t="inlineStr">
        <is>
          <t>Chưa test</t>
        </is>
      </c>
      <c r="O71" s="15" t="inlineStr"/>
      <c r="P71" s="15" t="inlineStr"/>
      <c r="Q71" s="18" t="inlineStr">
        <is>
          <t>Chưa test</t>
        </is>
      </c>
      <c r="R71" s="15" t="inlineStr"/>
    </row>
    <row r="72" ht="30" customHeight="1">
      <c r="A72" s="14" t="inlineStr">
        <is>
          <t>TC-PAY-071</t>
        </is>
      </c>
      <c r="B72" s="15" t="inlineStr">
        <is>
          <t>Thanh toán &amp; Gói thành viên</t>
        </is>
      </c>
      <c r="C72" s="15" t="inlineStr">
        <is>
          <t>Hủy &amp; tiếp tục gói</t>
        </is>
      </c>
      <c r="D72" s="15" t="inlineStr">
        <is>
          <t>Resume khi không có gói trả 404</t>
        </is>
      </c>
      <c r="E72" s="15" t="inlineStr">
        <is>
          <t>Chức năng</t>
        </is>
      </c>
      <c r="F72" s="20" t="inlineStr">
        <is>
          <t>Trung bình</t>
        </is>
      </c>
      <c r="G72" s="17" t="inlineStr">
        <is>
          <t>Đã hoàn thiện</t>
        </is>
      </c>
      <c r="H72" s="17" t="inlineStr">
        <is>
          <t>Có</t>
        </is>
      </c>
      <c r="I72" s="15" t="inlineStr">
        <is>
          <t>Seed đã chạy (npm run db:seed) trên DB sạch; paid-demo = cộng đồng công khai $19/tháng (1900 cent), Owner: owner@sofinhub.test. Mật khẩu chung Passw0rd!x. Thành viên minh họa isDemo = demo-paid-demo-&lt;i&gt;, không đăng nhập được.</t>
        </is>
      </c>
      <c r="J72" s="15" t="inlineStr">
        <is>
          <t>1. Đăng nhập newbie
2. POST /api/courses/paid-demo/subscription/resume</t>
        </is>
      </c>
      <c r="K72" s="15" t="inlineStr">
        <is>
          <t>-</t>
        </is>
      </c>
      <c r="L72" s="15" t="inlineStr">
        <is>
          <t>404, message 'Bạn không có gói thành viên đang hoạt động ở cộng đồng này'.</t>
        </is>
      </c>
      <c r="M72" s="15" t="inlineStr"/>
      <c r="N72" s="18" t="inlineStr">
        <is>
          <t>Chưa test</t>
        </is>
      </c>
      <c r="O72" s="15" t="inlineStr"/>
      <c r="P72" s="15" t="inlineStr"/>
      <c r="Q72" s="18" t="inlineStr">
        <is>
          <t>Chưa test</t>
        </is>
      </c>
      <c r="R72" s="15" t="inlineStr"/>
    </row>
    <row r="73" ht="30" customHeight="1">
      <c r="A73" s="14" t="inlineStr">
        <is>
          <t>TC-PAY-072</t>
        </is>
      </c>
      <c r="B73" s="15" t="inlineStr">
        <is>
          <t>Thanh toán &amp; Gói thành viên</t>
        </is>
      </c>
      <c r="C73" s="15" t="inlineStr">
        <is>
          <t>Hủy &amp; tiếp tục gói</t>
        </is>
      </c>
      <c r="D73" s="15" t="inlineStr">
        <is>
          <t>Resume khi gói đã hết kỳ trả 409</t>
        </is>
      </c>
      <c r="E73" s="15" t="inlineStr">
        <is>
          <t>Chức năng</t>
        </is>
      </c>
      <c r="F73" s="20" t="inlineStr">
        <is>
          <t>Trung bình</t>
        </is>
      </c>
      <c r="G73" s="17" t="inlineStr">
        <is>
          <t>Đã hoàn thiện</t>
        </is>
      </c>
      <c r="H73" s="16" t="inlineStr">
        <is>
          <t>Không</t>
        </is>
      </c>
      <c r="I7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73" s="15" t="inlineStr">
        <is>
          <t>1. Sửa currentPeriodEnd = now - 1 phút
2. Ngay lập tức member2 POST /api/courses/paid-demo/subscription/resume</t>
        </is>
      </c>
      <c r="K73" s="15" t="inlineStr">
        <is>
          <t>-</t>
        </is>
      </c>
      <c r="L73" s="15" t="inlineStr">
        <is>
          <t>409, message 'Gói đã hết kỳ, không thể tiếp tục'.</t>
        </is>
      </c>
      <c r="M73" s="15" t="inlineStr"/>
      <c r="N73" s="18" t="inlineStr">
        <is>
          <t>Chưa test</t>
        </is>
      </c>
      <c r="O73" s="15" t="inlineStr"/>
      <c r="P73" s="15" t="inlineStr"/>
      <c r="Q73" s="18" t="inlineStr">
        <is>
          <t>Chưa test</t>
        </is>
      </c>
      <c r="R73" s="15" t="inlineStr"/>
    </row>
    <row r="74" ht="30" customHeight="1">
      <c r="A74" s="14" t="inlineStr">
        <is>
          <t>TC-PAY-073</t>
        </is>
      </c>
      <c r="B74" s="15" t="inlineStr">
        <is>
          <t>Thanh toán &amp; Gói thành viên</t>
        </is>
      </c>
      <c r="C74" s="15" t="inlineStr">
        <is>
          <t>Hủy &amp; tiếp tục gói</t>
        </is>
      </c>
      <c r="D74" s="15" t="inlineStr">
        <is>
          <t>member1 hủy cuối kỳ (mặc định atPeriodEnd=true): còn truy cập tới hết kỳ</t>
        </is>
      </c>
      <c r="E74" s="15" t="inlineStr">
        <is>
          <t>Chức năng</t>
        </is>
      </c>
      <c r="F74" s="16" t="inlineStr">
        <is>
          <t>Cao</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74" s="15" t="inlineStr">
        <is>
          <t>1. Đăng nhập member1
2. POST /api/courses/paid-demo/subscription/cancel không body</t>
        </is>
      </c>
      <c r="K74" s="15" t="inlineStr">
        <is>
          <t>body rỗng</t>
        </is>
      </c>
      <c r="L74" s="15" t="inlineStr">
        <is>
          <t>200 Subscription cancelAtPeriodEnd=true, canceledAt có giá trị, status=active; member1 vẫn vào /courses/paid-demo/community; không có hoàn tiền/không tạo giao dịch.</t>
        </is>
      </c>
      <c r="M74" s="15" t="inlineStr"/>
      <c r="N74" s="18" t="inlineStr">
        <is>
          <t>Chưa test</t>
        </is>
      </c>
      <c r="O74" s="15" t="inlineStr"/>
      <c r="P74" s="15" t="inlineStr"/>
      <c r="Q74" s="18" t="inlineStr">
        <is>
          <t>Chưa test</t>
        </is>
      </c>
      <c r="R74" s="15" t="inlineStr"/>
    </row>
    <row r="75" ht="30" customHeight="1">
      <c r="A75" s="14" t="inlineStr">
        <is>
          <t>TC-PAY-074</t>
        </is>
      </c>
      <c r="B75" s="15" t="inlineStr">
        <is>
          <t>Thanh toán &amp; Gói thành viên</t>
        </is>
      </c>
      <c r="C75" s="15" t="inlineStr">
        <is>
          <t>Hủy &amp; tiếp tục gói</t>
        </is>
      </c>
      <c r="D75" s="15" t="inlineStr">
        <is>
          <t>Hủy ngay (atPeriodEnd=false): mất quyền tức thì</t>
        </is>
      </c>
      <c r="E75" s="15" t="inlineStr">
        <is>
          <t>Chức năng</t>
        </is>
      </c>
      <c r="F75" s="16" t="inlineStr">
        <is>
          <t>Cao</t>
        </is>
      </c>
      <c r="G75" s="17" t="inlineStr">
        <is>
          <t>Đã hoàn thiện</t>
        </is>
      </c>
      <c r="H75" s="17" t="inlineStr">
        <is>
          <t>Có</t>
        </is>
      </c>
      <c r="I7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75" s="15" t="inlineStr">
        <is>
          <t>1. POST /api/courses/paid-demo/subscription/cancel body {"atPeriodEnd":false}
2. Mở /courses/paid-demo/community</t>
        </is>
      </c>
      <c r="K75" s="15" t="inlineStr">
        <is>
          <t>atPeriodEnd=false</t>
        </is>
      </c>
      <c r="L7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75" s="15" t="inlineStr"/>
      <c r="N75" s="18" t="inlineStr">
        <is>
          <t>Chưa test</t>
        </is>
      </c>
      <c r="O75" s="15" t="inlineStr"/>
      <c r="P75" s="15" t="inlineStr"/>
      <c r="Q75" s="18" t="inlineStr">
        <is>
          <t>Chưa test</t>
        </is>
      </c>
      <c r="R75" s="15" t="inlineStr"/>
    </row>
    <row r="76" ht="30" customHeight="1">
      <c r="A76" s="14" t="inlineStr">
        <is>
          <t>TC-PAY-075</t>
        </is>
      </c>
      <c r="B76" s="15" t="inlineStr">
        <is>
          <t>Thanh toán &amp; Gói thành viên</t>
        </is>
      </c>
      <c r="C76" s="15" t="inlineStr">
        <is>
          <t>Hủy &amp; tiếp tục gói</t>
        </is>
      </c>
      <c r="D76" s="15" t="inlineStr">
        <is>
          <t>Hủy khi không có gói trả 404; body sai kiểu trả 400</t>
        </is>
      </c>
      <c r="E76" s="15" t="inlineStr">
        <is>
          <t>Chức năng</t>
        </is>
      </c>
      <c r="F76" s="20" t="inlineStr">
        <is>
          <t>Trung bình</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76" s="15" t="inlineStr">
        <is>
          <t>1. POST /api/courses/paid-demo/subscription/cancel body {} bằng newbie
2. POST cùng endpoint bằng member1 body {"atPeriodEnd":"khong"}</t>
        </is>
      </c>
      <c r="K76" s="15" t="inlineStr">
        <is>
          <t>-</t>
        </is>
      </c>
      <c r="L76" s="15" t="inlineStr">
        <is>
          <t>Lần 1: 404 'Bạn không có gói thành viên đang hoạt động ở cộng đồng này'. Lần 2: 400 VALIDATION_ERROR.</t>
        </is>
      </c>
      <c r="M76" s="15" t="inlineStr"/>
      <c r="N76" s="18" t="inlineStr">
        <is>
          <t>Chưa test</t>
        </is>
      </c>
      <c r="O76" s="15" t="inlineStr"/>
      <c r="P76" s="15" t="inlineStr"/>
      <c r="Q76" s="18" t="inlineStr">
        <is>
          <t>Chưa test</t>
        </is>
      </c>
      <c r="R76" s="15" t="inlineStr"/>
    </row>
    <row r="77" ht="30" customHeight="1">
      <c r="A77" s="14" t="inlineStr">
        <is>
          <t>TC-PAY-076</t>
        </is>
      </c>
      <c r="B77" s="15" t="inlineStr">
        <is>
          <t>Thanh toán &amp; Gói thành viên</t>
        </is>
      </c>
      <c r="C77" s="15" t="inlineStr">
        <is>
          <t>Hủy &amp; tiếp tục gói</t>
        </is>
      </c>
      <c r="D77" s="15" t="inlineStr">
        <is>
          <t>Hủy gói không token trả 401</t>
        </is>
      </c>
      <c r="E77" s="15" t="inlineStr">
        <is>
          <t>Bảo mật</t>
        </is>
      </c>
      <c r="F77" s="17" t="inlineStr">
        <is>
          <t>Thấp</t>
        </is>
      </c>
      <c r="G77" s="17" t="inlineStr">
        <is>
          <t>Đã hoàn thiện</t>
        </is>
      </c>
      <c r="H77" s="17" t="inlineStr">
        <is>
          <t>Có</t>
        </is>
      </c>
      <c r="I77" s="15" t="inlineStr">
        <is>
          <t>-</t>
        </is>
      </c>
      <c r="J77" s="15" t="inlineStr">
        <is>
          <t>1. POST /api/courses/paid-demo/subscription/cancel không token</t>
        </is>
      </c>
      <c r="K77" s="15" t="inlineStr">
        <is>
          <t>-</t>
        </is>
      </c>
      <c r="L77" s="15" t="inlineStr">
        <is>
          <t>401 UNAUTHORIZED.</t>
        </is>
      </c>
      <c r="M77" s="15" t="inlineStr"/>
      <c r="N77" s="18" t="inlineStr">
        <is>
          <t>Chưa test</t>
        </is>
      </c>
      <c r="O77" s="15" t="inlineStr"/>
      <c r="P77" s="15" t="inlineStr"/>
      <c r="Q77" s="18" t="inlineStr">
        <is>
          <t>Chưa test</t>
        </is>
      </c>
      <c r="R77" s="15" t="inlineStr"/>
    </row>
    <row r="78" ht="30" customHeight="1">
      <c r="A78" s="14" t="inlineStr">
        <is>
          <t>TC-PAY-077</t>
        </is>
      </c>
      <c r="B78" s="15" t="inlineStr">
        <is>
          <t>Thanh toán &amp; Gói thành viên</t>
        </is>
      </c>
      <c r="C78" s="15" t="inlineStr">
        <is>
          <t>Hủy &amp; tiếp tục gói</t>
        </is>
      </c>
      <c r="D78" s="15" t="inlineStr">
        <is>
          <t>Hộp thoại 'Hủy gói thành viên' trên /billing có 2 lựa chọn</t>
        </is>
      </c>
      <c r="E78" s="15" t="inlineStr">
        <is>
          <t>Giao diện</t>
        </is>
      </c>
      <c r="F78" s="20" t="inlineStr">
        <is>
          <t>Trung bình</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78" s="15" t="inlineStr">
        <is>
          <t>1. Mở /billing
2. Bấm 'Hủy gói'</t>
        </is>
      </c>
      <c r="K78" s="15" t="inlineStr">
        <is>
          <t>-</t>
        </is>
      </c>
      <c r="L7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78" s="15" t="inlineStr"/>
      <c r="N78" s="18" t="inlineStr">
        <is>
          <t>Chưa test</t>
        </is>
      </c>
      <c r="O78" s="15" t="inlineStr"/>
      <c r="P78" s="15" t="inlineStr"/>
      <c r="Q78" s="18" t="inlineStr">
        <is>
          <t>Chưa test</t>
        </is>
      </c>
      <c r="R78" s="15" t="inlineStr"/>
    </row>
    <row r="79" ht="45" customHeight="1">
      <c r="A79" s="14" t="inlineStr">
        <is>
          <t>TC-PAY-078</t>
        </is>
      </c>
      <c r="B79" s="15" t="inlineStr">
        <is>
          <t>Thanh toán &amp; Gói thành viên</t>
        </is>
      </c>
      <c r="C79" s="15" t="inlineStr">
        <is>
          <t>Hủy &amp; tiếp tục gói</t>
        </is>
      </c>
      <c r="D79" s="15" t="inlineStr">
        <is>
          <t>Hủy trong thời gian dùng thử (member3 trialing) không phát sinh phí</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79" s="15" t="inlineStr">
        <is>
          <t>1. Đăng nhập member3
2. POST /api/courses/paid-demo/subscription/cancel body {"atPeriodEnd":true}
3. GET /api/me/payments</t>
        </is>
      </c>
      <c r="K79" s="15" t="inlineStr">
        <is>
          <t>-</t>
        </is>
      </c>
      <c r="L79" s="15" t="inlineStr">
        <is>
          <t>200 cancelAtPeriodEnd=true, status vẫn trialing; /me/payments không có giao dịch nào; đến hết kỳ dùng thử gói chuyển 'canceled' (scheduler), không thu tiền.</t>
        </is>
      </c>
      <c r="M79" s="15" t="inlineStr"/>
      <c r="N79" s="18" t="inlineStr">
        <is>
          <t>Chưa test</t>
        </is>
      </c>
      <c r="O79" s="15" t="inlineStr"/>
      <c r="P79" s="15" t="inlineStr"/>
      <c r="Q79" s="18" t="inlineStr">
        <is>
          <t>Chưa test</t>
        </is>
      </c>
      <c r="R79" s="15" t="inlineStr"/>
    </row>
    <row r="80" ht="30" customHeight="1">
      <c r="A80" s="14" t="inlineStr">
        <is>
          <t>TC-PAY-079</t>
        </is>
      </c>
      <c r="B80" s="15" t="inlineStr">
        <is>
          <t>Thanh toán &amp; Gói thành viên</t>
        </is>
      </c>
      <c r="C80" s="15" t="inlineStr">
        <is>
          <t>Hủy &amp; tiếp tục gói</t>
        </is>
      </c>
      <c r="D80" s="15" t="inlineStr">
        <is>
          <t>Hủy ngay khi đang dùng thử: mất quyền, không thể dùng thử lại</t>
        </is>
      </c>
      <c r="E80" s="15" t="inlineStr">
        <is>
          <t>Chức năng</t>
        </is>
      </c>
      <c r="F80" s="20" t="inlineStr">
        <is>
          <t>Trung bình</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member3 trialing. Case làm thay đổi dữ liệu seed - chạy lại npm run db:seed (hoặc dùng tài khoản/gói mới) trước khi lặp lại.</t>
        </is>
      </c>
      <c r="J80" s="15" t="inlineStr">
        <is>
          <t>1. member3 POST cancel body {"atPeriodEnd":false}
2. Sau đó POST /api/courses/paid-demo/trial</t>
        </is>
      </c>
      <c r="K80" s="15" t="inlineStr">
        <is>
          <t>-</t>
        </is>
      </c>
      <c r="L80" s="15" t="inlineStr">
        <is>
          <t>Cancel: 200 status=canceled, quyền bị thu hồi. Trial lại: 409 'Bạn đã dùng thử cộng đồng này rồi'.</t>
        </is>
      </c>
      <c r="M80" s="15" t="inlineStr"/>
      <c r="N80" s="18" t="inlineStr">
        <is>
          <t>Chưa test</t>
        </is>
      </c>
      <c r="O80" s="15" t="inlineStr"/>
      <c r="P80" s="15" t="inlineStr"/>
      <c r="Q80" s="18" t="inlineStr">
        <is>
          <t>Chưa test</t>
        </is>
      </c>
      <c r="R80" s="15" t="inlineStr"/>
    </row>
    <row r="81" ht="45" customHeight="1">
      <c r="A81" s="14" t="inlineStr">
        <is>
          <t>TC-PAY-080</t>
        </is>
      </c>
      <c r="B81" s="15" t="inlineStr">
        <is>
          <t>Thanh toán &amp; Gói thành viên</t>
        </is>
      </c>
      <c r="C81" s="15" t="inlineStr">
        <is>
          <t>Hủy &amp; tiếp tục gói</t>
        </is>
      </c>
      <c r="D81" s="15" t="inlineStr">
        <is>
          <t>Đến hạn hủy-cuối-kỳ: scheduler chuyển canceled và thu hồi quyền (member2)</t>
        </is>
      </c>
      <c r="E81" s="15" t="inlineStr">
        <is>
          <t>Tích hợp</t>
        </is>
      </c>
      <c r="F81" s="16" t="inlineStr">
        <is>
          <t>Cao</t>
        </is>
      </c>
      <c r="G81" s="17" t="inlineStr">
        <is>
          <t>Đã hoàn thiện</t>
        </is>
      </c>
      <c r="H81" s="16" t="inlineStr">
        <is>
          <t>Không</t>
        </is>
      </c>
      <c r="I81"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81" s="15" t="inlineStr">
        <is>
          <t>1. Chờ tối đa 5 phút cho scheduler
2. Đăng nhập member2, mở /billing và /courses/paid-demo/community
3. GET /api/me/payments</t>
        </is>
      </c>
      <c r="K81" s="15" t="inlineStr">
        <is>
          <t>-</t>
        </is>
      </c>
      <c r="L81" s="15" t="inlineStr">
        <is>
          <t>Gói status=canceled, enrollment member2 bị xóa; thông báo 'Gói thành viên của bạn đã hết hạn theo yêu cầu hủy.'; KHÔNG có giao dịch gia hạn mới (chỉ còn seed-pay-member2-a).</t>
        </is>
      </c>
      <c r="M81" s="15" t="inlineStr"/>
      <c r="N81" s="18" t="inlineStr">
        <is>
          <t>Chưa test</t>
        </is>
      </c>
      <c r="O81" s="15" t="inlineStr"/>
      <c r="P81" s="15" t="inlineStr"/>
      <c r="Q81" s="18" t="inlineStr">
        <is>
          <t>Chưa test</t>
        </is>
      </c>
      <c r="R81" s="15" t="inlineStr"/>
    </row>
    <row r="82" ht="45" customHeight="1">
      <c r="A82" s="14" t="inlineStr">
        <is>
          <t>TC-PAY-081</t>
        </is>
      </c>
      <c r="B82" s="15" t="inlineStr">
        <is>
          <t>Thanh toán &amp; Gói thành viên</t>
        </is>
      </c>
      <c r="C82" s="15" t="inlineStr">
        <is>
          <t>Gia hạn tự động</t>
        </is>
      </c>
      <c r="D82" s="15" t="inlineStr">
        <is>
          <t>Scheduler gia hạn gói active đến hạn: tạo giao dịch renewal + hóa đơn</t>
        </is>
      </c>
      <c r="E82" s="15" t="inlineStr">
        <is>
          <t>Tích hợp</t>
        </is>
      </c>
      <c r="F82" s="16" t="inlineStr">
        <is>
          <t>Cao</t>
        </is>
      </c>
      <c r="G82" s="17" t="inlineStr">
        <is>
          <t>Đã hoàn thiện</t>
        </is>
      </c>
      <c r="H82" s="16" t="inlineStr">
        <is>
          <t>Không</t>
        </is>
      </c>
      <c r="I82" s="15" t="inlineStr">
        <is>
          <t>Seed đã chạy (npm run db:seed) trên DB sạch; paid-demo = cộng đồng công khai $19/tháng (1900 cent), Owner: owner@sofinhub.test. Mật khẩu chung Passw0rd!x. Thành viên minh họa isDemo = demo-paid-demo-&lt;i&gt;, không đăng nhập được. member1 gói active. Sửa DB seed-sub-member1.currentPeriodEnd = now - 1 giờ. Case làm thay đổi dữ liệu seed - chạy lại npm run db:seed (hoặc dùng tài khoản/gói mới) trước khi lặp lại.</t>
        </is>
      </c>
      <c r="J82" s="15" t="inlineStr">
        <is>
          <t>1. Chờ tối đa 5 phút (processDueSubscriptions)
2. Đăng nhập member1, GET /api/me/payments
3. GET /api/courses/paid-demo/subscription</t>
        </is>
      </c>
      <c r="K82" s="15" t="inlineStr">
        <is>
          <t>kỳ gói 30 ngày (SUBSCRIPTION_PERIOD_DAYS)</t>
        </is>
      </c>
      <c r="L82" s="15" t="inlineStr">
        <is>
          <t>Có giao dịch kind=renewal status=succeeded amountCents=1900 mới với invoiceNumber; periodStart = currentPeriodEnd cũ, periodEnd = +30 ngày; gói vẫn active, quyền không gián đoạn; thông báo 'Gia hạn gói thành công' body 'Gói của bạn được gia hạn đến &lt;yyyy-mm-dd&gt;. Hóa đơn INV-…'.</t>
        </is>
      </c>
      <c r="M82" s="15" t="inlineStr"/>
      <c r="N82" s="18" t="inlineStr">
        <is>
          <t>Chưa test</t>
        </is>
      </c>
      <c r="O82" s="15" t="inlineStr"/>
      <c r="P82" s="15" t="inlineStr"/>
      <c r="Q82" s="18" t="inlineStr">
        <is>
          <t>Chưa test</t>
        </is>
      </c>
      <c r="R82" s="15" t="inlineStr"/>
    </row>
    <row r="83" ht="30" customHeight="1">
      <c r="A83" s="14" t="inlineStr">
        <is>
          <t>TC-PAY-082</t>
        </is>
      </c>
      <c r="B83" s="15" t="inlineStr">
        <is>
          <t>Thanh toán &amp; Gói thành viên</t>
        </is>
      </c>
      <c r="C83" s="15" t="inlineStr">
        <is>
          <t>Gia hạn tự động</t>
        </is>
      </c>
      <c r="D83" s="15" t="inlineStr">
        <is>
          <t>Mỗi lần chạy scheduler chỉ tiến 1 kỳ</t>
        </is>
      </c>
      <c r="E83" s="15" t="inlineStr">
        <is>
          <t>Tích hợp</t>
        </is>
      </c>
      <c r="F83" s="20" t="inlineStr">
        <is>
          <t>Trung bình</t>
        </is>
      </c>
      <c r="G83" s="17" t="inlineStr">
        <is>
          <t>Đã hoàn thiện</t>
        </is>
      </c>
      <c r="H83" s="16" t="inlineStr">
        <is>
          <t>Không</t>
        </is>
      </c>
      <c r="I83" s="15" t="inlineStr">
        <is>
          <t>Seed đã chạy (npm run db:seed) trên DB sạch; paid-demo = cộng đồng công khai $19/tháng (1900 cent), Owner: owner@sofinhub.test. Mật khẩu chung Passw0rd!x. Thành viên minh họa isDemo = demo-paid-demo-&lt;i&gt;, không đăng nhập được. Sửa DB seed-sub-member1.currentPeriodEnd = now - 70 ngày. Case làm thay đổi dữ liệu seed - chạy lại npm run db:seed (hoặc dùng tài khoản/gói mới) trước khi lặp lại.</t>
        </is>
      </c>
      <c r="J83" s="15" t="inlineStr">
        <is>
          <t>1. Chờ 1 lượt scheduler
2. GET /api/me/payments bằng member1</t>
        </is>
      </c>
      <c r="K83" s="15" t="inlineStr">
        <is>
          <t>-</t>
        </is>
      </c>
      <c r="L83" s="15" t="inlineStr">
        <is>
          <t>Sau 1 lượt chỉ thêm 1 renewal (kỳ mới bắt đầu từ currentPeriodEnd cũ); các kỳ trễ còn lại được xử lý ở lượt sau (mỗi lượt 1 kỳ) - ghi nhận hành vi thực tế của code.</t>
        </is>
      </c>
      <c r="M83" s="15" t="inlineStr"/>
      <c r="N83" s="18" t="inlineStr">
        <is>
          <t>Chưa test</t>
        </is>
      </c>
      <c r="O83" s="15" t="inlineStr"/>
      <c r="P83" s="15" t="inlineStr"/>
      <c r="Q83" s="18" t="inlineStr">
        <is>
          <t>Chưa test</t>
        </is>
      </c>
      <c r="R83" s="15" t="inlineStr"/>
    </row>
    <row r="84" ht="30" customHeight="1">
      <c r="A84" s="14" t="inlineStr">
        <is>
          <t>TC-PAY-083</t>
        </is>
      </c>
      <c r="B84" s="15" t="inlineStr">
        <is>
          <t>Thanh toán &amp; Gói thành viên</t>
        </is>
      </c>
      <c r="C84" s="15" t="inlineStr">
        <is>
          <t>Gia hạn tự động</t>
        </is>
      </c>
      <c r="D84" s="15" t="inlineStr">
        <is>
          <t>Gia hạn thất bại (thẻ từ chối): gói expired, thu hồi quyền, thông báo</t>
        </is>
      </c>
      <c r="E84" s="15" t="inlineStr">
        <is>
          <t>Tích hợp</t>
        </is>
      </c>
      <c r="F84" s="16" t="inlineStr">
        <is>
          <t>Cao</t>
        </is>
      </c>
      <c r="G84" s="17" t="inlineStr">
        <is>
          <t>Đã hoàn thiện</t>
        </is>
      </c>
      <c r="H84" s="16" t="inlineStr">
        <is>
          <t>Không</t>
        </is>
      </c>
      <c r="I84" s="15" t="inlineStr">
        <is>
          <t>Chỉ kiểm được bằng test tích hợp BE (mockGateway.failFor). Chưa làm: dunning/thử lại nhiều lần - hiện hết hạn ngay khi lần thu đầu thất bại.</t>
        </is>
      </c>
      <c r="J84" s="15" t="inlineStr">
        <is>
          <t>1. Test BE: failFor(userId) rồi gọi processDueSubscriptions(now) với gói đến hạn</t>
        </is>
      </c>
      <c r="K84" s="15" t="inlineStr">
        <is>
          <t>-</t>
        </is>
      </c>
      <c r="L84" s="15" t="inlineStr">
        <is>
          <t>Tạo giao dịch kind=renewal status=failed (không hóa đơn); gói status=expired; enrollment bị xóa; thông báo payment_failed 'Gia hạn thất bại' body 'Không thể trừ tiền gia hạn nên gói đã hết hiệu lực. Vui lòng đăng ký lại.'; kết quả renewalFailed=1.</t>
        </is>
      </c>
      <c r="M84" s="15" t="inlineStr"/>
      <c r="N84" s="18" t="inlineStr">
        <is>
          <t>Chưa test</t>
        </is>
      </c>
      <c r="O84" s="15" t="inlineStr"/>
      <c r="P84" s="15" t="inlineStr"/>
      <c r="Q84" s="18" t="inlineStr">
        <is>
          <t>Chưa test</t>
        </is>
      </c>
      <c r="R84" s="15" t="inlineStr"/>
    </row>
    <row r="85" ht="30" customHeight="1">
      <c r="A85" s="14" t="inlineStr">
        <is>
          <t>TC-PAY-084</t>
        </is>
      </c>
      <c r="B85" s="15" t="inlineStr">
        <is>
          <t>Thanh toán &amp; Gói thành viên</t>
        </is>
      </c>
      <c r="C85" s="15" t="inlineStr">
        <is>
          <t>Gia hạn tự động</t>
        </is>
      </c>
      <c r="D85" s="15" t="inlineStr">
        <is>
          <t>Thử lại thanh toán nhiều lần (dunning) khi gia hạn thất bại</t>
        </is>
      </c>
      <c r="E85" s="15" t="inlineStr">
        <is>
          <t>Chức năng</t>
        </is>
      </c>
      <c r="F85" s="16" t="inlineStr">
        <is>
          <t>Cao</t>
        </is>
      </c>
      <c r="G85" s="20" t="inlineStr">
        <is>
          <t>Kế hoạch</t>
        </is>
      </c>
      <c r="H85" s="16" t="inlineStr">
        <is>
          <t>Không</t>
        </is>
      </c>
      <c r="I85" s="15" t="inlineStr">
        <is>
          <t>Chưa làm: retry nhiều lần / email nhắc cập nhật thẻ (docs/api/payments.md mục 'Chưa làm'). Hiện hết hạn ngay.</t>
        </is>
      </c>
      <c r="J85" s="15" t="inlineStr">
        <is>
          <t>1. Để gia hạn thất bại lần đầu
2. Quan sát trong các ngày kế tiếp</t>
        </is>
      </c>
      <c r="K85" s="15" t="inlineStr">
        <is>
          <t>-</t>
        </is>
      </c>
      <c r="L85" s="15" t="inlineStr">
        <is>
          <t>Khi làm xong: hệ thống thử lại theo lịch cấu hình, chỉ khóa quyền sau X lần thất bại liên tiếp; hiện tại (chưa làm) gói expired ngay lần đầu.</t>
        </is>
      </c>
      <c r="M85" s="15" t="inlineStr"/>
      <c r="N85" s="18" t="inlineStr">
        <is>
          <t>Chưa test</t>
        </is>
      </c>
      <c r="O85" s="15" t="inlineStr"/>
      <c r="P85" s="15" t="inlineStr"/>
      <c r="Q85" s="18" t="inlineStr">
        <is>
          <t>Chưa test</t>
        </is>
      </c>
      <c r="R85" s="15" t="inlineStr"/>
    </row>
    <row r="86" ht="30" customHeight="1">
      <c r="A86" s="14" t="inlineStr">
        <is>
          <t>TC-PAY-085</t>
        </is>
      </c>
      <c r="B86" s="15" t="inlineStr">
        <is>
          <t>Thanh toán &amp; Gói thành viên</t>
        </is>
      </c>
      <c r="C86" s="15" t="inlineStr">
        <is>
          <t>Gia hạn tự động</t>
        </is>
      </c>
      <c r="D86" s="15" t="inlineStr">
        <is>
          <t>Nhắc trước khi gia hạn (email/thông báo)</t>
        </is>
      </c>
      <c r="E86" s="15" t="inlineStr">
        <is>
          <t>Tích hợp</t>
        </is>
      </c>
      <c r="F86" s="17" t="inlineStr">
        <is>
          <t>Thấp</t>
        </is>
      </c>
      <c r="G86" s="20" t="inlineStr">
        <is>
          <t>Kế hoạch</t>
        </is>
      </c>
      <c r="H86" s="16" t="inlineStr">
        <is>
          <t>Không</t>
        </is>
      </c>
      <c r="I86" s="15" t="inlineStr">
        <is>
          <t>Chưa làm: thông báo nhắc trước hạn và email giao dịch (hiện chỉ thông báo trong app khi gia hạn xong).</t>
        </is>
      </c>
      <c r="J86" s="15" t="inlineStr">
        <is>
          <t>1. Để gói còn 3 ngày đến hạn</t>
        </is>
      </c>
      <c r="K86" s="15" t="inlineStr">
        <is>
          <t>-</t>
        </is>
      </c>
      <c r="L86" s="15" t="inlineStr">
        <is>
          <t>Khi làm xong: nhận nhắc đúng thời điểm.</t>
        </is>
      </c>
      <c r="M86" s="15" t="inlineStr"/>
      <c r="N86" s="18" t="inlineStr">
        <is>
          <t>Chưa test</t>
        </is>
      </c>
      <c r="O86" s="15" t="inlineStr"/>
      <c r="P86" s="15" t="inlineStr"/>
      <c r="Q86" s="18" t="inlineStr">
        <is>
          <t>Chưa test</t>
        </is>
      </c>
      <c r="R86" s="15" t="inlineStr"/>
    </row>
    <row r="87" ht="30" customHeight="1">
      <c r="A87" s="14" t="inlineStr">
        <is>
          <t>TC-PAY-086</t>
        </is>
      </c>
      <c r="B87" s="15" t="inlineStr">
        <is>
          <t>Thanh toán &amp; Gói thành viên</t>
        </is>
      </c>
      <c r="C87" s="15" t="inlineStr">
        <is>
          <t>Gia hạn tự động</t>
        </is>
      </c>
      <c r="D87" s="15" t="inlineStr">
        <is>
          <t>Không gia hạn gói đã hủy/expired/canceled (không thu tiền nhầm)</t>
        </is>
      </c>
      <c r="E87" s="15" t="inlineStr">
        <is>
          <t>Chức năng</t>
        </is>
      </c>
      <c r="F87" s="16" t="inlineStr">
        <is>
          <t>Cao</t>
        </is>
      </c>
      <c r="G87" s="17" t="inlineStr">
        <is>
          <t>Đã hoàn thiện</t>
        </is>
      </c>
      <c r="H87" s="16" t="inlineStr">
        <is>
          <t>Không</t>
        </is>
      </c>
      <c r="I87"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87" s="15" t="inlineStr">
        <is>
          <t>1. Chờ vài lượt scheduler
2. Đếm số giao dịch của seed-sub-refunded</t>
        </is>
      </c>
      <c r="K87" s="15" t="inlineStr">
        <is>
          <t>-</t>
        </is>
      </c>
      <c r="L87" s="15" t="inlineStr">
        <is>
          <t>Không phát sinh giao dịch nào cho gói canceled (scheduler chỉ chọn gói đến hạn còn active/trialing).</t>
        </is>
      </c>
      <c r="M87" s="15" t="inlineStr"/>
      <c r="N87" s="18" t="inlineStr">
        <is>
          <t>Chưa test</t>
        </is>
      </c>
      <c r="O87" s="15" t="inlineStr"/>
      <c r="P87" s="15" t="inlineStr"/>
      <c r="Q87" s="18" t="inlineStr">
        <is>
          <t>Chưa test</t>
        </is>
      </c>
      <c r="R87" s="15" t="inlineStr"/>
    </row>
    <row r="88" ht="30" customHeight="1">
      <c r="A88" s="14" t="inlineStr">
        <is>
          <t>TC-PAY-087</t>
        </is>
      </c>
      <c r="B88" s="15" t="inlineStr">
        <is>
          <t>Thanh toán &amp; Gói thành viên</t>
        </is>
      </c>
      <c r="C88" s="15" t="inlineStr">
        <is>
          <t>Gia hạn tự động</t>
        </is>
      </c>
      <c r="D88" s="15" t="inlineStr">
        <is>
          <t>Webhook subscription.renewed ghi nhận gia hạn từ cổng</t>
        </is>
      </c>
      <c r="E88" s="15" t="inlineStr">
        <is>
          <t>Tích hợp</t>
        </is>
      </c>
      <c r="F88" s="20" t="inlineStr">
        <is>
          <t>Trung bình</t>
        </is>
      </c>
      <c r="G88" s="17" t="inlineStr">
        <is>
          <t>Đã hoàn thiện</t>
        </is>
      </c>
      <c r="H88" s="17" t="inlineStr">
        <is>
          <t>Có</t>
        </is>
      </c>
      <c r="I88"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88" s="15" t="inlineStr">
        <is>
          <t>1. Gửi webhook subscription.renewed {subscriptionId:'seed-sub-member1'} đã ký
2. GET /api/me/payments bằng member1</t>
        </is>
      </c>
      <c r="K88" s="15" t="inlineStr">
        <is>
          <t>{"id":"evt-renew-1","type":"subscription.renewed","data":{"subscriptionId":"seed-sub-member1","chargeId":"ch_qa_1"}}</t>
        </is>
      </c>
      <c r="L88" s="15" t="inlineStr">
        <is>
          <t>200 {received:true}; có thêm giao dịch renewal succeeded amountCents=1900, gatewayChargeId=ch_qa_1, periodStart = currentPeriodEnd cũ, có invoiceNumber; gói active.</t>
        </is>
      </c>
      <c r="M88" s="15" t="inlineStr"/>
      <c r="N88" s="18" t="inlineStr">
        <is>
          <t>Chưa test</t>
        </is>
      </c>
      <c r="O88" s="15" t="inlineStr"/>
      <c r="P88" s="15" t="inlineStr"/>
      <c r="Q88" s="18" t="inlineStr">
        <is>
          <t>Chưa test</t>
        </is>
      </c>
      <c r="R88" s="15" t="inlineStr"/>
    </row>
    <row r="89" ht="60" customHeight="1">
      <c r="A89" s="14" t="inlineStr">
        <is>
          <t>TC-PAY-088</t>
        </is>
      </c>
      <c r="B89" s="15" t="inlineStr">
        <is>
          <t>Thanh toán &amp; Gói thành viên</t>
        </is>
      </c>
      <c r="C89" s="15" t="inlineStr">
        <is>
          <t>Hoàn tiền</t>
        </is>
      </c>
      <c r="D89" s="15" t="inlineStr">
        <is>
          <t>newbie hoàn tiền trong 7 ngày: tự duyệt, giao dịch refunded, thu hồi quyền</t>
        </is>
      </c>
      <c r="E89" s="15" t="inlineStr">
        <is>
          <t>Chức năng</t>
        </is>
      </c>
      <c r="F89" s="16" t="inlineStr">
        <is>
          <t>Cao</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89" s="15" t="inlineStr">
        <is>
          <t>1. Đăng nhập newbie
2. POST /api/payments/&lt;paymentId&gt;/refund-request body {"reason":"Không phù hợp"}
3. GET /api/me/payments
4. GET /api/courses/paid-demo/subscription</t>
        </is>
      </c>
      <c r="K89" s="15" t="inlineStr">
        <is>
          <t>REFUND_WINDOW_DAYS=7, hoàn 100% (giá trị tạm)</t>
        </is>
      </c>
      <c r="L89" s="15" t="inlineStr">
        <is>
          <t>201 RefundRequest status=approved, auto=true, amountCents=1900; giao dịch status=refunded refundedCents=1900; gói status=canceled; enrolled=false; thông báo 'Hoàn tiền thành công' body 'Đã hoàn 19.00 USD cho giao dịch của bạn.'.</t>
        </is>
      </c>
      <c r="M89" s="15" t="inlineStr"/>
      <c r="N89" s="18" t="inlineStr">
        <is>
          <t>Chưa test</t>
        </is>
      </c>
      <c r="O89" s="15" t="inlineStr"/>
      <c r="P89" s="15" t="inlineStr"/>
      <c r="Q89" s="18" t="inlineStr">
        <is>
          <t>Chưa test</t>
        </is>
      </c>
      <c r="R89" s="15" t="inlineStr"/>
    </row>
    <row r="90" ht="30" customHeight="1">
      <c r="A90" s="14" t="inlineStr">
        <is>
          <t>TC-PAY-089</t>
        </is>
      </c>
      <c r="B90" s="15" t="inlineStr">
        <is>
          <t>Thanh toán &amp; Gói thành viên</t>
        </is>
      </c>
      <c r="C90" s="15" t="inlineStr">
        <is>
          <t>Hoàn tiền</t>
        </is>
      </c>
      <c r="D90" s="15" t="inlineStr">
        <is>
          <t>Yêu cầu hoàn tiền lần 2 cho cùng giao dịch trả 409</t>
        </is>
      </c>
      <c r="E90" s="15" t="inlineStr">
        <is>
          <t>Chức năng</t>
        </is>
      </c>
      <c r="F90" s="16" t="inlineStr">
        <is>
          <t>Cao</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90" s="15" t="inlineStr">
        <is>
          <t>1. POST refund-request lần 2 cho cùng paymentId</t>
        </is>
      </c>
      <c r="K90" s="15" t="inlineStr">
        <is>
          <t>reason='Thử lần hai'</t>
        </is>
      </c>
      <c r="L90" s="15" t="inlineStr">
        <is>
          <t>409, message 'Chỉ giao dịch đã thanh toán thành công mới được hoàn tiền' (giao dịch đã refunded).</t>
        </is>
      </c>
      <c r="M90" s="15" t="inlineStr"/>
      <c r="N90" s="18" t="inlineStr">
        <is>
          <t>Chưa test</t>
        </is>
      </c>
      <c r="O90" s="15" t="inlineStr"/>
      <c r="P90" s="15" t="inlineStr"/>
      <c r="Q90" s="18" t="inlineStr">
        <is>
          <t>Chưa test</t>
        </is>
      </c>
      <c r="R90" s="15" t="inlineStr"/>
    </row>
    <row r="91" ht="30" customHeight="1">
      <c r="A91" s="14" t="inlineStr">
        <is>
          <t>TC-PAY-090</t>
        </is>
      </c>
      <c r="B91" s="15" t="inlineStr">
        <is>
          <t>Thanh toán &amp; Gói thành viên</t>
        </is>
      </c>
      <c r="C91" s="15" t="inlineStr">
        <is>
          <t>Hoàn tiền</t>
        </is>
      </c>
      <c r="D91" s="15" t="inlineStr">
        <is>
          <t>Hoàn tiền giao dịch seed đã refunded (demo #1) trả 409</t>
        </is>
      </c>
      <c r="E91" s="15" t="inlineStr">
        <is>
          <t>Chức năng</t>
        </is>
      </c>
      <c r="F91" s="17" t="inlineStr">
        <is>
          <t>Thấp</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91" s="15" t="inlineStr">
        <is>
          <t>1. Đăng nhập member1
2. POST /api/payments/seed-pay-refunded/refund-request body {"reason":"abc"}</t>
        </is>
      </c>
      <c r="K91" s="15" t="inlineStr">
        <is>
          <t>-</t>
        </is>
      </c>
      <c r="L91" s="15" t="inlineStr">
        <is>
          <t>403 FORBIDDEN vì không phải chủ giao dịch (kiểm tra chủ đi trước trạng thái).</t>
        </is>
      </c>
      <c r="M91" s="15" t="inlineStr"/>
      <c r="N91" s="18" t="inlineStr">
        <is>
          <t>Chưa test</t>
        </is>
      </c>
      <c r="O91" s="15" t="inlineStr"/>
      <c r="P91" s="15" t="inlineStr"/>
      <c r="Q91" s="18" t="inlineStr">
        <is>
          <t>Chưa test</t>
        </is>
      </c>
      <c r="R91" s="15" t="inlineStr"/>
    </row>
    <row r="92" ht="45" customHeight="1">
      <c r="A92" s="14" t="inlineStr">
        <is>
          <t>TC-PAY-091</t>
        </is>
      </c>
      <c r="B92" s="15" t="inlineStr">
        <is>
          <t>Thanh toán &amp; Gói thành viên</t>
        </is>
      </c>
      <c r="C92" s="15" t="inlineStr">
        <is>
          <t>Hoàn tiền</t>
        </is>
      </c>
      <c r="D92" s="15" t="inlineStr">
        <is>
          <t>Ngoài cửa sổ 7 ngày: member1 yêu cầu hoàn -&gt; pending, chờ Platform Admin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92" s="15" t="inlineStr">
        <is>
          <t>1. Đăng nhập member1
2. POST /api/payments/seed-pay-member1-b/refund-request body {"reason":"Xin hoàn tiền kỳ gia hạn"}
3. GET /api/me/payments</t>
        </is>
      </c>
      <c r="K92" s="15" t="inlineStr">
        <is>
          <t>reason 22 ký tự</t>
        </is>
      </c>
      <c r="L92" s="15" t="inlineStr">
        <is>
          <t>201 RefundRequest status=pending, auto=false, amountCents=1900; giao dịch vẫn succeeded, gói vẫn active, member1 còn quyền truy cập (mốc cửa sổ tính từ LẦN THANH TOÁN ĐẦU của gói, không phải kỳ gia hạn).</t>
        </is>
      </c>
      <c r="M92" s="15" t="inlineStr"/>
      <c r="N92" s="18" t="inlineStr">
        <is>
          <t>Chưa test</t>
        </is>
      </c>
      <c r="O92" s="15" t="inlineStr"/>
      <c r="P92" s="15" t="inlineStr"/>
      <c r="Q92" s="18" t="inlineStr">
        <is>
          <t>Chưa test</t>
        </is>
      </c>
      <c r="R92" s="15" t="inlineStr"/>
    </row>
    <row r="93" ht="30" customHeight="1">
      <c r="A93" s="14" t="inlineStr">
        <is>
          <t>TC-PAY-092</t>
        </is>
      </c>
      <c r="B93" s="15" t="inlineStr">
        <is>
          <t>Thanh toán &amp; Gói thành viên</t>
        </is>
      </c>
      <c r="C93" s="15" t="inlineStr">
        <is>
          <t>Hoàn tiền</t>
        </is>
      </c>
      <c r="D93" s="15" t="inlineStr">
        <is>
          <t>member2 (thanh toán 15 ngày trước) yêu cầu hoàn -&gt; pending</t>
        </is>
      </c>
      <c r="E93" s="15" t="inlineStr">
        <is>
          <t>Chức năng</t>
        </is>
      </c>
      <c r="F93" s="20" t="inlineStr">
        <is>
          <t>Trung bình</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93" s="15" t="inlineStr">
        <is>
          <t>1. Đăng nhập member2
2. POST /api/payments/seed-pay-member2-a/refund-request body {"reason":"Hết nhu cầu"}</t>
        </is>
      </c>
      <c r="K93" s="15" t="inlineStr">
        <is>
          <t>-</t>
        </is>
      </c>
      <c r="L93" s="15" t="inlineStr">
        <is>
          <t>201 status=pending, auto=false (quá 7 ngày).</t>
        </is>
      </c>
      <c r="M93" s="15" t="inlineStr"/>
      <c r="N93" s="18" t="inlineStr">
        <is>
          <t>Chưa test</t>
        </is>
      </c>
      <c r="O93" s="15" t="inlineStr"/>
      <c r="P93" s="15" t="inlineStr"/>
      <c r="Q93" s="18" t="inlineStr">
        <is>
          <t>Chưa test</t>
        </is>
      </c>
      <c r="R93" s="15" t="inlineStr"/>
    </row>
    <row r="94" ht="60" customHeight="1">
      <c r="A94" s="14" t="inlineStr">
        <is>
          <t>TC-PAY-093</t>
        </is>
      </c>
      <c r="B94" s="15" t="inlineStr">
        <is>
          <t>Thanh toán &amp; Gói thành viên</t>
        </is>
      </c>
      <c r="C94" s="15" t="inlineStr">
        <is>
          <t>Hoàn tiền</t>
        </is>
      </c>
      <c r="D94" s="15" t="inlineStr">
        <is>
          <t>Validate lý do hoàn tiền: dưới 3 ký tự và quá 500 ký tự bị 400</t>
        </is>
      </c>
      <c r="E94" s="15" t="inlineStr">
        <is>
          <t>Chức năng</t>
        </is>
      </c>
      <c r="F94" s="20" t="inlineStr">
        <is>
          <t>Trung bình</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94" s="15" t="inlineStr">
        <is>
          <t>1. POST refund-request body {"reason":"ab"}
2. POST refund-request body {"reason":"&lt;501 ký tự 'a'&gt;"}
3. POST body {"reason":"   "}
4. POST body {}</t>
        </is>
      </c>
      <c r="K94" s="15" t="inlineStr">
        <is>
          <t>reason='ab' / 501 ký tự / khoảng trắng / thiếu</t>
        </is>
      </c>
      <c r="L94" s="15" t="inlineStr">
        <is>
          <t>Cả 4 lần: 400 VALIDATION_ERROR; lần đầu có thông điệp 'Vui lòng nhập lý do (tối thiểu 3 ký tự)'; giao dịch không đổi.</t>
        </is>
      </c>
      <c r="M94" s="15" t="inlineStr"/>
      <c r="N94" s="18" t="inlineStr">
        <is>
          <t>Chưa test</t>
        </is>
      </c>
      <c r="O94" s="15" t="inlineStr"/>
      <c r="P94" s="15" t="inlineStr"/>
      <c r="Q94" s="18" t="inlineStr">
        <is>
          <t>Chưa test</t>
        </is>
      </c>
      <c r="R94" s="15" t="inlineStr"/>
    </row>
    <row r="95" ht="30" customHeight="1">
      <c r="A95" s="14" t="inlineStr">
        <is>
          <t>TC-PAY-094</t>
        </is>
      </c>
      <c r="B95" s="15" t="inlineStr">
        <is>
          <t>Thanh toán &amp; Gói thành viên</t>
        </is>
      </c>
      <c r="C95" s="15" t="inlineStr">
        <is>
          <t>Hoàn tiền</t>
        </is>
      </c>
      <c r="D95" s="15" t="inlineStr">
        <is>
          <t>Lý do hoàn tiền đúng biên 3 ký tự và 500 ký tự được chấp nhận</t>
        </is>
      </c>
      <c r="E95" s="15" t="inlineStr">
        <is>
          <t>Chức năng</t>
        </is>
      </c>
      <c r="F95" s="17" t="inlineStr">
        <is>
          <t>Thấp</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95" s="15" t="inlineStr">
        <is>
          <t>1. Yêu cầu hoàn giao dịch 1 với reason 'abc'
2. Yêu cầu hoàn giao dịch 2 với reason 500 ký tự (kể cả tiếng Việt có dấu)</t>
        </is>
      </c>
      <c r="K95" s="15" t="inlineStr">
        <is>
          <t>3 ký tự; 500 ký tự</t>
        </is>
      </c>
      <c r="L95" s="15" t="inlineStr">
        <is>
          <t>Cả hai 201 (trong cửa sổ -&gt; approved auto).</t>
        </is>
      </c>
      <c r="M95" s="15" t="inlineStr"/>
      <c r="N95" s="18" t="inlineStr">
        <is>
          <t>Chưa test</t>
        </is>
      </c>
      <c r="O95" s="15" t="inlineStr"/>
      <c r="P95" s="15" t="inlineStr"/>
      <c r="Q95" s="18" t="inlineStr">
        <is>
          <t>Chưa test</t>
        </is>
      </c>
      <c r="R95" s="15" t="inlineStr"/>
    </row>
    <row r="96" ht="30" customHeight="1">
      <c r="A96" s="14" t="inlineStr">
        <is>
          <t>TC-PAY-095</t>
        </is>
      </c>
      <c r="B96" s="15" t="inlineStr">
        <is>
          <t>Thanh toán &amp; Gói thành viên</t>
        </is>
      </c>
      <c r="C96" s="15" t="inlineStr">
        <is>
          <t>Hoàn tiền</t>
        </is>
      </c>
      <c r="D96" s="15" t="inlineStr">
        <is>
          <t>Hoàn tiền giao dịch của người khác bị 403 (IDOR)</t>
        </is>
      </c>
      <c r="E96" s="15" t="inlineStr">
        <is>
          <t>Bảo mật</t>
        </is>
      </c>
      <c r="F96" s="16" t="inlineStr">
        <is>
          <t>Cao</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96" s="15" t="inlineStr">
        <is>
          <t>1. Đăng nhập member2
2. POST /api/payments/seed-pay-member1-a/refund-request body {"reason":"thử IDOR"}</t>
        </is>
      </c>
      <c r="K96" s="15" t="inlineStr">
        <is>
          <t>-</t>
        </is>
      </c>
      <c r="L96" s="15" t="inlineStr">
        <is>
          <t>403 FORBIDDEN; không tạo RefundRequest.</t>
        </is>
      </c>
      <c r="M96" s="15" t="inlineStr"/>
      <c r="N96" s="18" t="inlineStr">
        <is>
          <t>Chưa test</t>
        </is>
      </c>
      <c r="O96" s="15" t="inlineStr"/>
      <c r="P96" s="15" t="inlineStr"/>
      <c r="Q96" s="18" t="inlineStr">
        <is>
          <t>Chưa test</t>
        </is>
      </c>
      <c r="R96" s="15" t="inlineStr"/>
    </row>
    <row r="97" ht="30" customHeight="1">
      <c r="A97" s="14" t="inlineStr">
        <is>
          <t>TC-PAY-096</t>
        </is>
      </c>
      <c r="B97" s="15" t="inlineStr">
        <is>
          <t>Thanh toán &amp; Gói thành viên</t>
        </is>
      </c>
      <c r="C97" s="15" t="inlineStr">
        <is>
          <t>Hoàn tiền</t>
        </is>
      </c>
      <c r="D97" s="15" t="inlineStr">
        <is>
          <t>Hoàn tiền giao dịch chưa thanh toán (pending) bị 409</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97" s="15" t="inlineStr">
        <is>
          <t>1. POST /api/payments/&lt;pendingId&gt;/refund-request body {"reason":"thử"}</t>
        </is>
      </c>
      <c r="K97" s="15" t="inlineStr">
        <is>
          <t>-</t>
        </is>
      </c>
      <c r="L97" s="15" t="inlineStr">
        <is>
          <t>409, message 'Chỉ giao dịch đã thanh toán thành công mới được hoàn tiền'.</t>
        </is>
      </c>
      <c r="M97" s="15" t="inlineStr"/>
      <c r="N97" s="18" t="inlineStr">
        <is>
          <t>Chưa test</t>
        </is>
      </c>
      <c r="O97" s="15" t="inlineStr"/>
      <c r="P97" s="15" t="inlineStr"/>
      <c r="Q97" s="18" t="inlineStr">
        <is>
          <t>Chưa test</t>
        </is>
      </c>
      <c r="R97" s="15" t="inlineStr"/>
    </row>
    <row r="98" ht="30" customHeight="1">
      <c r="A98" s="14" t="inlineStr">
        <is>
          <t>TC-PAY-097</t>
        </is>
      </c>
      <c r="B98" s="15" t="inlineStr">
        <is>
          <t>Thanh toán &amp; Gói thành viên</t>
        </is>
      </c>
      <c r="C98" s="15" t="inlineStr">
        <is>
          <t>Hoàn tiền</t>
        </is>
      </c>
      <c r="D98" s="15" t="inlineStr">
        <is>
          <t>Hai yêu cầu hoàn tiền song song chỉ tạo một</t>
        </is>
      </c>
      <c r="E98" s="15" t="inlineStr">
        <is>
          <t>Chức năng</t>
        </is>
      </c>
      <c r="F98" s="20" t="inlineStr">
        <is>
          <t>Trung bình</t>
        </is>
      </c>
      <c r="G98" s="17" t="inlineStr">
        <is>
          <t>Đã hoàn thiện</t>
        </is>
      </c>
      <c r="H98" s="20" t="inlineStr">
        <is>
          <t>Một phần</t>
        </is>
      </c>
      <c r="I98"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98" s="15" t="inlineStr">
        <is>
          <t>1. Member1 gửi đồng thời 2 POST refund-request cho seed-pay-member1-b</t>
        </is>
      </c>
      <c r="K98" s="15" t="inlineStr">
        <is>
          <t>2 request song song</t>
        </is>
      </c>
      <c r="L98" s="15" t="inlineStr">
        <is>
          <t>Một request 201, request còn lại 409 'Giao dịch này đã có yêu cầu hoàn tiền'; /admin/refunds chỉ có 1 yêu cầu mới.</t>
        </is>
      </c>
      <c r="M98" s="15" t="inlineStr"/>
      <c r="N98" s="18" t="inlineStr">
        <is>
          <t>Chưa test</t>
        </is>
      </c>
      <c r="O98" s="15" t="inlineStr"/>
      <c r="P98" s="15" t="inlineStr"/>
      <c r="Q98" s="18" t="inlineStr">
        <is>
          <t>Chưa test</t>
        </is>
      </c>
      <c r="R98" s="15" t="inlineStr"/>
    </row>
    <row r="99" ht="30" customHeight="1">
      <c r="A99" s="14" t="inlineStr">
        <is>
          <t>TC-PAY-098</t>
        </is>
      </c>
      <c r="B99" s="15" t="inlineStr">
        <is>
          <t>Thanh toán &amp; Gói thành viên</t>
        </is>
      </c>
      <c r="C99" s="15" t="inlineStr">
        <is>
          <t>Hoàn tiền</t>
        </is>
      </c>
      <c r="D99" s="15" t="inlineStr">
        <is>
          <t>Danh sách /admin/refunds?status=pending chứa yêu cầu seed của demo #2</t>
        </is>
      </c>
      <c r="E99" s="15" t="inlineStr">
        <is>
          <t>Chức năng</t>
        </is>
      </c>
      <c r="F99" s="16" t="inlineStr">
        <is>
          <t>Cao</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99" s="15" t="inlineStr">
        <is>
          <t>1. GET /api/admin/refunds?status=pending</t>
        </is>
      </c>
      <c r="K99" s="15" t="inlineStr">
        <is>
          <t>-</t>
        </is>
      </c>
      <c r="L99" s="15" t="inlineStr">
        <is>
          <t>200 {data,meta}: có seed-refund-pending (paymentId=seed-pay-pendref, userId=demo-paid-demo-2, amountCents=1900, reason 'Xin hoàn tiền sau 12 ngày — ngoài cửa sổ 7 ngày (seed)', auto=false).</t>
        </is>
      </c>
      <c r="M99" s="15" t="inlineStr"/>
      <c r="N99" s="18" t="inlineStr">
        <is>
          <t>Chưa test</t>
        </is>
      </c>
      <c r="O99" s="15" t="inlineStr"/>
      <c r="P99" s="15" t="inlineStr"/>
      <c r="Q99" s="18" t="inlineStr">
        <is>
          <t>Chưa test</t>
        </is>
      </c>
      <c r="R99" s="15" t="inlineStr"/>
    </row>
    <row r="100" ht="30" customHeight="1">
      <c r="A100" s="14" t="inlineStr">
        <is>
          <t>TC-PAY-099</t>
        </is>
      </c>
      <c r="B100" s="15" t="inlineStr">
        <is>
          <t>Thanh toán &amp; Gói thành viên</t>
        </is>
      </c>
      <c r="C100" s="15" t="inlineStr">
        <is>
          <t>Hoàn tiền</t>
        </is>
      </c>
      <c r="D100" s="15" t="inlineStr">
        <is>
          <t>Danh sách /admin/refunds?status=approved chứa bản ghi tự duyệt demo #1</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00" s="15" t="inlineStr">
        <is>
          <t>1. GET /api/admin/refunds?status=approved</t>
        </is>
      </c>
      <c r="K100" s="15" t="inlineStr">
        <is>
          <t>-</t>
        </is>
      </c>
      <c r="L100" s="15" t="inlineStr">
        <is>
          <t>Có seed-refund-approved (paymentId=seed-pay-refunded, auto=true, amountCents=1900, reason 'Không phù hợp nhu cầu (seed)').</t>
        </is>
      </c>
      <c r="M100" s="15" t="inlineStr"/>
      <c r="N100" s="18" t="inlineStr">
        <is>
          <t>Chưa test</t>
        </is>
      </c>
      <c r="O100" s="15" t="inlineStr"/>
      <c r="P100" s="15" t="inlineStr"/>
      <c r="Q100" s="18" t="inlineStr">
        <is>
          <t>Chưa test</t>
        </is>
      </c>
      <c r="R100" s="15" t="inlineStr"/>
    </row>
    <row r="101" ht="30" customHeight="1">
      <c r="A101" s="14" t="inlineStr">
        <is>
          <t>TC-PAY-100</t>
        </is>
      </c>
      <c r="B101" s="15" t="inlineStr">
        <is>
          <t>Thanh toán &amp; Gói thành viên</t>
        </is>
      </c>
      <c r="C101" s="15" t="inlineStr">
        <is>
          <t>Hoàn tiền</t>
        </is>
      </c>
      <c r="D101" s="15" t="inlineStr">
        <is>
          <t>Platform Admin duyệt yêu cầu pending của demo #2</t>
        </is>
      </c>
      <c r="E101" s="15" t="inlineStr">
        <is>
          <t>Chức năng</t>
        </is>
      </c>
      <c r="F101" s="16" t="inlineStr">
        <is>
          <t>Cao</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01" s="15" t="inlineStr">
        <is>
          <t>1. PATCH /api/admin/refunds/seed-refund-pending body {"action":"approve","note":"OK"}
2. GET /api/courses/paid-demo/revenue bằng owner</t>
        </is>
      </c>
      <c r="K101" s="15" t="inlineStr">
        <is>
          <t>note='OK'</t>
        </is>
      </c>
      <c r="L101"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101" s="15" t="inlineStr"/>
      <c r="N101" s="18" t="inlineStr">
        <is>
          <t>Chưa test</t>
        </is>
      </c>
      <c r="O101" s="15" t="inlineStr"/>
      <c r="P101" s="15" t="inlineStr"/>
      <c r="Q101" s="18" t="inlineStr">
        <is>
          <t>Chưa test</t>
        </is>
      </c>
      <c r="R101" s="15" t="inlineStr"/>
    </row>
    <row r="102" ht="30" customHeight="1">
      <c r="A102" s="14" t="inlineStr">
        <is>
          <t>TC-PAY-101</t>
        </is>
      </c>
      <c r="B102" s="15" t="inlineStr">
        <is>
          <t>Thanh toán &amp; Gói thành viên</t>
        </is>
      </c>
      <c r="C102" s="15" t="inlineStr">
        <is>
          <t>Hoàn tiền</t>
        </is>
      </c>
      <c r="D102" s="15" t="inlineStr">
        <is>
          <t>Platform Admin từ chối yêu cầu hoàn tiền kèm ghi chú</t>
        </is>
      </c>
      <c r="E102" s="15" t="inlineStr">
        <is>
          <t>Chức năng</t>
        </is>
      </c>
      <c r="F102" s="16" t="inlineStr">
        <is>
          <t>Cao</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102" s="15" t="inlineStr">
        <is>
          <t>1. PATCH /api/admin/refunds/seed-refund-pending body {"action":"reject","note":"Quá thời hạn"}
2. GET /api/admin/refunds?status=rejected</t>
        </is>
      </c>
      <c r="K102" s="15" t="inlineStr">
        <is>
          <t>note='Quá thời hạn'</t>
        </is>
      </c>
      <c r="L102" s="15" t="inlineStr">
        <is>
          <t>200 status=rejected, resolvedBy=admin; giao dịch seed-pay-pendref vẫn succeeded, gói vẫn active; người mua nhận thông báo 'Yêu cầu hoàn tiền bị từ chối' body 'Lý do: Quá thời hạn'.</t>
        </is>
      </c>
      <c r="M102" s="15" t="inlineStr"/>
      <c r="N102" s="18" t="inlineStr">
        <is>
          <t>Chưa test</t>
        </is>
      </c>
      <c r="O102" s="15" t="inlineStr"/>
      <c r="P102" s="15" t="inlineStr"/>
      <c r="Q102" s="18" t="inlineStr">
        <is>
          <t>Chưa test</t>
        </is>
      </c>
      <c r="R102" s="15" t="inlineStr"/>
    </row>
    <row r="103" ht="30" customHeight="1">
      <c r="A103" s="14" t="inlineStr">
        <is>
          <t>TC-PAY-102</t>
        </is>
      </c>
      <c r="B103" s="15" t="inlineStr">
        <is>
          <t>Thanh toán &amp; Gói thành viên</t>
        </is>
      </c>
      <c r="C103" s="15" t="inlineStr">
        <is>
          <t>Hoàn tiền</t>
        </is>
      </c>
      <c r="D103" s="15" t="inlineStr">
        <is>
          <t>Xử lý lại yêu cầu đã xử lý trả 409</t>
        </is>
      </c>
      <c r="E103" s="15" t="inlineStr">
        <is>
          <t>Chức năng</t>
        </is>
      </c>
      <c r="F103" s="20" t="inlineStr">
        <is>
          <t>Trung bình</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03" s="15" t="inlineStr">
        <is>
          <t>1. PATCH /api/admin/refunds/seed-refund-approved body {"action":"approve"}</t>
        </is>
      </c>
      <c r="K103" s="15" t="inlineStr">
        <is>
          <t>-</t>
        </is>
      </c>
      <c r="L103" s="15" t="inlineStr">
        <is>
          <t>409 CONFLICT, message 'Yêu cầu này đã được xử lý'.</t>
        </is>
      </c>
      <c r="M103" s="15" t="inlineStr"/>
      <c r="N103" s="18" t="inlineStr">
        <is>
          <t>Chưa test</t>
        </is>
      </c>
      <c r="O103" s="15" t="inlineStr"/>
      <c r="P103" s="15" t="inlineStr"/>
      <c r="Q103" s="18" t="inlineStr">
        <is>
          <t>Chưa test</t>
        </is>
      </c>
      <c r="R103" s="15" t="inlineStr"/>
    </row>
    <row r="104" ht="30" customHeight="1">
      <c r="A104" s="14" t="inlineStr">
        <is>
          <t>TC-PAY-103</t>
        </is>
      </c>
      <c r="B104" s="15" t="inlineStr">
        <is>
          <t>Thanh toán &amp; Gói thành viên</t>
        </is>
      </c>
      <c r="C104" s="15" t="inlineStr">
        <is>
          <t>Hoàn tiền</t>
        </is>
      </c>
      <c r="D104" s="15" t="inlineStr">
        <is>
          <t>PATCH refund với action sai hoặc id không tồn tại</t>
        </is>
      </c>
      <c r="E104" s="15" t="inlineStr">
        <is>
          <t>Chức năng</t>
        </is>
      </c>
      <c r="F104" s="17" t="inlineStr">
        <is>
          <t>Thấp</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04" s="15" t="inlineStr">
        <is>
          <t>1. PATCH /api/admin/refunds/seed-refund-pending body {"action":"xoa"}
2. PATCH /api/admin/refunds/khong-co body {"action":"approve"}</t>
        </is>
      </c>
      <c r="K104" s="15" t="inlineStr">
        <is>
          <t>-</t>
        </is>
      </c>
      <c r="L104" s="15" t="inlineStr">
        <is>
          <t>Lần 1: 400 VALIDATION_ERROR. Lần 2: 404 'Không tìm thấy yêu cầu hoàn tiền'.</t>
        </is>
      </c>
      <c r="M104" s="15" t="inlineStr"/>
      <c r="N104" s="18" t="inlineStr">
        <is>
          <t>Chưa test</t>
        </is>
      </c>
      <c r="O104" s="15" t="inlineStr"/>
      <c r="P104" s="15" t="inlineStr"/>
      <c r="Q104" s="18" t="inlineStr">
        <is>
          <t>Chưa test</t>
        </is>
      </c>
      <c r="R104" s="15" t="inlineStr"/>
    </row>
    <row r="105" ht="30" customHeight="1">
      <c r="A105" s="14" t="inlineStr">
        <is>
          <t>TC-PAY-104</t>
        </is>
      </c>
      <c r="B105" s="15" t="inlineStr">
        <is>
          <t>Thanh toán &amp; Gói thành viên</t>
        </is>
      </c>
      <c r="C105" s="15" t="inlineStr">
        <is>
          <t>Hoàn tiền</t>
        </is>
      </c>
      <c r="D105" s="15" t="inlineStr">
        <is>
          <t>owner (không phải Platform Admin) gọi các API /admin/refunds bị 403</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105" s="15" t="inlineStr">
        <is>
          <t>1. GET /api/admin/refunds
2. PATCH /api/admin/refunds/seed-refund-pending body {"action":"approve"}</t>
        </is>
      </c>
      <c r="K105" s="15" t="inlineStr">
        <is>
          <t>-</t>
        </is>
      </c>
      <c r="L105" s="15" t="inlineStr">
        <is>
          <t>Cả hai 403 FORBIDDEN; seed-refund-pending vẫn pending. (Owner cộng đồng KHÔNG có quyền duyệt hoàn tiền - chỉ Platform Admin.)</t>
        </is>
      </c>
      <c r="M105" s="15" t="inlineStr"/>
      <c r="N105" s="18" t="inlineStr">
        <is>
          <t>Chưa test</t>
        </is>
      </c>
      <c r="O105" s="15" t="inlineStr"/>
      <c r="P105" s="15" t="inlineStr"/>
      <c r="Q105" s="18" t="inlineStr">
        <is>
          <t>Chưa test</t>
        </is>
      </c>
      <c r="R105" s="15" t="inlineStr"/>
    </row>
    <row r="106" ht="30" customHeight="1">
      <c r="A106" s="14" t="inlineStr">
        <is>
          <t>TC-PAY-105</t>
        </is>
      </c>
      <c r="B106" s="15" t="inlineStr">
        <is>
          <t>Thanh toán &amp; Gói thành viên</t>
        </is>
      </c>
      <c r="C106" s="15" t="inlineStr">
        <is>
          <t>Hoàn tiền</t>
        </is>
      </c>
      <c r="D106" s="15" t="inlineStr">
        <is>
          <t>cadmin (không phải Platform Admin) gọi các API /admin/refunds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GET /api/admin/refunds
2. PATCH /api/admin/refunds/seed-refund-pending body {"action":"approve"}</t>
        </is>
      </c>
      <c r="K106" s="15" t="inlineStr">
        <is>
          <t>-</t>
        </is>
      </c>
      <c r="L106" s="15" t="inlineStr">
        <is>
          <t>Cả hai 403 FORBIDDEN; seed-refund-pending vẫn pending. (Owner cộng đồng KHÔNG có quyền duyệt hoàn tiền - chỉ Platform Admin.)</t>
        </is>
      </c>
      <c r="M106" s="15" t="inlineStr"/>
      <c r="N106" s="18" t="inlineStr">
        <is>
          <t>Chưa test</t>
        </is>
      </c>
      <c r="O106" s="15" t="inlineStr"/>
      <c r="P106" s="15" t="inlineStr"/>
      <c r="Q106" s="18" t="inlineStr">
        <is>
          <t>Chưa test</t>
        </is>
      </c>
      <c r="R106" s="15" t="inlineStr"/>
    </row>
    <row r="107" ht="30" customHeight="1">
      <c r="A107" s="14" t="inlineStr">
        <is>
          <t>TC-PAY-106</t>
        </is>
      </c>
      <c r="B107" s="15" t="inlineStr">
        <is>
          <t>Thanh toán &amp; Gói thành viên</t>
        </is>
      </c>
      <c r="C107" s="15" t="inlineStr">
        <is>
          <t>Hoàn tiền</t>
        </is>
      </c>
      <c r="D107" s="15" t="inlineStr">
        <is>
          <t>member1 (không phải Platform Admin) gọi các API /admin/refunds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7" s="15" t="inlineStr">
        <is>
          <t>1. GET /api/admin/refunds
2. PATCH /api/admin/refunds/seed-refund-pending body {"action":"approve"}</t>
        </is>
      </c>
      <c r="K107" s="15" t="inlineStr">
        <is>
          <t>-</t>
        </is>
      </c>
      <c r="L107" s="15" t="inlineStr">
        <is>
          <t>Cả hai 403 FORBIDDEN; seed-refund-pending vẫn pending. (Owner cộng đồng KHÔNG có quyền duyệt hoàn tiền - chỉ Platform Admin.)</t>
        </is>
      </c>
      <c r="M107" s="15" t="inlineStr"/>
      <c r="N107" s="18" t="inlineStr">
        <is>
          <t>Chưa test</t>
        </is>
      </c>
      <c r="O107" s="15" t="inlineStr"/>
      <c r="P107" s="15" t="inlineStr"/>
      <c r="Q107" s="18" t="inlineStr">
        <is>
          <t>Chưa test</t>
        </is>
      </c>
      <c r="R107" s="15" t="inlineStr"/>
    </row>
    <row r="108" ht="30" customHeight="1">
      <c r="A108" s="14" t="inlineStr">
        <is>
          <t>TC-PAY-107</t>
        </is>
      </c>
      <c r="B108" s="15" t="inlineStr">
        <is>
          <t>Thanh toán &amp; Gói thành viên</t>
        </is>
      </c>
      <c r="C108" s="15" t="inlineStr">
        <is>
          <t>Hoàn tiền</t>
        </is>
      </c>
      <c r="D108" s="15" t="inlineStr">
        <is>
          <t>Guest gọi /admin/refunds trả 401</t>
        </is>
      </c>
      <c r="E108" s="15" t="inlineStr">
        <is>
          <t>Bảo mật</t>
        </is>
      </c>
      <c r="F108" s="20" t="inlineStr">
        <is>
          <t>Trung bình</t>
        </is>
      </c>
      <c r="G108" s="17" t="inlineStr">
        <is>
          <t>Đã hoàn thiện</t>
        </is>
      </c>
      <c r="H108" s="17" t="inlineStr">
        <is>
          <t>Có</t>
        </is>
      </c>
      <c r="I108" s="15" t="inlineStr">
        <is>
          <t>Guest.</t>
        </is>
      </c>
      <c r="J108" s="15" t="inlineStr">
        <is>
          <t>1. GET /api/admin/refunds không token</t>
        </is>
      </c>
      <c r="K108" s="15" t="inlineStr">
        <is>
          <t>-</t>
        </is>
      </c>
      <c r="L108" s="15" t="inlineStr">
        <is>
          <t>401 UNAUTHORIZED.</t>
        </is>
      </c>
      <c r="M108" s="15" t="inlineStr"/>
      <c r="N108" s="18" t="inlineStr">
        <is>
          <t>Chưa test</t>
        </is>
      </c>
      <c r="O108" s="15" t="inlineStr"/>
      <c r="P108" s="15" t="inlineStr"/>
      <c r="Q108" s="18" t="inlineStr">
        <is>
          <t>Chưa test</t>
        </is>
      </c>
      <c r="R108" s="15" t="inlineStr"/>
    </row>
    <row r="109" ht="60" customHeight="1">
      <c r="A109" s="14" t="inlineStr">
        <is>
          <t>TC-PAY-108</t>
        </is>
      </c>
      <c r="B109" s="15" t="inlineStr">
        <is>
          <t>Thanh toán &amp; Gói thành viên</t>
        </is>
      </c>
      <c r="C109" s="15" t="inlineStr">
        <is>
          <t>Hoàn tiền</t>
        </is>
      </c>
      <c r="D109" s="15" t="inlineStr">
        <is>
          <t>Lọc và phân trang /admin/refunds: status sai và limit vượt 100</t>
        </is>
      </c>
      <c r="E109" s="15" t="inlineStr">
        <is>
          <t>Chức năng</t>
        </is>
      </c>
      <c r="F109" s="17" t="inlineStr">
        <is>
          <t>Thấp</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09" s="15" t="inlineStr">
        <is>
          <t>1. GET /api/admin/refunds?status=abc
2. GET /api/admin/refunds?limit=101
3. GET /api/admin/refunds?page=0
4. GET /api/admin/refunds?page=1&amp;limit=1</t>
        </is>
      </c>
      <c r="K109" s="15" t="inlineStr">
        <is>
          <t>-</t>
        </is>
      </c>
      <c r="L109" s="15" t="inlineStr">
        <is>
          <t>3 lần đầu 400 VALIDATION_ERROR; lần 4 200 với meta {page:1,limit:1,total&gt;=2,totalPages&gt;=2}.</t>
        </is>
      </c>
      <c r="M109" s="15" t="inlineStr"/>
      <c r="N109" s="18" t="inlineStr">
        <is>
          <t>Chưa test</t>
        </is>
      </c>
      <c r="O109" s="15" t="inlineStr"/>
      <c r="P109" s="15" t="inlineStr"/>
      <c r="Q109" s="18" t="inlineStr">
        <is>
          <t>Chưa test</t>
        </is>
      </c>
      <c r="R109" s="15" t="inlineStr"/>
    </row>
    <row r="110" ht="30" customHeight="1">
      <c r="A110" s="14" t="inlineStr">
        <is>
          <t>TC-PAY-109</t>
        </is>
      </c>
      <c r="B110" s="15" t="inlineStr">
        <is>
          <t>Thanh toán &amp; Gói thành viên</t>
        </is>
      </c>
      <c r="C110" s="15" t="inlineStr">
        <is>
          <t>Hoàn tiền</t>
        </is>
      </c>
      <c r="D110" s="15" t="inlineStr">
        <is>
          <t>Hoàn tiền một phần (partial refund)</t>
        </is>
      </c>
      <c r="E110" s="15" t="inlineStr">
        <is>
          <t>Chức năng</t>
        </is>
      </c>
      <c r="F110" s="20" t="inlineStr">
        <is>
          <t>Trung bình</t>
        </is>
      </c>
      <c r="G110" s="20" t="inlineStr">
        <is>
          <t>Kế hoạch</t>
        </is>
      </c>
      <c r="H110" s="16" t="inlineStr">
        <is>
          <t>Không</t>
        </is>
      </c>
      <c r="I110" s="15" t="inlineStr">
        <is>
          <t>Chưa làm: chỉ hoàn 100% (docs/api/payments.md 'Giới hạn hiện tại').</t>
        </is>
      </c>
      <c r="J110" s="15" t="inlineStr">
        <is>
          <t>1. Yêu cầu hoàn một phần số tiền</t>
        </is>
      </c>
      <c r="K110" s="15" t="inlineStr">
        <is>
          <t>-</t>
        </is>
      </c>
      <c r="L110" s="15" t="inlineStr">
        <is>
          <t>Khi làm xong: cho nhập số tiền hoàn &lt;= số đã trả; hiện tại luôn hoàn đủ 1900.</t>
        </is>
      </c>
      <c r="M110" s="15" t="inlineStr"/>
      <c r="N110" s="18" t="inlineStr">
        <is>
          <t>Chưa test</t>
        </is>
      </c>
      <c r="O110" s="15" t="inlineStr"/>
      <c r="P110" s="15" t="inlineStr"/>
      <c r="Q110" s="18" t="inlineStr">
        <is>
          <t>Chưa test</t>
        </is>
      </c>
      <c r="R110" s="15" t="inlineStr"/>
    </row>
    <row r="111" ht="60" customHeight="1">
      <c r="A111" s="14" t="inlineStr">
        <is>
          <t>TC-PAY-110</t>
        </is>
      </c>
      <c r="B111" s="15" t="inlineStr">
        <is>
          <t>Thanh toán &amp; Gói thành viên</t>
        </is>
      </c>
      <c r="C111" s="15" t="inlineStr">
        <is>
          <t>Hoàn tiền</t>
        </is>
      </c>
      <c r="D111" s="15" t="inlineStr">
        <is>
          <t>Trang Quản trị -&gt; tab Hoàn tiền: lọc, duyệt, từ chối trên UI</t>
        </is>
      </c>
      <c r="E111" s="15" t="inlineStr">
        <is>
          <t>Giao diện</t>
        </is>
      </c>
      <c r="F111" s="20" t="inlineStr">
        <is>
          <t>Trung bình</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1" s="15" t="inlineStr">
        <is>
          <t>1. Mở /admin, tab Hoàn tiền
2. Lọc 'Chờ duyệt'
3. Bấm 'Duyệt hoàn tiền' trên yêu cầu của demo #2 (nhập ghi chú tùy chọn)
4. Bấm lần nữa/tải lại và thử xử lý lại</t>
        </is>
      </c>
      <c r="K111" s="15" t="inlineStr">
        <is>
          <t>-</t>
        </is>
      </c>
      <c r="L111" s="15" t="inlineStr">
        <is>
          <t>Bộ lọc Chờ duyệt/Đã duyệt/Từ chối/Tất cả; sau duyệt yêu cầu biến khỏi 'Chờ duyệt'; thử xử lý lại hiển thị lỗi 409 'Yêu cầu này đã được xử lý' trong hộp thoại.</t>
        </is>
      </c>
      <c r="M111" s="15" t="inlineStr"/>
      <c r="N111" s="18" t="inlineStr">
        <is>
          <t>Chưa test</t>
        </is>
      </c>
      <c r="O111" s="15" t="inlineStr"/>
      <c r="P111" s="15" t="inlineStr"/>
      <c r="Q111" s="18" t="inlineStr">
        <is>
          <t>Chưa test</t>
        </is>
      </c>
      <c r="R111" s="15" t="inlineStr"/>
    </row>
    <row r="112" ht="30" customHeight="1">
      <c r="A112" s="14" t="inlineStr">
        <is>
          <t>TC-PAY-111</t>
        </is>
      </c>
      <c r="B112" s="15" t="inlineStr">
        <is>
          <t>Thanh toán &amp; Gói thành viên</t>
        </is>
      </c>
      <c r="C112" s="15" t="inlineStr">
        <is>
          <t>Hoàn tiền</t>
        </is>
      </c>
      <c r="D112" s="15" t="inlineStr">
        <is>
          <t>Tài khoản thường mở /admin thấy thông báo không có quyền</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12" s="15" t="inlineStr">
        <is>
          <t>1. Mở /admin</t>
        </is>
      </c>
      <c r="K112" s="15" t="inlineStr">
        <is>
          <t>-</t>
        </is>
      </c>
      <c r="L112" s="15" t="inlineStr">
        <is>
          <t>Hiển thị 'Bạn không có quyền truy cập khu vực quản trị.'; menu avatar không có mục Quản trị.</t>
        </is>
      </c>
      <c r="M112" s="15" t="inlineStr"/>
      <c r="N112" s="18" t="inlineStr">
        <is>
          <t>Chưa test</t>
        </is>
      </c>
      <c r="O112" s="15" t="inlineStr"/>
      <c r="P112" s="15" t="inlineStr"/>
      <c r="Q112" s="18" t="inlineStr">
        <is>
          <t>Chưa test</t>
        </is>
      </c>
      <c r="R112" s="15" t="inlineStr"/>
    </row>
    <row r="113" ht="30" customHeight="1">
      <c r="A113" s="14" t="inlineStr">
        <is>
          <t>TC-PAY-112</t>
        </is>
      </c>
      <c r="B113" s="15" t="inlineStr">
        <is>
          <t>Thanh toán &amp; Gói thành viên</t>
        </is>
      </c>
      <c r="C113" s="15" t="inlineStr">
        <is>
          <t>Hóa đơn</t>
        </is>
      </c>
      <c r="D113" s="15" t="inlineStr">
        <is>
          <t>Số hóa đơn có định dạng INV-YYYY-nnnnnn và duy nhất</t>
        </is>
      </c>
      <c r="E113" s="15" t="inlineStr">
        <is>
          <t>Chức năng</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113" s="15" t="inlineStr">
        <is>
          <t>1. Lấy invoice của seed-pay-member1-a, seed-pay-member1-b, seed-pay-member2-a: GET /api/payments/&lt;id&gt;/invoice
2. So sánh invoiceNumber</t>
        </is>
      </c>
      <c r="K113" s="15" t="inlineStr">
        <is>
          <t>3 giao dịch seed</t>
        </is>
      </c>
      <c r="L113" s="15" t="inlineStr">
        <is>
          <t>Mỗi invoiceNumber khớp /^INV-\d{4}-\d{6}$/ (năm = năm của confirmedAt), đôi một khác nhau; số cấp tuần tự theo thứ tự thời gian confirmedAt (seed cấp cho giao dịch cũ nhất số nhỏ nhất).</t>
        </is>
      </c>
      <c r="M113" s="15" t="inlineStr"/>
      <c r="N113" s="18" t="inlineStr">
        <is>
          <t>Chưa test</t>
        </is>
      </c>
      <c r="O113" s="15" t="inlineStr"/>
      <c r="P113" s="15" t="inlineStr"/>
      <c r="Q113" s="18" t="inlineStr">
        <is>
          <t>Chưa test</t>
        </is>
      </c>
      <c r="R113" s="15" t="inlineStr"/>
    </row>
    <row r="114" ht="30" customHeight="1">
      <c r="A114" s="14" t="inlineStr">
        <is>
          <t>TC-PAY-113</t>
        </is>
      </c>
      <c r="B114" s="15" t="inlineStr">
        <is>
          <t>Thanh toán &amp; Gói thành viên</t>
        </is>
      </c>
      <c r="C114" s="15" t="inlineStr">
        <is>
          <t>Hóa đơn</t>
        </is>
      </c>
      <c r="D114" s="15" t="inlineStr">
        <is>
          <t>member1 xem hóa đơn của chính mình: đúng nội dung</t>
        </is>
      </c>
      <c r="E114" s="15" t="inlineStr">
        <is>
          <t>Chức năng</t>
        </is>
      </c>
      <c r="F114" s="16" t="inlineStr">
        <is>
          <t>Cao</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14" s="15" t="inlineStr">
        <is>
          <t>1. GET /api/payments/seed-pay-member1-a/invoice</t>
        </is>
      </c>
      <c r="K114" s="15" t="inlineStr">
        <is>
          <t>-</t>
        </is>
      </c>
      <c r="L114"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114" s="15" t="inlineStr"/>
      <c r="N114" s="18" t="inlineStr">
        <is>
          <t>Chưa test</t>
        </is>
      </c>
      <c r="O114" s="15" t="inlineStr"/>
      <c r="P114" s="15" t="inlineStr"/>
      <c r="Q114" s="18" t="inlineStr">
        <is>
          <t>Chưa test</t>
        </is>
      </c>
      <c r="R114" s="15" t="inlineStr"/>
    </row>
    <row r="115" ht="30" customHeight="1">
      <c r="A115" s="14" t="inlineStr">
        <is>
          <t>TC-PAY-114</t>
        </is>
      </c>
      <c r="B115" s="15" t="inlineStr">
        <is>
          <t>Thanh toán &amp; Gói thành viên</t>
        </is>
      </c>
      <c r="C115" s="15" t="inlineStr">
        <is>
          <t>Hóa đơn</t>
        </is>
      </c>
      <c r="D115" s="15" t="inlineStr">
        <is>
          <t>Hóa đơn giao dịch đã hoàn tiền thể hiện refundedCents</t>
        </is>
      </c>
      <c r="E115" s="15" t="inlineStr">
        <is>
          <t>Chức năng</t>
        </is>
      </c>
      <c r="F115" s="20" t="inlineStr">
        <is>
          <t>Trung bình</t>
        </is>
      </c>
      <c r="G115" s="17" t="inlineStr">
        <is>
          <t>Đã hoàn thiện</t>
        </is>
      </c>
      <c r="H115" s="17" t="inlineStr">
        <is>
          <t>Có</t>
        </is>
      </c>
      <c r="I115"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115" s="15" t="inlineStr">
        <is>
          <t>1. GET /api/payments/seed-pay-refunded/invoice</t>
        </is>
      </c>
      <c r="K115" s="15" t="inlineStr">
        <is>
          <t>-</t>
        </is>
      </c>
      <c r="L115" s="15" t="inlineStr">
        <is>
          <t>200 status=refunded, refundedCents=1900, subtotalCents=1900, totalCents=1900 (code giữ total = số đã tính, không trừ hoàn tiền - ghi nhận hành vi thực tế; chưa chốt).</t>
        </is>
      </c>
      <c r="M115" s="15" t="inlineStr"/>
      <c r="N115" s="18" t="inlineStr">
        <is>
          <t>Chưa test</t>
        </is>
      </c>
      <c r="O115" s="15" t="inlineStr"/>
      <c r="P115" s="15" t="inlineStr"/>
      <c r="Q115" s="18" t="inlineStr">
        <is>
          <t>Chưa test</t>
        </is>
      </c>
      <c r="R115" s="15" t="inlineStr"/>
    </row>
    <row r="116" ht="30" customHeight="1">
      <c r="A116" s="14" t="inlineStr">
        <is>
          <t>TC-PAY-115</t>
        </is>
      </c>
      <c r="B116" s="15" t="inlineStr">
        <is>
          <t>Thanh toán &amp; Gói thành viên</t>
        </is>
      </c>
      <c r="C116" s="15" t="inlineStr">
        <is>
          <t>Hóa đơn</t>
        </is>
      </c>
      <c r="D116" s="15" t="inlineStr">
        <is>
          <t>Owner cộng đồng và Platform Admin xem được hóa đơn của thành viên</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t>
        </is>
      </c>
      <c r="J116" s="15" t="inlineStr">
        <is>
          <t>1. Đăng nhập owner, GET /api/payments/seed-pay-member1-a/invoice
2. Đăng nhập admin, gọi lại</t>
        </is>
      </c>
      <c r="K116" s="15" t="inlineStr">
        <is>
          <t>-</t>
        </is>
      </c>
      <c r="L116" s="15" t="inlineStr">
        <is>
          <t>Cả hai 200 cùng nội dung hóa đơn.</t>
        </is>
      </c>
      <c r="M116" s="15" t="inlineStr"/>
      <c r="N116" s="18" t="inlineStr">
        <is>
          <t>Chưa test</t>
        </is>
      </c>
      <c r="O116" s="15" t="inlineStr"/>
      <c r="P116" s="15" t="inlineStr"/>
      <c r="Q116" s="18" t="inlineStr">
        <is>
          <t>Chưa test</t>
        </is>
      </c>
      <c r="R116" s="15" t="inlineStr"/>
    </row>
    <row r="117" ht="30" customHeight="1">
      <c r="A117" s="14" t="inlineStr">
        <is>
          <t>TC-PAY-116</t>
        </is>
      </c>
      <c r="B117" s="15" t="inlineStr">
        <is>
          <t>Thanh toán &amp; Gói thành viên</t>
        </is>
      </c>
      <c r="C117" s="15" t="inlineStr">
        <is>
          <t>Hóa đơn</t>
        </is>
      </c>
      <c r="D117" s="15" t="inlineStr">
        <is>
          <t>IDOR: member2 xem hóa đơn của member1 bị 403</t>
        </is>
      </c>
      <c r="E117" s="15" t="inlineStr">
        <is>
          <t>Bảo mật</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117" s="15" t="inlineStr">
        <is>
          <t>1. GET /api/payments/seed-pay-member1-a/invoice</t>
        </is>
      </c>
      <c r="K117" s="15" t="inlineStr">
        <is>
          <t>-</t>
        </is>
      </c>
      <c r="L117" s="15" t="inlineStr">
        <is>
          <t>403 FORBIDDEN, không lộ nội dung hóa đơn.</t>
        </is>
      </c>
      <c r="M117" s="15" t="inlineStr"/>
      <c r="N117" s="18" t="inlineStr">
        <is>
          <t>Chưa test</t>
        </is>
      </c>
      <c r="O117" s="15" t="inlineStr"/>
      <c r="P117" s="15" t="inlineStr"/>
      <c r="Q117" s="18" t="inlineStr">
        <is>
          <t>Chưa test</t>
        </is>
      </c>
      <c r="R117" s="15" t="inlineStr"/>
    </row>
    <row r="118" ht="30" customHeight="1">
      <c r="A118" s="14" t="inlineStr">
        <is>
          <t>TC-PAY-117</t>
        </is>
      </c>
      <c r="B118" s="15" t="inlineStr">
        <is>
          <t>Thanh toán &amp; Gói thành viên</t>
        </is>
      </c>
      <c r="C118" s="15" t="inlineStr">
        <is>
          <t>Hóa đơn</t>
        </is>
      </c>
      <c r="D118" s="15" t="inlineStr">
        <is>
          <t>cadmin/mod không phải Owner không xem được hóa đơn người khác</t>
        </is>
      </c>
      <c r="E118" s="15" t="inlineStr">
        <is>
          <t>Bảo mật</t>
        </is>
      </c>
      <c r="F118" s="20" t="inlineStr">
        <is>
          <t>Trung bình</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118" s="15" t="inlineStr">
        <is>
          <t>1. GET /api/payments/seed-pay-member1-a/invoice</t>
        </is>
      </c>
      <c r="K118" s="15" t="inlineStr">
        <is>
          <t>-</t>
        </is>
      </c>
      <c r="L118" s="15" t="inlineStr">
        <is>
          <t>403 cho cả hai (chỉ chủ giao dịch, Owner cộng đồng đó, Platform Admin).</t>
        </is>
      </c>
      <c r="M118" s="15" t="inlineStr"/>
      <c r="N118" s="18" t="inlineStr">
        <is>
          <t>Chưa test</t>
        </is>
      </c>
      <c r="O118" s="15" t="inlineStr"/>
      <c r="P118" s="15" t="inlineStr"/>
      <c r="Q118" s="18" t="inlineStr">
        <is>
          <t>Chưa test</t>
        </is>
      </c>
      <c r="R118" s="15" t="inlineStr"/>
    </row>
    <row r="119" ht="45" customHeight="1">
      <c r="A119" s="14" t="inlineStr">
        <is>
          <t>TC-PAY-118</t>
        </is>
      </c>
      <c r="B119" s="15" t="inlineStr">
        <is>
          <t>Thanh toán &amp; Gói thành viên</t>
        </is>
      </c>
      <c r="C119" s="15" t="inlineStr">
        <is>
          <t>Hóa đơn</t>
        </is>
      </c>
      <c r="D119" s="15" t="inlineStr">
        <is>
          <t>Hóa đơn: guest 401, giao dịch không tồn tại 404, giao dịch pending 409</t>
        </is>
      </c>
      <c r="E119" s="15" t="inlineStr">
        <is>
          <t>Chức năng</t>
        </is>
      </c>
      <c r="F119" s="20" t="inlineStr">
        <is>
          <t>Trung bình</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119" s="15" t="inlineStr">
        <is>
          <t>1. GET /api/payments/seed-pay-member1-a/invoice không token
2. GET /api/payments/khong-co/invoice bằng member1
3. GET /api/payments/&lt;P&gt;/invoice bằng newbie</t>
        </is>
      </c>
      <c r="K119" s="15" t="inlineStr">
        <is>
          <t>-</t>
        </is>
      </c>
      <c r="L119" s="15" t="inlineStr">
        <is>
          <t>401 UNAUTHORIZED; 404 'Không tìm thấy giao dịch'; 409 'Giao dịch này chưa có hóa đơn'.</t>
        </is>
      </c>
      <c r="M119" s="15" t="inlineStr"/>
      <c r="N119" s="18" t="inlineStr">
        <is>
          <t>Chưa test</t>
        </is>
      </c>
      <c r="O119" s="15" t="inlineStr"/>
      <c r="P119" s="15" t="inlineStr"/>
      <c r="Q119" s="18" t="inlineStr">
        <is>
          <t>Chưa test</t>
        </is>
      </c>
      <c r="R119" s="15" t="inlineStr"/>
    </row>
    <row r="120" ht="30" customHeight="1">
      <c r="A120" s="14" t="inlineStr">
        <is>
          <t>TC-PAY-119</t>
        </is>
      </c>
      <c r="B120" s="15" t="inlineStr">
        <is>
          <t>Thanh toán &amp; Gói thành viên</t>
        </is>
      </c>
      <c r="C120" s="15" t="inlineStr">
        <is>
          <t>Hóa đơn</t>
        </is>
      </c>
      <c r="D120" s="15" t="inlineStr">
        <is>
          <t>Lịch sử /me/payments của member1 có 2 giao dịch seed, sắp xếp mới nhất trước</t>
        </is>
      </c>
      <c r="E120" s="15" t="inlineStr">
        <is>
          <t>Chức năng</t>
        </is>
      </c>
      <c r="F120" s="16" t="inlineStr">
        <is>
          <t>Cao</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120" s="15" t="inlineStr">
        <is>
          <t>1. GET /api/me/payments</t>
        </is>
      </c>
      <c r="K120" s="15" t="inlineStr">
        <is>
          <t>-</t>
        </is>
      </c>
      <c r="L120" s="15" t="inlineStr">
        <is>
          <t>200 {data,meta}: meta.total=2; gồm seed-pay-member1-b (renewal, 10 ngày trước) rồi seed-pay-member1-a (initial, 40 ngày trước); mỗi dòng có courseTitle='Cộng đồng có phí (demo)', amountCents=1900, invoiceNumber.</t>
        </is>
      </c>
      <c r="M120" s="15" t="inlineStr"/>
      <c r="N120" s="18" t="inlineStr">
        <is>
          <t>Chưa test</t>
        </is>
      </c>
      <c r="O120" s="15" t="inlineStr"/>
      <c r="P120" s="15" t="inlineStr"/>
      <c r="Q120" s="18" t="inlineStr">
        <is>
          <t>Chưa test</t>
        </is>
      </c>
      <c r="R120" s="15" t="inlineStr"/>
    </row>
    <row r="121" ht="60" customHeight="1">
      <c r="A121" s="14" t="inlineStr">
        <is>
          <t>TC-PAY-120</t>
        </is>
      </c>
      <c r="B121" s="15" t="inlineStr">
        <is>
          <t>Thanh toán &amp; Gói thành viên</t>
        </is>
      </c>
      <c r="C121" s="15" t="inlineStr">
        <is>
          <t>Hóa đơn</t>
        </is>
      </c>
      <c r="D121" s="15" t="inlineStr">
        <is>
          <t>Phân trang /me/payments: limit, page và tham số sai</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21" s="15" t="inlineStr">
        <is>
          <t>1. GET /api/me/payments?page=1&amp;limit=1
2. GET /api/me/payments?page=2&amp;limit=1
3. GET /api/me/payments?limit=101
4. GET /api/me/payments?page=0</t>
        </is>
      </c>
      <c r="K121" s="15" t="inlineStr">
        <is>
          <t>-</t>
        </is>
      </c>
      <c r="L121" s="15" t="inlineStr">
        <is>
          <t>Lần 1: 1 dòng, meta.totalPages=2. Lần 2: dòng thứ hai. Lần 3 và 4: 400 VALIDATION_ERROR.</t>
        </is>
      </c>
      <c r="M121" s="15" t="inlineStr"/>
      <c r="N121" s="18" t="inlineStr">
        <is>
          <t>Chưa test</t>
        </is>
      </c>
      <c r="O121" s="15" t="inlineStr"/>
      <c r="P121" s="15" t="inlineStr"/>
      <c r="Q121" s="18" t="inlineStr">
        <is>
          <t>Chưa test</t>
        </is>
      </c>
      <c r="R121" s="15" t="inlineStr"/>
    </row>
    <row r="122" ht="30" customHeight="1">
      <c r="A122" s="14" t="inlineStr">
        <is>
          <t>TC-PAY-121</t>
        </is>
      </c>
      <c r="B122" s="15" t="inlineStr">
        <is>
          <t>Thanh toán &amp; Gói thành viên</t>
        </is>
      </c>
      <c r="C122" s="15" t="inlineStr">
        <is>
          <t>Hóa đơn</t>
        </is>
      </c>
      <c r="D122" s="15" t="inlineStr">
        <is>
          <t>Lịch sử của tài khoản không có giao dịch: rỗng</t>
        </is>
      </c>
      <c r="E122" s="15" t="inlineStr">
        <is>
          <t>Chức năng</t>
        </is>
      </c>
      <c r="F122" s="17" t="inlineStr">
        <is>
          <t>Thấp</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122" s="15" t="inlineStr">
        <is>
          <t>1. GET /api/me/payments</t>
        </is>
      </c>
      <c r="K122" s="15" t="inlineStr">
        <is>
          <t>-</t>
        </is>
      </c>
      <c r="L122" s="15" t="inlineStr">
        <is>
          <t>200 data=[] và meta.total=0, totalPages=1. UI /billing hiển thị 'Chưa có giao dịch nào.'.</t>
        </is>
      </c>
      <c r="M122" s="15" t="inlineStr"/>
      <c r="N122" s="18" t="inlineStr">
        <is>
          <t>Chưa test</t>
        </is>
      </c>
      <c r="O122" s="15" t="inlineStr"/>
      <c r="P122" s="15" t="inlineStr"/>
      <c r="Q122" s="18" t="inlineStr">
        <is>
          <t>Chưa test</t>
        </is>
      </c>
      <c r="R122" s="15" t="inlineStr"/>
    </row>
    <row r="123" ht="30" customHeight="1">
      <c r="A123" s="14" t="inlineStr">
        <is>
          <t>TC-PAY-122</t>
        </is>
      </c>
      <c r="B123" s="15" t="inlineStr">
        <is>
          <t>Thanh toán &amp; Gói thành viên</t>
        </is>
      </c>
      <c r="C123" s="15" t="inlineStr">
        <is>
          <t>Hóa đơn</t>
        </is>
      </c>
      <c r="D123" s="15" t="inlineStr">
        <is>
          <t>Trang /billing: Gói của tôi và Lịch sử thanh toán của member1</t>
        </is>
      </c>
      <c r="E123" s="15" t="inlineStr">
        <is>
          <t>Giao diện</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23" s="15" t="inlineStr">
        <is>
          <t>1. Mở /billing (menu avatar -&gt; 'Gói &amp; thanh toán')</t>
        </is>
      </c>
      <c r="K123" s="15" t="inlineStr">
        <is>
          <t>-</t>
        </is>
      </c>
      <c r="L123" s="15" t="inlineStr">
        <is>
          <t>Có gói paid-demo trạng thái 'Đang hoạt động', ngày truy cập đến ~ +20 ngày; bảng lịch sử 2 dòng (phân trang 10 dòng/trang), mỗi dòng có nút 'Hóa đơn' và 'Hoàn tiền'; số tiền hiển thị $19.00.</t>
        </is>
      </c>
      <c r="M123" s="15" t="inlineStr"/>
      <c r="N123" s="18" t="inlineStr">
        <is>
          <t>Chưa test</t>
        </is>
      </c>
      <c r="O123" s="15" t="inlineStr"/>
      <c r="P123" s="15" t="inlineStr"/>
      <c r="Q123" s="18" t="inlineStr">
        <is>
          <t>Chưa test</t>
        </is>
      </c>
      <c r="R123" s="15" t="inlineStr"/>
    </row>
    <row r="124" ht="30" customHeight="1">
      <c r="A124" s="14" t="inlineStr">
        <is>
          <t>TC-PAY-123</t>
        </is>
      </c>
      <c r="B124" s="15" t="inlineStr">
        <is>
          <t>Thanh toán &amp; Gói thành viên</t>
        </is>
      </c>
      <c r="C124" s="15" t="inlineStr">
        <is>
          <t>Hóa đơn</t>
        </is>
      </c>
      <c r="D124" s="15" t="inlineStr">
        <is>
          <t>Hộp thoại hóa đơn và nút 'In hóa đơn'</t>
        </is>
      </c>
      <c r="E124" s="15" t="inlineStr">
        <is>
          <t>Giao diện</t>
        </is>
      </c>
      <c r="F124" s="20" t="inlineStr">
        <is>
          <t>Trung bình</t>
        </is>
      </c>
      <c r="G124" s="17" t="inlineStr">
        <is>
          <t>Đã hoàn thiện</t>
        </is>
      </c>
      <c r="H124" s="20" t="inlineStr">
        <is>
          <t>Một phần</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24" s="15" t="inlineStr">
        <is>
          <t>1. Mở /billing, bấm 'Hóa đơn' ở seed-pay-member1-a
2. Bấm 'In hóa đơn' (Ctrl+P xem trước)</t>
        </is>
      </c>
      <c r="K124" s="15" t="inlineStr">
        <is>
          <t>-</t>
        </is>
      </c>
      <c r="L124" s="15" t="inlineStr">
        <is>
          <t>Hộp thoại hiện số INV-…, người mua, mục hàng, tổng $19.00; bản in chỉ có phần hóa đơn (ẩn header/menu). Giao dịch chưa có hóa đơn (pending) không có nút 'Hóa đơn'. PDF hóa đơn chưa làm.</t>
        </is>
      </c>
      <c r="M124" s="15" t="inlineStr"/>
      <c r="N124" s="18" t="inlineStr">
        <is>
          <t>Chưa test</t>
        </is>
      </c>
      <c r="O124" s="15" t="inlineStr"/>
      <c r="P124" s="15" t="inlineStr"/>
      <c r="Q124" s="18" t="inlineStr">
        <is>
          <t>Chưa test</t>
        </is>
      </c>
      <c r="R124" s="15" t="inlineStr"/>
    </row>
    <row r="125" ht="30" customHeight="1">
      <c r="A125" s="14" t="inlineStr">
        <is>
          <t>TC-PAY-124</t>
        </is>
      </c>
      <c r="B125" s="15" t="inlineStr">
        <is>
          <t>Thanh toán &amp; Gói thành viên</t>
        </is>
      </c>
      <c r="C125" s="15" t="inlineStr">
        <is>
          <t>Hóa đơn</t>
        </is>
      </c>
      <c r="D125" s="15" t="inlineStr">
        <is>
          <t>Xuất PDF hóa đơn / thuế VAT / thông tin pháp lý người bán</t>
        </is>
      </c>
      <c r="E125" s="15" t="inlineStr">
        <is>
          <t>Chức năng</t>
        </is>
      </c>
      <c r="F125" s="17" t="inlineStr">
        <is>
          <t>Thấp</t>
        </is>
      </c>
      <c r="G125" s="20" t="inlineStr">
        <is>
          <t>Kế hoạch</t>
        </is>
      </c>
      <c r="H125" s="16" t="inlineStr">
        <is>
          <t>Không</t>
        </is>
      </c>
      <c r="I125" s="15" t="inlineStr">
        <is>
          <t>Chưa làm: PDF hóa đơn, VAT, thông tin pháp lý (docs/api/payments.md 'Chưa làm').</t>
        </is>
      </c>
      <c r="J125" s="15" t="inlineStr">
        <is>
          <t>1. Mở hóa đơn, tìm nút tải PDF</t>
        </is>
      </c>
      <c r="K125" s="15" t="inlineStr">
        <is>
          <t>-</t>
        </is>
      </c>
      <c r="L125" s="15" t="inlineStr">
        <is>
          <t>Khi làm xong: tải được PDF đúng số hóa đơn, có dòng thuế/thông tin người bán.</t>
        </is>
      </c>
      <c r="M125" s="15" t="inlineStr"/>
      <c r="N125" s="18" t="inlineStr">
        <is>
          <t>Chưa test</t>
        </is>
      </c>
      <c r="O125" s="15" t="inlineStr"/>
      <c r="P125" s="15" t="inlineStr"/>
      <c r="Q125" s="18" t="inlineStr">
        <is>
          <t>Chưa test</t>
        </is>
      </c>
      <c r="R125" s="15" t="inlineStr"/>
    </row>
    <row r="126" ht="30" customHeight="1">
      <c r="A126" s="14" t="inlineStr">
        <is>
          <t>TC-PAY-125</t>
        </is>
      </c>
      <c r="B126" s="15" t="inlineStr">
        <is>
          <t>Thanh toán &amp; Gói thành viên</t>
        </is>
      </c>
      <c r="C126" s="15" t="inlineStr">
        <is>
          <t>Hóa đơn</t>
        </is>
      </c>
      <c r="D126" s="15" t="inlineStr">
        <is>
          <t>Email hóa đơn gửi cho thành viên sau khi thanh toán</t>
        </is>
      </c>
      <c r="E126" s="15" t="inlineStr">
        <is>
          <t>Tích hợp</t>
        </is>
      </c>
      <c r="F126" s="20" t="inlineStr">
        <is>
          <t>Trung bình</t>
        </is>
      </c>
      <c r="G126" s="20" t="inlineStr">
        <is>
          <t>Kế hoạch</t>
        </is>
      </c>
      <c r="H126" s="16" t="inlineStr">
        <is>
          <t>Không</t>
        </is>
      </c>
      <c r="I126" s="15" t="inlineStr">
        <is>
          <t>Chưa làm: email giao dịch thật (hiện chỉ thông báo trong app 'Thanh toán thành công').</t>
        </is>
      </c>
      <c r="J126" s="15" t="inlineStr">
        <is>
          <t>1. Thanh toán thành công
2. Kiểm tra hộp thư</t>
        </is>
      </c>
      <c r="K126" s="15" t="inlineStr">
        <is>
          <t>-</t>
        </is>
      </c>
      <c r="L126" s="15" t="inlineStr">
        <is>
          <t>Khi làm xong: nhận email có số hóa đơn và số tiền.</t>
        </is>
      </c>
      <c r="M126" s="15" t="inlineStr"/>
      <c r="N126" s="18" t="inlineStr">
        <is>
          <t>Chưa test</t>
        </is>
      </c>
      <c r="O126" s="15" t="inlineStr"/>
      <c r="P126" s="15" t="inlineStr"/>
      <c r="Q126" s="18" t="inlineStr">
        <is>
          <t>Chưa test</t>
        </is>
      </c>
      <c r="R126" s="15" t="inlineStr"/>
    </row>
    <row r="127" ht="30" customHeight="1">
      <c r="A127" s="14" t="inlineStr">
        <is>
          <t>TC-PAY-126</t>
        </is>
      </c>
      <c r="B127" s="15" t="inlineStr">
        <is>
          <t>Thanh toán &amp; Gói thành viên</t>
        </is>
      </c>
      <c r="C127" s="15" t="inlineStr">
        <is>
          <t>Webhook</t>
        </is>
      </c>
      <c r="D127" s="15" t="inlineStr">
        <is>
          <t>Webhook payment.succeeded hợp lệ khi chưa redirect: cấp quyền, hóa đơn</t>
        </is>
      </c>
      <c r="E127" s="15" t="inlineStr">
        <is>
          <t>Tích hợp</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(đã checkout, CHƯA confirm - mô phỏng webhook đến trước redirect).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27" s="15" t="inlineStr">
        <is>
          <t>1. POST /api/payments/webhook (không token) với event ký hợp lệ
2. GET /api/courses/paid-demo/subscription bằng newbie</t>
        </is>
      </c>
      <c r="K127" s="15" t="inlineStr">
        <is>
          <t>{"id":"evt-qa-1","type":"payment.succeeded","data":{"paymentId":"&lt;P&gt;","chargeId":"ch_qa_1"}}</t>
        </is>
      </c>
      <c r="L127" s="15" t="inlineStr">
        <is>
          <t>200 {received:true}; giao dịch succeeded (gatewayChargeId=ch_qa_1, có invoiceNumber), gói active, newbie enrolled=true. Sau đó newbie mở lại confirm -&gt; 200 trả bản ghi cũ, không tạo hóa đơn thứ hai.</t>
        </is>
      </c>
      <c r="M127" s="15" t="inlineStr"/>
      <c r="N127" s="18" t="inlineStr">
        <is>
          <t>Chưa test</t>
        </is>
      </c>
      <c r="O127" s="15" t="inlineStr"/>
      <c r="P127" s="15" t="inlineStr"/>
      <c r="Q127" s="18" t="inlineStr">
        <is>
          <t>Chưa test</t>
        </is>
      </c>
      <c r="R127" s="15" t="inlineStr"/>
    </row>
    <row r="128" ht="30" customHeight="1">
      <c r="A128" s="14" t="inlineStr">
        <is>
          <t>TC-PAY-127</t>
        </is>
      </c>
      <c r="B128" s="15" t="inlineStr">
        <is>
          <t>Thanh toán &amp; Gói thành viên</t>
        </is>
      </c>
      <c r="C128" s="15" t="inlineStr">
        <is>
          <t>Webhook</t>
        </is>
      </c>
      <c r="D128" s="15" t="inlineStr">
        <is>
          <t>Webhook trùng event id: 200 duplicate, không tác dụng phụ</t>
        </is>
      </c>
      <c r="E128" s="15" t="inlineStr">
        <is>
          <t>Bảo mật</t>
        </is>
      </c>
      <c r="F128" s="16" t="inlineStr">
        <is>
          <t>Cao</t>
        </is>
      </c>
      <c r="G128" s="17" t="inlineStr">
        <is>
          <t>Đã hoàn thiện</t>
        </is>
      </c>
      <c r="H128" s="17" t="inlineStr">
        <is>
          <t>Có</t>
        </is>
      </c>
      <c r="I128" s="15" t="inlineStr">
        <is>
          <t>Seed đã chạy (npm run db:seed) trên DB sạch; paid-demo = cộng đồng công khai $19/tháng (1900 cent), Owner: owner@sofinhub.test. Mật khẩu chung Passw0rd!x. Thành viên minh họa isDemo = demo-paid-demo-&lt;i&gt;, không đăng nhập được. Đã gửi thành công event evt-qa-1 (case trước). Ký webhook: header x-sofin-signature = t=&lt;unix giây hiện tại&gt;,v1=&lt;hex HMAC-SHA256 của chuỗi "&lt;t&gt;.&lt;rawBody&gt;"&gt;, secret = PAYMENT_WEBHOOK_SECRET (mặc định dev: dev-webhook-secret-change-me), rawBody là đúng chuỗi JSON gửi đi (không khoảng trắng thừa).</t>
        </is>
      </c>
      <c r="J128" s="15" t="inlineStr">
        <is>
          <t>1. Gửi lại đúng body/event id evt-qa-1 (ký lại với timestamp mới)
2. Đếm giao dịch/hóa đơn của newbie</t>
        </is>
      </c>
      <c r="K128" s="15" t="inlineStr">
        <is>
          <t>id=evt-qa-1</t>
        </is>
      </c>
      <c r="L128" s="15" t="inlineStr">
        <is>
          <t>200 {received:true, duplicate:true}; không thêm giao dịch/hóa đơn/thông báo.</t>
        </is>
      </c>
      <c r="M128" s="15" t="inlineStr"/>
      <c r="N128" s="18" t="inlineStr">
        <is>
          <t>Chưa test</t>
        </is>
      </c>
      <c r="O128" s="15" t="inlineStr"/>
      <c r="P128" s="15" t="inlineStr"/>
      <c r="Q128" s="18" t="inlineStr">
        <is>
          <t>Chưa test</t>
        </is>
      </c>
      <c r="R128" s="15" t="inlineStr"/>
    </row>
    <row r="129" ht="30" customHeight="1">
      <c r="A129" s="14" t="inlineStr">
        <is>
          <t>TC-PAY-128</t>
        </is>
      </c>
      <c r="B129" s="15" t="inlineStr">
        <is>
          <t>Thanh toán &amp; Gói thành viên</t>
        </is>
      </c>
      <c r="C129" s="15" t="inlineStr">
        <is>
          <t>Webhook</t>
        </is>
      </c>
      <c r="D129" s="15" t="inlineStr">
        <is>
          <t>Webhook không có header chữ ký bị 400</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t>
        </is>
      </c>
      <c r="J129" s="15" t="inlineStr">
        <is>
          <t>1. POST /api/payments/webhook body JSON hợp lệ, không gửi x-sofin-signature</t>
        </is>
      </c>
      <c r="K129" s="15" t="inlineStr">
        <is>
          <t>{"id":"evt-x","type":"payment.succeeded","data":{}}</t>
        </is>
      </c>
      <c r="L129" s="15" t="inlineStr">
        <is>
          <t>400 BAD_REQUEST, message 'Yêu cầu không hợp lệ' (không nêu chi tiết). Không đổi dữ liệu.</t>
        </is>
      </c>
      <c r="M129" s="15" t="inlineStr"/>
      <c r="N129" s="18" t="inlineStr">
        <is>
          <t>Chưa test</t>
        </is>
      </c>
      <c r="O129" s="15" t="inlineStr"/>
      <c r="P129" s="15" t="inlineStr"/>
      <c r="Q129" s="18" t="inlineStr">
        <is>
          <t>Chưa test</t>
        </is>
      </c>
      <c r="R129" s="15" t="inlineStr"/>
    </row>
    <row r="130" ht="30" customHeight="1">
      <c r="A130" s="14" t="inlineStr">
        <is>
          <t>TC-PAY-129</t>
        </is>
      </c>
      <c r="B130" s="15" t="inlineStr">
        <is>
          <t>Thanh toán &amp; Gói thành viên</t>
        </is>
      </c>
      <c r="C130" s="15" t="inlineStr">
        <is>
          <t>Webhook</t>
        </is>
      </c>
      <c r="D130" s="15" t="inlineStr">
        <is>
          <t>Webhook chữ ký sai (secret khác) bị 400</t>
        </is>
      </c>
      <c r="E130" s="15" t="inlineStr">
        <is>
          <t>Bảo mật</t>
        </is>
      </c>
      <c r="F130" s="16" t="inlineStr">
        <is>
          <t>Cao</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130" s="15" t="inlineStr">
        <is>
          <t>1. Ký payload bằng secret 'sai-secret' rồi POST /api/payments/webhook</t>
        </is>
      </c>
      <c r="K130" s="15" t="inlineStr">
        <is>
          <t>payment.succeeded {paymentId:&lt;P&gt;}</t>
        </is>
      </c>
      <c r="L130" s="15" t="inlineStr">
        <is>
          <t>400 'Yêu cầu không hợp lệ'; P vẫn pending, không cấp quyền.</t>
        </is>
      </c>
      <c r="M130" s="15" t="inlineStr"/>
      <c r="N130" s="18" t="inlineStr">
        <is>
          <t>Chưa test</t>
        </is>
      </c>
      <c r="O130" s="15" t="inlineStr"/>
      <c r="P130" s="15" t="inlineStr"/>
      <c r="Q130" s="18" t="inlineStr">
        <is>
          <t>Chưa test</t>
        </is>
      </c>
      <c r="R130" s="15" t="inlineStr"/>
    </row>
    <row r="131" ht="30" customHeight="1">
      <c r="A131" s="14" t="inlineStr">
        <is>
          <t>TC-PAY-130</t>
        </is>
      </c>
      <c r="B131" s="15" t="inlineStr">
        <is>
          <t>Thanh toán &amp; Gói thành viên</t>
        </is>
      </c>
      <c r="C131" s="15" t="inlineStr">
        <is>
          <t>Webhook</t>
        </is>
      </c>
      <c r="D131" s="15" t="inlineStr">
        <is>
          <t>Sửa body sau khi ký bị 400</t>
        </is>
      </c>
      <c r="E131" s="15" t="inlineStr">
        <is>
          <t>Bảo mật</t>
        </is>
      </c>
      <c r="F131" s="16" t="inlineStr">
        <is>
          <t>Cao</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31" s="15" t="inlineStr">
        <is>
          <t>1. Ký body có paymentId=&lt;P&gt;
2. Đổi paymentId khác trong body nhưng giữ nguyên header</t>
        </is>
      </c>
      <c r="K131" s="15" t="inlineStr">
        <is>
          <t>-</t>
        </is>
      </c>
      <c r="L131" s="15" t="inlineStr">
        <is>
          <t>400 'Yêu cầu không hợp lệ' (HMAC tính trên raw body).</t>
        </is>
      </c>
      <c r="M131" s="15" t="inlineStr"/>
      <c r="N131" s="18" t="inlineStr">
        <is>
          <t>Chưa test</t>
        </is>
      </c>
      <c r="O131" s="15" t="inlineStr"/>
      <c r="P131" s="15" t="inlineStr"/>
      <c r="Q131" s="18" t="inlineStr">
        <is>
          <t>Chưa test</t>
        </is>
      </c>
      <c r="R131" s="15" t="inlineStr"/>
    </row>
    <row r="132" ht="30" customHeight="1">
      <c r="A132" s="14" t="inlineStr">
        <is>
          <t>TC-PAY-131</t>
        </is>
      </c>
      <c r="B132" s="15" t="inlineStr">
        <is>
          <t>Thanh toán &amp; Gói thành viên</t>
        </is>
      </c>
      <c r="C132" s="15" t="inlineStr">
        <is>
          <t>Webhook</t>
        </is>
      </c>
      <c r="D132" s="15" t="inlineStr">
        <is>
          <t>Chống replay: timestamp cũ hơn 300 giây bị 400</t>
        </is>
      </c>
      <c r="E132" s="15" t="inlineStr">
        <is>
          <t>Bảo mật</t>
        </is>
      </c>
      <c r="F132" s="16" t="inlineStr">
        <is>
          <t>Cao</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32" s="15" t="inlineStr">
        <is>
          <t>1. Ký payload đúng secret nhưng t = hiện tại - 301 giây
2. POST webhook</t>
        </is>
      </c>
      <c r="K132" s="15" t="inlineStr">
        <is>
          <t>t lệch -301s</t>
        </is>
      </c>
      <c r="L132" s="15" t="inlineStr">
        <is>
          <t>400 'Yêu cầu không hợp lệ'.</t>
        </is>
      </c>
      <c r="M132" s="15" t="inlineStr"/>
      <c r="N132" s="18" t="inlineStr">
        <is>
          <t>Chưa test</t>
        </is>
      </c>
      <c r="O132" s="15" t="inlineStr"/>
      <c r="P132" s="15" t="inlineStr"/>
      <c r="Q132" s="18" t="inlineStr">
        <is>
          <t>Chưa test</t>
        </is>
      </c>
      <c r="R132" s="15" t="inlineStr"/>
    </row>
    <row r="133" ht="30" customHeight="1">
      <c r="A133" s="14" t="inlineStr">
        <is>
          <t>TC-PAY-132</t>
        </is>
      </c>
      <c r="B133" s="15" t="inlineStr">
        <is>
          <t>Thanh toán &amp; Gói thành viên</t>
        </is>
      </c>
      <c r="C133" s="15" t="inlineStr">
        <is>
          <t>Webhook</t>
        </is>
      </c>
      <c r="D133" s="15" t="inlineStr">
        <is>
          <t>Timestamp ở tương lai quá 300 giây cũng bị 400; biên 299 giây được chấp nhận</t>
        </is>
      </c>
      <c r="E133" s="15" t="inlineStr">
        <is>
          <t>Bảo mật</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33" s="15" t="inlineStr">
        <is>
          <t>1. Gửi event với t = hiện tại + 301 giây
2. Gửi event khác với t = hiện tại - 299 giây (đúng secret)</t>
        </is>
      </c>
      <c r="K133" s="15" t="inlineStr">
        <is>
          <t>-</t>
        </is>
      </c>
      <c r="L133" s="15" t="inlineStr">
        <is>
          <t>Lần 1: 400. Lần 2: 200 {received:true,...}.</t>
        </is>
      </c>
      <c r="M133" s="15" t="inlineStr"/>
      <c r="N133" s="18" t="inlineStr">
        <is>
          <t>Chưa test</t>
        </is>
      </c>
      <c r="O133" s="15" t="inlineStr"/>
      <c r="P133" s="15" t="inlineStr"/>
      <c r="Q133" s="18" t="inlineStr">
        <is>
          <t>Chưa test</t>
        </is>
      </c>
      <c r="R133" s="15" t="inlineStr"/>
    </row>
    <row r="134" ht="60" customHeight="1">
      <c r="A134" s="14" t="inlineStr">
        <is>
          <t>TC-PAY-133</t>
        </is>
      </c>
      <c r="B134" s="15" t="inlineStr">
        <is>
          <t>Thanh toán &amp; Gói thành viên</t>
        </is>
      </c>
      <c r="C134" s="15" t="inlineStr">
        <is>
          <t>Webhook</t>
        </is>
      </c>
      <c r="D134" s="15" t="inlineStr">
        <is>
          <t>Header chữ ký sai định dạng (thiếu v1, v1 không hex, t không phải số)</t>
        </is>
      </c>
      <c r="E134" s="15" t="inlineStr">
        <is>
          <t>Bảo mật</t>
        </is>
      </c>
      <c r="F134" s="20" t="inlineStr">
        <is>
          <t>Trung bình</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t>
        </is>
      </c>
      <c r="J134" s="15" t="inlineStr">
        <is>
          <t>1. Gửi header 't=123'
2. Gửi header 't=&lt;now&gt;,v1=zzzz'
3. Gửi header 't=abc,v1=abcd'
4. Gửi header chuỗi rỗng</t>
        </is>
      </c>
      <c r="K134" s="15" t="inlineStr">
        <is>
          <t>-</t>
        </is>
      </c>
      <c r="L134" s="15" t="inlineStr">
        <is>
          <t>Cả 4 lần: 400 'Yêu cầu không hợp lệ', không lỗi 500.</t>
        </is>
      </c>
      <c r="M134" s="15" t="inlineStr"/>
      <c r="N134" s="18" t="inlineStr">
        <is>
          <t>Chưa test</t>
        </is>
      </c>
      <c r="O134" s="15" t="inlineStr"/>
      <c r="P134" s="15" t="inlineStr"/>
      <c r="Q134" s="18" t="inlineStr">
        <is>
          <t>Chưa test</t>
        </is>
      </c>
      <c r="R134" s="15" t="inlineStr"/>
    </row>
    <row r="135" ht="30" customHeight="1">
      <c r="A135" s="14" t="inlineStr">
        <is>
          <t>TC-PAY-134</t>
        </is>
      </c>
      <c r="B135" s="15" t="inlineStr">
        <is>
          <t>Thanh toán &amp; Gói thành viên</t>
        </is>
      </c>
      <c r="C135" s="15" t="inlineStr">
        <is>
          <t>Webhook</t>
        </is>
      </c>
      <c r="D135" s="15" t="inlineStr">
        <is>
          <t>Chữ ký hợp lệ nhưng body không phải JSON hoặc thiếu id</t>
        </is>
      </c>
      <c r="E135" s="15" t="inlineStr">
        <is>
          <t>Chức năng</t>
        </is>
      </c>
      <c r="F135" s="20" t="inlineStr">
        <is>
          <t>Trung bình</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35" s="15" t="inlineStr">
        <is>
          <t>1. Ký và gửi body 'khong-phai-json' với Content-Type application/json
2. Ký và gửi body {"type":"payment.succeeded"} (thiếu id)</t>
        </is>
      </c>
      <c r="K135" s="15" t="inlineStr">
        <is>
          <t>-</t>
        </is>
      </c>
      <c r="L135" s="15" t="inlineStr">
        <is>
          <t>Lần 1: 400 (BAD_REQUEST 'Nội dung gửi lên không phải JSON hợp lệ' nếu bị express.json chặn ở tầng parse, hoặc 'Yêu cầu không hợp lệ'; không còn 500). Lần 2: 400 VALIDATION_ERROR.</t>
        </is>
      </c>
      <c r="M135" s="15" t="inlineStr"/>
      <c r="N135" s="18" t="inlineStr">
        <is>
          <t>Chưa test</t>
        </is>
      </c>
      <c r="O135" s="15" t="inlineStr"/>
      <c r="P135" s="15" t="inlineStr"/>
      <c r="Q135" s="18" t="inlineStr">
        <is>
          <t>Chưa test</t>
        </is>
      </c>
      <c r="R135" s="15" t="inlineStr"/>
    </row>
    <row r="136" ht="30" customHeight="1">
      <c r="A136" s="14" t="inlineStr">
        <is>
          <t>TC-PAY-135</t>
        </is>
      </c>
      <c r="B136" s="15" t="inlineStr">
        <is>
          <t>Thanh toán &amp; Gói thành viên</t>
        </is>
      </c>
      <c r="C136" s="15" t="inlineStr">
        <is>
          <t>Webhook</t>
        </is>
      </c>
      <c r="D136" s="15" t="inlineStr">
        <is>
          <t>Loại sự kiện lạ hoặc đối tượng không tồn tại: 200 ignored</t>
        </is>
      </c>
      <c r="E136" s="15" t="inlineStr">
        <is>
          <t>Chức năng</t>
        </is>
      </c>
      <c r="F136" s="20" t="inlineStr">
        <is>
          <t>Trung bình</t>
        </is>
      </c>
      <c r="G136" s="17" t="inlineStr">
        <is>
          <t>Đã hoàn thiện</t>
        </is>
      </c>
      <c r="H136" s="17" t="inlineStr">
        <is>
          <t>Có</t>
        </is>
      </c>
      <c r="I136"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36" s="15" t="inlineStr">
        <is>
          <t>1. Gửi event type 'invoice.finalized'
2. Gửi payment.succeeded với paymentId 'khong-co'</t>
        </is>
      </c>
      <c r="K136" s="15" t="inlineStr">
        <is>
          <t>-</t>
        </is>
      </c>
      <c r="L136" s="15" t="inlineStr">
        <is>
          <t>Cả hai 200 {received:true, ignored:true} (để cổng khỏi retry vô hạn); không đổi dữ liệu.</t>
        </is>
      </c>
      <c r="M136" s="15" t="inlineStr"/>
      <c r="N136" s="18" t="inlineStr">
        <is>
          <t>Chưa test</t>
        </is>
      </c>
      <c r="O136" s="15" t="inlineStr"/>
      <c r="P136" s="15" t="inlineStr"/>
      <c r="Q136" s="18" t="inlineStr">
        <is>
          <t>Chưa test</t>
        </is>
      </c>
      <c r="R136" s="15" t="inlineStr"/>
    </row>
    <row r="137" ht="30" customHeight="1">
      <c r="A137" s="14" t="inlineStr">
        <is>
          <t>TC-PAY-136</t>
        </is>
      </c>
      <c r="B137" s="15" t="inlineStr">
        <is>
          <t>Thanh toán &amp; Gói thành viên</t>
        </is>
      </c>
      <c r="C137" s="15" t="inlineStr">
        <is>
          <t>Webhook</t>
        </is>
      </c>
      <c r="D137" s="15" t="inlineStr">
        <is>
          <t>Webhook payment.failed rồi payment.succeeded cho giao dịch đã failed</t>
        </is>
      </c>
      <c r="E137" s="15" t="inlineStr">
        <is>
          <t>Chức năng</t>
        </is>
      </c>
      <c r="F137" s="20" t="inlineStr">
        <is>
          <t>Trung bình</t>
        </is>
      </c>
      <c r="G137" s="17" t="inlineStr">
        <is>
          <t>Đã hoàn thiện</t>
        </is>
      </c>
      <c r="H137" s="17" t="inlineStr">
        <is>
          <t>Có</t>
        </is>
      </c>
      <c r="I1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Ký webhook: header x-sofin-signature = t=&lt;unix giây hiện tại&gt;,v1=&lt;hex HMAC-SHA256 của chuỗi "&lt;t&gt;.&lt;rawBody&gt;"&gt;, secret = PAYMENT_WEBHOOK_SECRET (mặc định dev: dev-webhook-secret-change-me), rawBody là đúng chuỗi JSON gửi đi (không khoảng trắng thừa).</t>
        </is>
      </c>
      <c r="J137" s="15" t="inlineStr">
        <is>
          <t>1. Gửi payment.failed {paymentId:&lt;P&gt;, reason:'card_declined'}
2. Gửi payment.succeeded {paymentId:&lt;P&gt;} (event id khác)</t>
        </is>
      </c>
      <c r="K137" s="15" t="inlineStr">
        <is>
          <t>-</t>
        </is>
      </c>
      <c r="L137" s="15" t="inlineStr">
        <is>
          <t>Event 1: P -&gt; failed + thông báo 'Thanh toán thất bại'. Event 2: 200 nhưng P vẫn failed, không cấp quyền (chỉ giao dịch pending mới được settle) - hành vi thực tế.</t>
        </is>
      </c>
      <c r="M137" s="15" t="inlineStr"/>
      <c r="N137" s="18" t="inlineStr">
        <is>
          <t>Chưa test</t>
        </is>
      </c>
      <c r="O137" s="15" t="inlineStr"/>
      <c r="P137" s="15" t="inlineStr"/>
      <c r="Q137" s="18" t="inlineStr">
        <is>
          <t>Chưa test</t>
        </is>
      </c>
      <c r="R137" s="15" t="inlineStr"/>
    </row>
    <row r="138" ht="30" customHeight="1">
      <c r="A138" s="14" t="inlineStr">
        <is>
          <t>TC-PAY-137</t>
        </is>
      </c>
      <c r="B138" s="15" t="inlineStr">
        <is>
          <t>Thanh toán &amp; Gói thành viên</t>
        </is>
      </c>
      <c r="C138" s="15" t="inlineStr">
        <is>
          <t>Webhook</t>
        </is>
      </c>
      <c r="D138" s="15" t="inlineStr">
        <is>
          <t>Webhook payment.refunded cho giao dịch succeeded: hoàn tiền tự động, không gọi lại cổng</t>
        </is>
      </c>
      <c r="E138" s="15" t="inlineStr">
        <is>
          <t>Chức năng</t>
        </is>
      </c>
      <c r="F138" s="20" t="inlineStr">
        <is>
          <t>Trung bình</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38" s="15" t="inlineStr">
        <is>
          <t>1. Gửi payment.refunded {paymentId:&lt;id&gt;}
2. GET /api/me/payments bằng newbie</t>
        </is>
      </c>
      <c r="K138" s="15" t="inlineStr">
        <is>
          <t>-</t>
        </is>
      </c>
      <c r="L138" s="15" t="inlineStr">
        <is>
          <t>200; giao dịch refunded refundedCents=1900; có RefundRequest reason 'Hoàn tiền từ cổng thanh toán' auto=true status=approved; gói canceled, quyền bị thu hồi.</t>
        </is>
      </c>
      <c r="M138" s="15" t="inlineStr"/>
      <c r="N138" s="18" t="inlineStr">
        <is>
          <t>Chưa test</t>
        </is>
      </c>
      <c r="O138" s="15" t="inlineStr"/>
      <c r="P138" s="15" t="inlineStr"/>
      <c r="Q138" s="18" t="inlineStr">
        <is>
          <t>Chưa test</t>
        </is>
      </c>
      <c r="R138" s="15" t="inlineStr"/>
    </row>
    <row r="139" ht="30" customHeight="1">
      <c r="A139" s="14" t="inlineStr">
        <is>
          <t>TC-PAY-138</t>
        </is>
      </c>
      <c r="B139" s="15" t="inlineStr">
        <is>
          <t>Thanh toán &amp; Gói thành viên</t>
        </is>
      </c>
      <c r="C139" s="15" t="inlineStr">
        <is>
          <t>Webhook</t>
        </is>
      </c>
      <c r="D139" s="15" t="inlineStr">
        <is>
          <t>Webhook subscription.canceled kết thúc gói active</t>
        </is>
      </c>
      <c r="E139" s="15" t="inlineStr">
        <is>
          <t>Chức năng</t>
        </is>
      </c>
      <c r="F139" s="20" t="inlineStr">
        <is>
          <t>Trung bình</t>
        </is>
      </c>
      <c r="G139" s="17" t="inlineStr">
        <is>
          <t>Đã hoàn thiện</t>
        </is>
      </c>
      <c r="H139" s="17" t="inlineStr">
        <is>
          <t>Có</t>
        </is>
      </c>
      <c r="I139"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39" s="15" t="inlineStr">
        <is>
          <t>1. Gửi subscription.canceled {subscriptionId:'seed-sub-member1'}</t>
        </is>
      </c>
      <c r="K139" s="15" t="inlineStr">
        <is>
          <t>-</t>
        </is>
      </c>
      <c r="L139" s="15" t="inlineStr">
        <is>
          <t>200; gói status=canceled, quyền member1 bị thu hồi; thông báo 'Gói thành viên của bạn đã bị hủy bởi cổng thanh toán.'.</t>
        </is>
      </c>
      <c r="M139" s="15" t="inlineStr"/>
      <c r="N139" s="18" t="inlineStr">
        <is>
          <t>Chưa test</t>
        </is>
      </c>
      <c r="O139" s="15" t="inlineStr"/>
      <c r="P139" s="15" t="inlineStr"/>
      <c r="Q139" s="18" t="inlineStr">
        <is>
          <t>Chưa test</t>
        </is>
      </c>
      <c r="R139" s="15" t="inlineStr"/>
    </row>
    <row r="140" ht="30" customHeight="1">
      <c r="A140" s="14" t="inlineStr">
        <is>
          <t>TC-PAY-139</t>
        </is>
      </c>
      <c r="B140" s="15" t="inlineStr">
        <is>
          <t>Thanh toán &amp; Gói thành viên</t>
        </is>
      </c>
      <c r="C140" s="15" t="inlineStr">
        <is>
          <t>Webhook</t>
        </is>
      </c>
      <c r="D140" s="15" t="inlineStr">
        <is>
          <t>Hai webhook cùng event id gửi song song: đúng một bên xử lý</t>
        </is>
      </c>
      <c r="E140" s="15" t="inlineStr">
        <is>
          <t>Bảo mật</t>
        </is>
      </c>
      <c r="F140" s="16" t="inlineStr">
        <is>
          <t>Cao</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Ký webhook: header x-sofin-signature = t=&lt;unix giây hiện tại&gt;,v1=&lt;hex HMAC-SHA256 của chuỗi "&lt;t&gt;.&lt;rawBody&gt;"&gt;, secret = PAYMENT_WEBHOOK_SECRET (mặc định dev: dev-webhook-secret-change-me), rawBody là đúng chuỗi JSON gửi đi (không khoảng trắng thừa).</t>
        </is>
      </c>
      <c r="J140" s="15" t="inlineStr">
        <is>
          <t>1. Gửi đồng thời 5 request webhook cùng event id evt-par-1</t>
        </is>
      </c>
      <c r="K140" s="15" t="inlineStr">
        <is>
          <t>-</t>
        </is>
      </c>
      <c r="L140" s="15" t="inlineStr">
        <is>
          <t>Có đúng một response {received:true}, các response còn lại {received:true,duplicate:true}; chỉ 1 hóa đơn.</t>
        </is>
      </c>
      <c r="M140" s="15" t="inlineStr"/>
      <c r="N140" s="18" t="inlineStr">
        <is>
          <t>Chưa test</t>
        </is>
      </c>
      <c r="O140" s="15" t="inlineStr"/>
      <c r="P140" s="15" t="inlineStr"/>
      <c r="Q140" s="18" t="inlineStr">
        <is>
          <t>Chưa test</t>
        </is>
      </c>
      <c r="R140" s="15" t="inlineStr"/>
    </row>
    <row r="141" ht="30" customHeight="1">
      <c r="A141" s="14" t="inlineStr">
        <is>
          <t>TC-PAY-140</t>
        </is>
      </c>
      <c r="B141" s="15" t="inlineStr">
        <is>
          <t>Thanh toán &amp; Gói thành viên</t>
        </is>
      </c>
      <c r="C141" s="15" t="inlineStr">
        <is>
          <t>Webhook</t>
        </is>
      </c>
      <c r="D141" s="15" t="inlineStr">
        <is>
          <t>Webhook nhận không cần đăng nhập nhưng không bị giới hạn bởi CSRF/token người dùng</t>
        </is>
      </c>
      <c r="E141" s="15" t="inlineStr">
        <is>
          <t>Bảo mật</t>
        </is>
      </c>
      <c r="F141" s="17" t="inlineStr">
        <is>
          <t>Thấp</t>
        </is>
      </c>
      <c r="G141" s="17" t="inlineStr">
        <is>
          <t>Đã hoàn thiện</t>
        </is>
      </c>
      <c r="H141" s="17" t="inlineStr">
        <is>
          <t>Có</t>
        </is>
      </c>
      <c r="I141" s="15" t="inlineStr">
        <is>
          <t>Seed đã chạy (npm run db:seed) trên DB sạch; paid-demo = cộng đồng công khai $19/tháng (1900 cent), Owner: owner@sofinhub.test. Mật khẩu chung Passw0rd!x. Thành viên minh họa isDemo = demo-paid-demo-&lt;i&gt;, không đăng nhập được.</t>
        </is>
      </c>
      <c r="J141" s="15" t="inlineStr">
        <is>
          <t>1. Gửi webhook hợp lệ không kèm Authorization
2. Gửi kèm token member1 nhưng chữ ký sai</t>
        </is>
      </c>
      <c r="K141" s="15" t="inlineStr">
        <is>
          <t>-</t>
        </is>
      </c>
      <c r="L141" s="15" t="inlineStr">
        <is>
          <t>Lần 1: 200 (không yêu cầu 401). Lần 2: vẫn 400 - token người dùng không thay thế được chữ ký.</t>
        </is>
      </c>
      <c r="M141" s="15" t="inlineStr"/>
      <c r="N141" s="18" t="inlineStr">
        <is>
          <t>Chưa test</t>
        </is>
      </c>
      <c r="O141" s="15" t="inlineStr"/>
      <c r="P141" s="15" t="inlineStr"/>
      <c r="Q141" s="18" t="inlineStr">
        <is>
          <t>Chưa test</t>
        </is>
      </c>
      <c r="R141" s="15" t="inlineStr"/>
    </row>
    <row r="142" ht="45" customHeight="1">
      <c r="A142" s="14" t="inlineStr">
        <is>
          <t>TC-PAY-141</t>
        </is>
      </c>
      <c r="B142" s="15" t="inlineStr">
        <is>
          <t>Thanh toán &amp; Gói thành viên</t>
        </is>
      </c>
      <c r="C142" s="15" t="inlineStr">
        <is>
          <t>Webhook</t>
        </is>
      </c>
      <c r="D142" s="15" t="inlineStr">
        <is>
          <t>Cổng thanh toán thật (Stripe/PayOS/VNPay/MoMo): xác thực chữ ký và map sự kiện</t>
        </is>
      </c>
      <c r="E142" s="15" t="inlineStr">
        <is>
          <t>Tích hợp</t>
        </is>
      </c>
      <c r="F142" s="16" t="inlineStr">
        <is>
          <t>Cao</t>
        </is>
      </c>
      <c r="G142" s="20" t="inlineStr">
        <is>
          <t>Kế hoạch</t>
        </is>
      </c>
      <c r="H142" s="16" t="inlineStr">
        <is>
          <t>Không</t>
        </is>
      </c>
      <c r="I142" s="15" t="inlineStr">
        <is>
          <t>Chưa làm: chỉ có MockGateway; StripeGateway/PayOSGateway chưa hiện thực (docs/api/payments.md 'Viết StripeGateway').</t>
        </is>
      </c>
      <c r="J142" s="15" t="inlineStr">
        <is>
          <t>1. Cấu hình cổng thật (sandbox)
2. Thanh toán thẻ test
3. Quan sát webhook thật</t>
        </is>
      </c>
      <c r="K142" s="15" t="inlineStr">
        <is>
          <t>Thẻ test của cổng</t>
        </is>
      </c>
      <c r="L142" s="15" t="inlineStr">
        <is>
          <t>Khi làm xong: chữ ký cổng thật được xác thực, sự kiện map sang 5 loại nội bộ, quyền cấp qua webhook.</t>
        </is>
      </c>
      <c r="M142" s="15" t="inlineStr"/>
      <c r="N142" s="18" t="inlineStr">
        <is>
          <t>Chưa test</t>
        </is>
      </c>
      <c r="O142" s="15" t="inlineStr"/>
      <c r="P142" s="15" t="inlineStr"/>
      <c r="Q142" s="18" t="inlineStr">
        <is>
          <t>Chưa test</t>
        </is>
      </c>
      <c r="R142" s="15" t="inlineStr"/>
    </row>
    <row r="143" ht="30" customHeight="1">
      <c r="A143" s="14" t="inlineStr">
        <is>
          <t>TC-PAY-142</t>
        </is>
      </c>
      <c r="B143" s="15" t="inlineStr">
        <is>
          <t>Thanh toán &amp; Gói thành viên</t>
        </is>
      </c>
      <c r="C143" s="15" t="inlineStr">
        <is>
          <t>Gói của tôi</t>
        </is>
      </c>
      <c r="D143" s="15" t="inlineStr">
        <is>
          <t>GET /me/subscriptions của member1: 1 gói active có courseTitle và accessUntil</t>
        </is>
      </c>
      <c r="E143" s="15" t="inlineStr">
        <is>
          <t>Chức năng</t>
        </is>
      </c>
      <c r="F143" s="16" t="inlineStr">
        <is>
          <t>Cao</t>
        </is>
      </c>
      <c r="G143" s="17" t="inlineStr">
        <is>
          <t>Đã hoàn thiện</t>
        </is>
      </c>
      <c r="H143" s="17" t="inlineStr">
        <is>
          <t>Có</t>
        </is>
      </c>
      <c r="I14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43" s="15" t="inlineStr">
        <is>
          <t>1. GET /api/me/subscriptions</t>
        </is>
      </c>
      <c r="K143" s="15" t="inlineStr">
        <is>
          <t>-</t>
        </is>
      </c>
      <c r="L143" s="15" t="inlineStr">
        <is>
          <t>200 data gồm seed-sub-member1: status=active, priceCents=1900, courseTitle='Cộng đồng có phí (demo)', accessUntil = currentPeriodEnd (~ +20 ngày).</t>
        </is>
      </c>
      <c r="M143" s="15" t="inlineStr"/>
      <c r="N143" s="18" t="inlineStr">
        <is>
          <t>Chưa test</t>
        </is>
      </c>
      <c r="O143" s="15" t="inlineStr"/>
      <c r="P143" s="15" t="inlineStr"/>
      <c r="Q143" s="18" t="inlineStr">
        <is>
          <t>Chưa test</t>
        </is>
      </c>
      <c r="R143" s="15" t="inlineStr"/>
    </row>
    <row r="144" ht="30" customHeight="1">
      <c r="A144" s="14" t="inlineStr">
        <is>
          <t>TC-PAY-143</t>
        </is>
      </c>
      <c r="B144" s="15" t="inlineStr">
        <is>
          <t>Thanh toán &amp; Gói thành viên</t>
        </is>
      </c>
      <c r="C144" s="15" t="inlineStr">
        <is>
          <t>Gói của tôi</t>
        </is>
      </c>
      <c r="D144" s="15" t="inlineStr">
        <is>
          <t>member3: gói trialing có accessUntil ~ +4 ngày</t>
        </is>
      </c>
      <c r="E144" s="15" t="inlineStr">
        <is>
          <t>Chức năng</t>
        </is>
      </c>
      <c r="F144" s="20" t="inlineStr">
        <is>
          <t>Trung bình</t>
        </is>
      </c>
      <c r="G144" s="17" t="inlineStr">
        <is>
          <t>Đã hoàn thiện</t>
        </is>
      </c>
      <c r="H144" s="17" t="inlineStr">
        <is>
          <t>Có</t>
        </is>
      </c>
      <c r="I144"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144" s="15" t="inlineStr">
        <is>
          <t>1. GET /api/me/subscriptions</t>
        </is>
      </c>
      <c r="K144" s="15" t="inlineStr">
        <is>
          <t>-</t>
        </is>
      </c>
      <c r="L144" s="15" t="inlineStr">
        <is>
          <t>seed-sub-member3 status=trialing, trialEndsAt ~ +4 ngày, accessUntil = currentPeriodEnd.</t>
        </is>
      </c>
      <c r="M144" s="15" t="inlineStr"/>
      <c r="N144" s="18" t="inlineStr">
        <is>
          <t>Chưa test</t>
        </is>
      </c>
      <c r="O144" s="15" t="inlineStr"/>
      <c r="P144" s="15" t="inlineStr"/>
      <c r="Q144" s="18" t="inlineStr">
        <is>
          <t>Chưa test</t>
        </is>
      </c>
      <c r="R144" s="15" t="inlineStr"/>
    </row>
    <row r="145" ht="30" customHeight="1">
      <c r="A145" s="14" t="inlineStr">
        <is>
          <t>TC-PAY-144</t>
        </is>
      </c>
      <c r="B145" s="15" t="inlineStr">
        <is>
          <t>Thanh toán &amp; Gói thành viên</t>
        </is>
      </c>
      <c r="C145" s="15" t="inlineStr">
        <is>
          <t>Gói của tôi</t>
        </is>
      </c>
      <c r="D145" s="15" t="inlineStr">
        <is>
          <t>Gói đã hủy/hết hạn có accessUntil = null</t>
        </is>
      </c>
      <c r="E145" s="15" t="inlineStr">
        <is>
          <t>Chức năng</t>
        </is>
      </c>
      <c r="F145" s="20" t="inlineStr">
        <is>
          <t>Trung bình</t>
        </is>
      </c>
      <c r="G145" s="17" t="inlineStr">
        <is>
          <t>Đã hoàn thiện</t>
        </is>
      </c>
      <c r="H145" s="20" t="inlineStr">
        <is>
          <t>Một phần</t>
        </is>
      </c>
      <c r="I145"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145" s="15" t="inlineStr">
        <is>
          <t>1. GET /api/me/subscriptions</t>
        </is>
      </c>
      <c r="K145" s="15" t="inlineStr">
        <is>
          <t>-</t>
        </is>
      </c>
      <c r="L145" s="15" t="inlineStr">
        <is>
          <t>Gói status=canceled/expired có accessUntil=null (chỉ active/trialing có ngày truy cập).</t>
        </is>
      </c>
      <c r="M145" s="15" t="inlineStr"/>
      <c r="N145" s="18" t="inlineStr">
        <is>
          <t>Chưa test</t>
        </is>
      </c>
      <c r="O145" s="15" t="inlineStr"/>
      <c r="P145" s="15" t="inlineStr"/>
      <c r="Q145" s="18" t="inlineStr">
        <is>
          <t>Chưa test</t>
        </is>
      </c>
      <c r="R145" s="15" t="inlineStr"/>
    </row>
    <row r="146" ht="30" customHeight="1">
      <c r="A146" s="14" t="inlineStr">
        <is>
          <t>TC-PAY-145</t>
        </is>
      </c>
      <c r="B146" s="15" t="inlineStr">
        <is>
          <t>Thanh toán &amp; Gói thành viên</t>
        </is>
      </c>
      <c r="C146" s="15" t="inlineStr">
        <is>
          <t>Gói của tôi</t>
        </is>
      </c>
      <c r="D146" s="15" t="inlineStr">
        <is>
          <t>Tài khoản không có gói trả mảng rỗng; guest 401</t>
        </is>
      </c>
      <c r="E146" s="15" t="inlineStr">
        <is>
          <t>Chức năng</t>
        </is>
      </c>
      <c r="F146" s="17" t="inlineStr">
        <is>
          <t>Thấp</t>
        </is>
      </c>
      <c r="G146" s="17" t="inlineStr">
        <is>
          <t>Đã hoàn thiện</t>
        </is>
      </c>
      <c r="H146" s="17" t="inlineStr">
        <is>
          <t>Có</t>
        </is>
      </c>
      <c r="I146" s="15" t="inlineStr">
        <is>
          <t>-</t>
        </is>
      </c>
      <c r="J146" s="15" t="inlineStr">
        <is>
          <t>1. GET /api/me/subscriptions bằng banned@sofinhub.test
2. GET /api/me/subscriptions không token</t>
        </is>
      </c>
      <c r="K146" s="15" t="inlineStr">
        <is>
          <t>-</t>
        </is>
      </c>
      <c r="L146" s="15" t="inlineStr">
        <is>
          <t>200 data=[]; 401 UNAUTHORIZED. UI /billing hiện trạng thái rỗng cho phần Gói của tôi.</t>
        </is>
      </c>
      <c r="M146" s="15" t="inlineStr"/>
      <c r="N146" s="18" t="inlineStr">
        <is>
          <t>Chưa test</t>
        </is>
      </c>
      <c r="O146" s="15" t="inlineStr"/>
      <c r="P146" s="15" t="inlineStr"/>
      <c r="Q146" s="18" t="inlineStr">
        <is>
          <t>Chưa test</t>
        </is>
      </c>
      <c r="R146" s="15" t="inlineStr"/>
    </row>
    <row r="147" ht="30" customHeight="1">
      <c r="A147" s="14" t="inlineStr">
        <is>
          <t>TC-PAY-146</t>
        </is>
      </c>
      <c r="B147" s="15" t="inlineStr">
        <is>
          <t>Thanh toán &amp; Gói thành viên</t>
        </is>
      </c>
      <c r="C147" s="15" t="inlineStr">
        <is>
          <t>Gói của tôi</t>
        </is>
      </c>
      <c r="D147" s="15" t="inlineStr">
        <is>
          <t>GET /courses/paid-demo/subscription trả cấu trúc enrolled/latestPayment/subscription</t>
        </is>
      </c>
      <c r="E147" s="15" t="inlineStr">
        <is>
          <t>Chức năng</t>
        </is>
      </c>
      <c r="F147" s="20" t="inlineStr">
        <is>
          <t>Trung bình</t>
        </is>
      </c>
      <c r="G147" s="17" t="inlineStr">
        <is>
          <t>Đã hoàn thiện</t>
        </is>
      </c>
      <c r="H147" s="17" t="inlineStr">
        <is>
          <t>Có</t>
        </is>
      </c>
      <c r="I147"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147" s="15" t="inlineStr">
        <is>
          <t>1. GET /api/courses/paid-demo/subscription</t>
        </is>
      </c>
      <c r="K147" s="15" t="inlineStr">
        <is>
          <t>-</t>
        </is>
      </c>
      <c r="L147" s="15" t="inlineStr">
        <is>
          <t>member1: enrolled=true, latestPayment = seed-pay-member1-b, subscription seed-sub-member1. newbie: enrolled=false, latestPayment=null, subscription=null.</t>
        </is>
      </c>
      <c r="M147" s="15" t="inlineStr"/>
      <c r="N147" s="18" t="inlineStr">
        <is>
          <t>Chưa test</t>
        </is>
      </c>
      <c r="O147" s="15" t="inlineStr"/>
      <c r="P147" s="15" t="inlineStr"/>
      <c r="Q147" s="18" t="inlineStr">
        <is>
          <t>Chưa test</t>
        </is>
      </c>
      <c r="R147" s="15" t="inlineStr"/>
    </row>
    <row r="148" ht="30" customHeight="1">
      <c r="A148" s="14" t="inlineStr">
        <is>
          <t>TC-PAY-147</t>
        </is>
      </c>
      <c r="B148" s="15" t="inlineStr">
        <is>
          <t>Thanh toán &amp; Gói thành viên</t>
        </is>
      </c>
      <c r="C148" s="15" t="inlineStr">
        <is>
          <t>Gói của tôi</t>
        </is>
      </c>
      <c r="D148" s="15" t="inlineStr">
        <is>
          <t>Nhãn trạng thái gói trên /billing khớp từng loại</t>
        </is>
      </c>
      <c r="E148" s="15" t="inlineStr">
        <is>
          <t>Giao diện</t>
        </is>
      </c>
      <c r="F148" s="20" t="inlineStr">
        <is>
          <t>Trung bình</t>
        </is>
      </c>
      <c r="G148" s="17" t="inlineStr">
        <is>
          <t>Đã hoàn thiện</t>
        </is>
      </c>
      <c r="H148" s="17" t="inlineStr">
        <is>
          <t>Có</t>
        </is>
      </c>
      <c r="I148"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148" s="15" t="inlineStr">
        <is>
          <t>1. Mở /billing với từng tài khoản</t>
        </is>
      </c>
      <c r="K148" s="15" t="inlineStr">
        <is>
          <t>-</t>
        </is>
      </c>
      <c r="L148" s="15" t="inlineStr">
        <is>
          <t>member1 'Đang hoạt động'; member2 'Đã hủy' (còn truy cập đến hết kỳ) + nút 'Tiếp tục gói'; member3 'Đang dùng thử'. Gói expired hiện 'Đã hết hạn'.</t>
        </is>
      </c>
      <c r="M148" s="15" t="inlineStr"/>
      <c r="N148" s="18" t="inlineStr">
        <is>
          <t>Chưa test</t>
        </is>
      </c>
      <c r="O148" s="15" t="inlineStr"/>
      <c r="P148" s="15" t="inlineStr"/>
      <c r="Q148" s="18" t="inlineStr">
        <is>
          <t>Chưa test</t>
        </is>
      </c>
      <c r="R148" s="15" t="inlineStr"/>
    </row>
    <row r="149" ht="30" customHeight="1">
      <c r="A149" s="14" t="inlineStr">
        <is>
          <t>TC-PAY-148</t>
        </is>
      </c>
      <c r="B149" s="15" t="inlineStr">
        <is>
          <t>Thanh toán &amp; Gói thành viên</t>
        </is>
      </c>
      <c r="C149" s="15" t="inlineStr">
        <is>
          <t>Gói của tôi</t>
        </is>
      </c>
      <c r="D149" s="15" t="inlineStr">
        <is>
          <t>Thành viên tham gia nhiều cộng đồng trả phí: mỗi gói độc lập</t>
        </is>
      </c>
      <c r="E149" s="15" t="inlineStr">
        <is>
          <t>Chức năng</t>
        </is>
      </c>
      <c r="F149" s="20" t="inlineStr">
        <is>
          <t>Trung bình</t>
        </is>
      </c>
      <c r="G149" s="17" t="inlineStr">
        <is>
          <t>Đã hoàn thiện</t>
        </is>
      </c>
      <c r="H149" s="20" t="inlineStr">
        <is>
          <t>Một phần</t>
        </is>
      </c>
      <c r="I149" s="15" t="inlineStr">
        <is>
          <t>Cần thêm ít nhất 1 cộng đồng có phí thứ hai (paid-demo là cộng đồng có phí duy nhất của seed; yt/fin/photo chưa chắc có phí) - Owner tạo cộng đồng có phí mới.</t>
        </is>
      </c>
      <c r="J149" s="15" t="inlineStr">
        <is>
          <t>1. Mua paid-demo và cộng đồng có phí thứ hai bằng cùng tài khoản
2. GET /api/me/subscriptions</t>
        </is>
      </c>
      <c r="K149" s="15" t="inlineStr">
        <is>
          <t>-</t>
        </is>
      </c>
      <c r="L149" s="15" t="inlineStr">
        <is>
          <t>Hai gói riêng biệt, giá và kỳ độc lập; hủy gói này không ảnh hưởng gói kia.</t>
        </is>
      </c>
      <c r="M149" s="15" t="inlineStr"/>
      <c r="N149" s="18" t="inlineStr">
        <is>
          <t>Chưa test</t>
        </is>
      </c>
      <c r="O149" s="15" t="inlineStr"/>
      <c r="P149" s="15" t="inlineStr"/>
      <c r="Q149" s="18" t="inlineStr">
        <is>
          <t>Chưa test</t>
        </is>
      </c>
      <c r="R149" s="15" t="inlineStr"/>
    </row>
    <row r="150" ht="30" customHeight="1">
      <c r="A150" s="14" t="inlineStr">
        <is>
          <t>TC-PAY-149</t>
        </is>
      </c>
      <c r="B150" s="15" t="inlineStr">
        <is>
          <t>Thanh toán &amp; Gói thành viên</t>
        </is>
      </c>
      <c r="C150" s="15" t="inlineStr">
        <is>
          <t>Doanh thu Owner</t>
        </is>
      </c>
      <c r="D150" s="15" t="inlineStr">
        <is>
          <t>Owner xem doanh thu toàn thời gian: tổng thu (gross)</t>
        </is>
      </c>
      <c r="E150" s="15" t="inlineStr">
        <is>
          <t>Chức năng</t>
        </is>
      </c>
      <c r="F150" s="16" t="inlineStr">
        <is>
          <t>Cao</t>
        </is>
      </c>
      <c r="G150" s="17" t="inlineStr">
        <is>
          <t>Đã hoàn thiện</t>
        </is>
      </c>
      <c r="H150" s="17" t="inlineStr">
        <is>
          <t>Có</t>
        </is>
      </c>
      <c r="I15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150" s="15" t="inlineStr">
        <is>
          <t>1. GET /api/courses/paid-demo/revenue</t>
        </is>
      </c>
      <c r="K150" s="15" t="inlineStr">
        <is>
          <t>-</t>
        </is>
      </c>
      <c r="L150" s="15" t="inlineStr">
        <is>
          <t>200 data.grossCents = 55100 (29 x 1900), refundsCents = 1900 (chỉ seed-pay-refunded). currency='usd'.</t>
        </is>
      </c>
      <c r="M150" s="15" t="inlineStr"/>
      <c r="N150" s="18" t="inlineStr">
        <is>
          <t>Chưa test</t>
        </is>
      </c>
      <c r="O150" s="15" t="inlineStr"/>
      <c r="P150" s="15" t="inlineStr"/>
      <c r="Q150" s="18" t="inlineStr">
        <is>
          <t>Chưa test</t>
        </is>
      </c>
      <c r="R150" s="15" t="inlineStr"/>
    </row>
    <row r="151" ht="30" customHeight="1">
      <c r="A151" s="14" t="inlineStr">
        <is>
          <t>TC-PAY-150</t>
        </is>
      </c>
      <c r="B151" s="15" t="inlineStr">
        <is>
          <t>Thanh toán &amp; Gói thành viên</t>
        </is>
      </c>
      <c r="C151" s="15" t="inlineStr">
        <is>
          <t>Doanh thu Owner</t>
        </is>
      </c>
      <c r="D151" s="15" t="inlineStr">
        <is>
          <t>Hoa hồng nền tảng 10% tính trên phần giữ lại</t>
        </is>
      </c>
      <c r="E151" s="15" t="inlineStr">
        <is>
          <t>Chức năng</t>
        </is>
      </c>
      <c r="F151" s="16" t="inlineStr">
        <is>
          <t>Cao</t>
        </is>
      </c>
      <c r="G151" s="17" t="inlineStr">
        <is>
          <t>Đã hoàn thiện</t>
        </is>
      </c>
      <c r="H151" s="17" t="inlineStr">
        <is>
          <t>Có</t>
        </is>
      </c>
      <c r="I15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51" s="15" t="inlineStr">
        <is>
          <t>1. GET /api/courses/paid-demo/revenue</t>
        </is>
      </c>
      <c r="K151" s="15" t="inlineStr">
        <is>
          <t>PLATFORM_COMMISSION_PCT=10 (giá trị tạm)</t>
        </is>
      </c>
      <c r="L151" s="15" t="inlineStr">
        <is>
          <t>platformCommissionCents = 5320 (28 giao dịch x 190; giao dịch đã hoàn 1900 có phần giữ lại = 0 nên hoa hồng 0). assumptions.platformCommissionPct=10.</t>
        </is>
      </c>
      <c r="M151" s="15" t="inlineStr"/>
      <c r="N151" s="18" t="inlineStr">
        <is>
          <t>Chưa test</t>
        </is>
      </c>
      <c r="O151" s="15" t="inlineStr"/>
      <c r="P151" s="15" t="inlineStr"/>
      <c r="Q151" s="18" t="inlineStr">
        <is>
          <t>Chưa test</t>
        </is>
      </c>
      <c r="R151" s="15" t="inlineStr"/>
    </row>
    <row r="152" ht="30" customHeight="1">
      <c r="A152" s="14" t="inlineStr">
        <is>
          <t>TC-PAY-151</t>
        </is>
      </c>
      <c r="B152" s="15" t="inlineStr">
        <is>
          <t>Thanh toán &amp; Gói thành viên</t>
        </is>
      </c>
      <c r="C152" s="15" t="inlineStr">
        <is>
          <t>Doanh thu Owner</t>
        </is>
      </c>
      <c r="D152" s="15" t="inlineStr">
        <is>
          <t>Phí cổng thanh toán 2.9% + 30 cent không được hoàn khi hoàn tiền</t>
        </is>
      </c>
      <c r="E152" s="15" t="inlineStr">
        <is>
          <t>Chức năng</t>
        </is>
      </c>
      <c r="F152" s="16" t="inlineStr">
        <is>
          <t>Cao</t>
        </is>
      </c>
      <c r="G152" s="17" t="inlineStr">
        <is>
          <t>Đã hoàn thiện</t>
        </is>
      </c>
      <c r="H152" s="17" t="inlineStr">
        <is>
          <t>Có</t>
        </is>
      </c>
      <c r="I15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52" s="15" t="inlineStr">
        <is>
          <t>1. GET /api/courses/paid-demo/revenue</t>
        </is>
      </c>
      <c r="K152" s="15" t="inlineStr">
        <is>
          <t>GATEWAY_FEE_PCT=2.9, GATEWAY_FEE_FIXED_CENTS=30 (mô phỏng, tạm)</t>
        </is>
      </c>
      <c r="L152" s="15" t="inlineStr">
        <is>
          <t>gatewayFeeCents = 2465 (29 giao dịch x 85, gồm cả giao dịch đã hoàn). assumptions.gatewayFeePct=2.9, gatewayFeeFixedCents=30.</t>
        </is>
      </c>
      <c r="M152" s="15" t="inlineStr"/>
      <c r="N152" s="18" t="inlineStr">
        <is>
          <t>Chưa test</t>
        </is>
      </c>
      <c r="O152" s="15" t="inlineStr"/>
      <c r="P152" s="15" t="inlineStr"/>
      <c r="Q152" s="18" t="inlineStr">
        <is>
          <t>Chưa test</t>
        </is>
      </c>
      <c r="R152" s="15" t="inlineStr"/>
    </row>
    <row r="153" ht="30" customHeight="1">
      <c r="A153" s="14" t="inlineStr">
        <is>
          <t>TC-PAY-152</t>
        </is>
      </c>
      <c r="B153" s="15" t="inlineStr">
        <is>
          <t>Thanh toán &amp; Gói thành viên</t>
        </is>
      </c>
      <c r="C153" s="15" t="inlineStr">
        <is>
          <t>Doanh thu Owner</t>
        </is>
      </c>
      <c r="D153" s="15" t="inlineStr">
        <is>
          <t>Net = gross - hoàn - hoa hồng - phí cổng</t>
        </is>
      </c>
      <c r="E153" s="15" t="inlineStr">
        <is>
          <t>Chức năng</t>
        </is>
      </c>
      <c r="F153" s="16" t="inlineStr">
        <is>
          <t>Cao</t>
        </is>
      </c>
      <c r="G153" s="17" t="inlineStr">
        <is>
          <t>Đã hoàn thiện</t>
        </is>
      </c>
      <c r="H153" s="17" t="inlineStr">
        <is>
          <t>Có</t>
        </is>
      </c>
      <c r="I153"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53" s="15" t="inlineStr">
        <is>
          <t>1. Đăng nhập owner, GET /api/courses/paid-demo/revenue
2. Tự tính: 55100 - 1900 - 5320 - 2465</t>
        </is>
      </c>
      <c r="K153" s="15" t="inlineStr">
        <is>
          <t>-</t>
        </is>
      </c>
      <c r="L153" s="15" t="inlineStr">
        <is>
          <t>netCents = 45415 (= $454.15). Kiểm tra đẳng thức net = gross - refunds - commission - fee trên chính response.</t>
        </is>
      </c>
      <c r="M153" s="15" t="inlineStr"/>
      <c r="N153" s="18" t="inlineStr">
        <is>
          <t>Chưa test</t>
        </is>
      </c>
      <c r="O153" s="15" t="inlineStr"/>
      <c r="P153" s="15" t="inlineStr"/>
      <c r="Q153" s="18" t="inlineStr">
        <is>
          <t>Chưa test</t>
        </is>
      </c>
      <c r="R153" s="15" t="inlineStr"/>
    </row>
    <row r="154" ht="30" customHeight="1">
      <c r="A154" s="14" t="inlineStr">
        <is>
          <t>TC-PAY-153</t>
        </is>
      </c>
      <c r="B154" s="15" t="inlineStr">
        <is>
          <t>Thanh toán &amp; Gói thành viên</t>
        </is>
      </c>
      <c r="C154" s="15" t="inlineStr">
        <is>
          <t>Doanh thu Owner</t>
        </is>
      </c>
      <c r="D154" s="15" t="inlineStr">
        <is>
          <t>Số dư khả dụng và số tiền đã yêu cầu rút</t>
        </is>
      </c>
      <c r="E154" s="15" t="inlineStr">
        <is>
          <t>Chức năng</t>
        </is>
      </c>
      <c r="F154" s="16" t="inlineStr">
        <is>
          <t>Cao</t>
        </is>
      </c>
      <c r="G154" s="17" t="inlineStr">
        <is>
          <t>Đã hoàn thiện</t>
        </is>
      </c>
      <c r="H154" s="17" t="inlineStr">
        <is>
          <t>Có</t>
        </is>
      </c>
      <c r="I15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54" s="15" t="inlineStr">
        <is>
          <t>1. Đăng nhập owner, GET /api/courses/paid-demo/revenue</t>
        </is>
      </c>
      <c r="K154" s="15" t="inlineStr">
        <is>
          <t>-</t>
        </is>
      </c>
      <c r="L154" s="15" t="inlineStr">
        <is>
          <t>payoutRequestedCents = 10000 (payout paid 5000 + requested 5000; rejected không tính); availableBalanceCents = 45415 - 10000 = 35415 (= $354.15).</t>
        </is>
      </c>
      <c r="M154" s="15" t="inlineStr"/>
      <c r="N154" s="18" t="inlineStr">
        <is>
          <t>Chưa test</t>
        </is>
      </c>
      <c r="O154" s="15" t="inlineStr"/>
      <c r="P154" s="15" t="inlineStr"/>
      <c r="Q154" s="18" t="inlineStr">
        <is>
          <t>Chưa test</t>
        </is>
      </c>
      <c r="R154" s="15" t="inlineStr"/>
    </row>
    <row r="155" ht="30" customHeight="1">
      <c r="A155" s="14" t="inlineStr">
        <is>
          <t>TC-PAY-154</t>
        </is>
      </c>
      <c r="B155" s="15" t="inlineStr">
        <is>
          <t>Thanh toán &amp; Gói thành viên</t>
        </is>
      </c>
      <c r="C155" s="15" t="inlineStr">
        <is>
          <t>Doanh thu Owner</t>
        </is>
      </c>
      <c r="D155" s="15" t="inlineStr">
        <is>
          <t>MRR, thành viên trả phí và dùng thử</t>
        </is>
      </c>
      <c r="E155" s="15" t="inlineStr">
        <is>
          <t>Chức năng</t>
        </is>
      </c>
      <c r="F155" s="16" t="inlineStr">
        <is>
          <t>Cao</t>
        </is>
      </c>
      <c r="G155" s="17" t="inlineStr">
        <is>
          <t>Đã hoàn thiện</t>
        </is>
      </c>
      <c r="H155" s="17" t="inlineStr">
        <is>
          <t>Có</t>
        </is>
      </c>
      <c r="I15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155" s="15" t="inlineStr">
        <is>
          <t>1. GET /api/courses/paid-demo/revenue bằng owner</t>
        </is>
      </c>
      <c r="K155" s="15" t="inlineStr">
        <is>
          <t>-</t>
        </is>
      </c>
      <c r="L155" s="15" t="inlineStr">
        <is>
          <t>activePaidMembers = 11; trialingMembers = 1; mrrCents = 17100 (9 gói active không hủy-cuối-kỳ x 1900 = $171.00).</t>
        </is>
      </c>
      <c r="M155" s="15" t="inlineStr"/>
      <c r="N155" s="18" t="inlineStr">
        <is>
          <t>Chưa test</t>
        </is>
      </c>
      <c r="O155" s="15" t="inlineStr"/>
      <c r="P155" s="15" t="inlineStr"/>
      <c r="Q155" s="18" t="inlineStr">
        <is>
          <t>Chưa test</t>
        </is>
      </c>
      <c r="R155" s="15" t="inlineStr"/>
    </row>
    <row r="156" ht="30" customHeight="1">
      <c r="A156" s="14" t="inlineStr">
        <is>
          <t>TC-PAY-155</t>
        </is>
      </c>
      <c r="B156" s="15" t="inlineStr">
        <is>
          <t>Thanh toán &amp; Gói thành viên</t>
        </is>
      </c>
      <c r="C156" s="15" t="inlineStr">
        <is>
          <t>Doanh thu Owner</t>
        </is>
      </c>
      <c r="D156" s="15" t="inlineStr">
        <is>
          <t>recentTransactions: tối đa 20 dòng mới nhất, đúng trường</t>
        </is>
      </c>
      <c r="E156" s="15" t="inlineStr">
        <is>
          <t>Chức năng</t>
        </is>
      </c>
      <c r="F156" s="20" t="inlineStr">
        <is>
          <t>Trung bình</t>
        </is>
      </c>
      <c r="G156" s="17" t="inlineStr">
        <is>
          <t>Đã hoàn thiện</t>
        </is>
      </c>
      <c r="H156" s="17" t="inlineStr">
        <is>
          <t>Có</t>
        </is>
      </c>
      <c r="I15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56" s="15" t="inlineStr">
        <is>
          <t>1. GET /api/courses/paid-demo/revenue bằng owner
2. Đếm phần tử recentTransactions</t>
        </is>
      </c>
      <c r="K156" s="15" t="inlineStr">
        <is>
          <t>-</t>
        </is>
      </c>
      <c r="L156" s="15" t="inlineStr">
        <is>
          <t>recentTransactions.length = 20 (tổng 29 giao dịch); sắp xếp mới nhất trước; mỗi dòng có id, userId, kind, status, amountCents, refundedCents, invoiceNumber, confirmedAt.</t>
        </is>
      </c>
      <c r="M156" s="15" t="inlineStr"/>
      <c r="N156" s="18" t="inlineStr">
        <is>
          <t>Chưa test</t>
        </is>
      </c>
      <c r="O156" s="15" t="inlineStr"/>
      <c r="P156" s="15" t="inlineStr"/>
      <c r="Q156" s="18" t="inlineStr">
        <is>
          <t>Chưa test</t>
        </is>
      </c>
      <c r="R156" s="15" t="inlineStr"/>
    </row>
    <row r="157" ht="30" customHeight="1">
      <c r="A157" s="14" t="inlineStr">
        <is>
          <t>TC-PAY-156</t>
        </is>
      </c>
      <c r="B157" s="15" t="inlineStr">
        <is>
          <t>Thanh toán &amp; Gói thành viên</t>
        </is>
      </c>
      <c r="C157" s="15" t="inlineStr">
        <is>
          <t>Doanh thu Owner</t>
        </is>
      </c>
      <c r="D157" s="15" t="inlineStr">
        <is>
          <t>Lọc from/to: khoảng tương lai cho số 0 nhưng số dư vẫn toàn thời gian</t>
        </is>
      </c>
      <c r="E157" s="15" t="inlineStr">
        <is>
          <t>Chức năng</t>
        </is>
      </c>
      <c r="F157" s="20" t="inlineStr">
        <is>
          <t>Trung bình</t>
        </is>
      </c>
      <c r="G157" s="17" t="inlineStr">
        <is>
          <t>Đã hoàn thiện</t>
        </is>
      </c>
      <c r="H157" s="17" t="inlineStr">
        <is>
          <t>Có</t>
        </is>
      </c>
      <c r="I15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57" s="15" t="inlineStr">
        <is>
          <t>1. GET /api/courses/paid-demo/revenue?from=2099-01-01&amp;to=2099-12-31 bằng owner</t>
        </is>
      </c>
      <c r="K157" s="15" t="inlineStr">
        <is>
          <t>from/to tương lai</t>
        </is>
      </c>
      <c r="L157" s="15" t="inlineStr">
        <is>
          <t>grossCents=0, refundsCents=0, commission=0, fee=0, netCents=0; availableBalanceCents vẫn = 35415 và mrrCents vẫn = 17100 (không phụ thuộc bộ lọc); range.from/to phản ánh giá trị truyền vào.</t>
        </is>
      </c>
      <c r="M157" s="15" t="inlineStr"/>
      <c r="N157" s="18" t="inlineStr">
        <is>
          <t>Chưa test</t>
        </is>
      </c>
      <c r="O157" s="15" t="inlineStr"/>
      <c r="P157" s="15" t="inlineStr"/>
      <c r="Q157" s="18" t="inlineStr">
        <is>
          <t>Chưa test</t>
        </is>
      </c>
      <c r="R157" s="15" t="inlineStr"/>
    </row>
    <row r="158" ht="30" customHeight="1">
      <c r="A158" s="14" t="inlineStr">
        <is>
          <t>TC-PAY-157</t>
        </is>
      </c>
      <c r="B158" s="15" t="inlineStr">
        <is>
          <t>Thanh toán &amp; Gói thành viên</t>
        </is>
      </c>
      <c r="C158" s="15" t="inlineStr">
        <is>
          <t>Doanh thu Owner</t>
        </is>
      </c>
      <c r="D158" s="15" t="inlineStr">
        <is>
          <t>Lọc from/to theo ngày: to tính hết ngày (YYYY-MM-DD)</t>
        </is>
      </c>
      <c r="E158" s="15" t="inlineStr">
        <is>
          <t>Chức năng</t>
        </is>
      </c>
      <c r="F158" s="20" t="inlineStr">
        <is>
          <t>Trung bình</t>
        </is>
      </c>
      <c r="G158" s="17" t="inlineStr">
        <is>
          <t>Đã hoàn thiện</t>
        </is>
      </c>
      <c r="H158" s="20" t="inlineStr">
        <is>
          <t>Một phần</t>
        </is>
      </c>
      <c r="I158"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158" s="15" t="inlineStr">
        <is>
          <t>1. Tính ngày D = ngày của 10 ngày trước (UTC)
2. GET /api/courses/paid-demo/revenue?from=D&amp;to=D bằng owner</t>
        </is>
      </c>
      <c r="K158" s="15" t="inlineStr">
        <is>
          <t>from=to=D</t>
        </is>
      </c>
      <c r="L158" s="15" t="inlineStr">
        <is>
          <t>grossCents chỉ gồm các giao dịch trong ngày D (ít nhất seed-pay-member1-b: &gt;= 1900); to=D bao gồm cả các giao dịch cuối ngày (23:59:59.999) nhờ cộng hết ngày.</t>
        </is>
      </c>
      <c r="M158" s="15" t="inlineStr"/>
      <c r="N158" s="18" t="inlineStr">
        <is>
          <t>Chưa test</t>
        </is>
      </c>
      <c r="O158" s="15" t="inlineStr"/>
      <c r="P158" s="15" t="inlineStr"/>
      <c r="Q158" s="18" t="inlineStr">
        <is>
          <t>Chưa test</t>
        </is>
      </c>
      <c r="R158" s="15" t="inlineStr"/>
    </row>
    <row r="159" ht="30" customHeight="1">
      <c r="A159" s="14" t="inlineStr">
        <is>
          <t>TC-PAY-158</t>
        </is>
      </c>
      <c r="B159" s="15" t="inlineStr">
        <is>
          <t>Thanh toán &amp; Gói thành viên</t>
        </is>
      </c>
      <c r="C159" s="15" t="inlineStr">
        <is>
          <t>Doanh thu Owner</t>
        </is>
      </c>
      <c r="D159" s="15" t="inlineStr">
        <is>
          <t>Tham số from/to sai định dạng bị 400</t>
        </is>
      </c>
      <c r="E159" s="15" t="inlineStr">
        <is>
          <t>Chức năng</t>
        </is>
      </c>
      <c r="F159" s="17" t="inlineStr">
        <is>
          <t>Thấp</t>
        </is>
      </c>
      <c r="G159" s="17" t="inlineStr">
        <is>
          <t>Đã hoàn thiện</t>
        </is>
      </c>
      <c r="H159" s="17" t="inlineStr">
        <is>
          <t>Có</t>
        </is>
      </c>
      <c r="I159" s="15" t="inlineStr">
        <is>
          <t>Seed đã chạy (npm run db:seed) trên DB sạch; paid-demo = cộng đồng công khai $19/tháng (1900 cent), Owner: owner@sofinhub.test. Mật khẩu chung Passw0rd!x. Thành viên minh họa isDemo = demo-paid-demo-&lt;i&gt;, không đăng nhập được.</t>
        </is>
      </c>
      <c r="J159" s="15" t="inlineStr">
        <is>
          <t>1. GET /api/courses/paid-demo/revenue?from=hom-qua bằng owner
2. GET ...?to=2026-13-45</t>
        </is>
      </c>
      <c r="K159" s="15" t="inlineStr">
        <is>
          <t>-</t>
        </is>
      </c>
      <c r="L159" s="15" t="inlineStr">
        <is>
          <t>Cả hai 400 VALIDATION_ERROR.</t>
        </is>
      </c>
      <c r="M159" s="15" t="inlineStr"/>
      <c r="N159" s="18" t="inlineStr">
        <is>
          <t>Chưa test</t>
        </is>
      </c>
      <c r="O159" s="15" t="inlineStr"/>
      <c r="P159" s="15" t="inlineStr"/>
      <c r="Q159" s="18" t="inlineStr">
        <is>
          <t>Chưa test</t>
        </is>
      </c>
      <c r="R159" s="15" t="inlineStr"/>
    </row>
    <row r="160" ht="30" customHeight="1">
      <c r="A160" s="14" t="inlineStr">
        <is>
          <t>TC-PAY-159</t>
        </is>
      </c>
      <c r="B160" s="15" t="inlineStr">
        <is>
          <t>Thanh toán &amp; Gói thành viên</t>
        </is>
      </c>
      <c r="C160" s="15" t="inlineStr">
        <is>
          <t>Doanh thu Owner</t>
        </is>
      </c>
      <c r="D160" s="15" t="inlineStr">
        <is>
          <t>Hoàn tiền của demo #2 làm giảm doanh thu đúng công thức</t>
        </is>
      </c>
      <c r="E160" s="15" t="inlineStr">
        <is>
          <t>Chức năng</t>
        </is>
      </c>
      <c r="F160" s="16" t="inlineStr">
        <is>
          <t>Cao</t>
        </is>
      </c>
      <c r="G160" s="17" t="inlineStr">
        <is>
          <t>Đã hoàn thiện</t>
        </is>
      </c>
      <c r="H160" s="17" t="inlineStr">
        <is>
          <t>Có</t>
        </is>
      </c>
      <c r="I16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160" s="15" t="inlineStr">
        <is>
          <t>1. Admin PATCH /api/admin/refunds/seed-refund-pending {action:'approve'}
2. Owner GET /api/courses/paid-demo/revenue</t>
        </is>
      </c>
      <c r="K160" s="15" t="inlineStr">
        <is>
          <t>-</t>
        </is>
      </c>
      <c r="L160" s="15" t="inlineStr">
        <is>
          <t>refundsCents 1900 -&gt; 3800; platformCommissionCents 5320 -&gt; 5130 (-190); gatewayFeeCents vẫn 2465; netCents 45415 -&gt; 43705 (= 55100 - 3800 - 5130 - 2465); activePaidMembers 11 -&gt; 10; mrrCents 17100 -&gt; 15200.</t>
        </is>
      </c>
      <c r="M160" s="15" t="inlineStr"/>
      <c r="N160" s="18" t="inlineStr">
        <is>
          <t>Chưa test</t>
        </is>
      </c>
      <c r="O160" s="15" t="inlineStr"/>
      <c r="P160" s="15" t="inlineStr"/>
      <c r="Q160" s="18" t="inlineStr">
        <is>
          <t>Chưa test</t>
        </is>
      </c>
      <c r="R160" s="15" t="inlineStr"/>
    </row>
    <row r="161" ht="30" customHeight="1">
      <c r="A161" s="14" t="inlineStr">
        <is>
          <t>TC-PAY-160</t>
        </is>
      </c>
      <c r="B161" s="15" t="inlineStr">
        <is>
          <t>Thanh toán &amp; Gói thành viên</t>
        </is>
      </c>
      <c r="C161" s="15" t="inlineStr">
        <is>
          <t>Doanh thu Owner</t>
        </is>
      </c>
      <c r="D161" s="15" t="inlineStr">
        <is>
          <t>Doanh thu tăng khi có thanh toán mới (newbie)</t>
        </is>
      </c>
      <c r="E161" s="15" t="inlineStr">
        <is>
          <t>Chức năng</t>
        </is>
      </c>
      <c r="F161" s="20" t="inlineStr">
        <is>
          <t>Trung bình</t>
        </is>
      </c>
      <c r="G161" s="17" t="inlineStr">
        <is>
          <t>Đã hoàn thiện</t>
        </is>
      </c>
      <c r="H161" s="17" t="inlineStr">
        <is>
          <t>Có</t>
        </is>
      </c>
      <c r="I16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61" s="15" t="inlineStr">
        <is>
          <t>1. Newbie checkout + confirm paid-demo
2. Owner GET /api/courses/paid-demo/revenue</t>
        </is>
      </c>
      <c r="K161" s="15" t="inlineStr">
        <is>
          <t>-</t>
        </is>
      </c>
      <c r="L161" s="15" t="inlineStr">
        <is>
          <t>grossCents 55100 -&gt; 57000; commission +190; fee +85; net +1625 (1900-190-85); mrrCents +1900; activePaidMembers +1; recentTransactions[0] là giao dịch mới.</t>
        </is>
      </c>
      <c r="M161" s="15" t="inlineStr"/>
      <c r="N161" s="18" t="inlineStr">
        <is>
          <t>Chưa test</t>
        </is>
      </c>
      <c r="O161" s="15" t="inlineStr"/>
      <c r="P161" s="15" t="inlineStr"/>
      <c r="Q161" s="18" t="inlineStr">
        <is>
          <t>Chưa test</t>
        </is>
      </c>
      <c r="R161" s="15" t="inlineStr"/>
    </row>
    <row r="162" ht="30" customHeight="1">
      <c r="A162" s="14" t="inlineStr">
        <is>
          <t>TC-PAY-161</t>
        </is>
      </c>
      <c r="B162" s="15" t="inlineStr">
        <is>
          <t>Thanh toán &amp; Gói thành viên</t>
        </is>
      </c>
      <c r="C162" s="15" t="inlineStr">
        <is>
          <t>Doanh thu Owner</t>
        </is>
      </c>
      <c r="D162" s="15" t="inlineStr">
        <is>
          <t>Dashboard /courses/paid-demo/revenue-dashboard hiển thị thẻ số liệu khớp API</t>
        </is>
      </c>
      <c r="E162" s="15" t="inlineStr">
        <is>
          <t>Giao diện</t>
        </is>
      </c>
      <c r="F162" s="16" t="inlineStr">
        <is>
          <t>Cao</t>
        </is>
      </c>
      <c r="G162" s="17" t="inlineStr">
        <is>
          <t>Đã hoàn thiện</t>
        </is>
      </c>
      <c r="H162" s="17" t="inlineStr">
        <is>
          <t>Có</t>
        </is>
      </c>
      <c r="I16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62" s="15" t="inlineStr">
        <is>
          <t>1. Mở /courses/paid-demo/revenue-dashboard (hoặc menu avatar trong cộng đồng -&gt; 'Doanh thu &amp; rút tiền')</t>
        </is>
      </c>
      <c r="K162" s="15" t="inlineStr">
        <is>
          <t>-</t>
        </is>
      </c>
      <c r="L162" s="15" t="inlineStr">
        <is>
          <t>Thẻ: Tổng thu (gross) $551.00, hoàn tiền $19.00, Hoa hồng nền tảng* $53.20 (tạm tính 10%), Phí cổng thanh toán* $24.65 (2.9% + $0.30), Net $454.15, Số dư khả dụng $354.15 (toàn thời gian), MRR $171.00 (11 thành viên trả phí · 1 dùng thử); ghi chú giá trị tạm; bảng 20 giao dịch.</t>
        </is>
      </c>
      <c r="M162" s="15" t="inlineStr"/>
      <c r="N162" s="18" t="inlineStr">
        <is>
          <t>Chưa test</t>
        </is>
      </c>
      <c r="O162" s="15" t="inlineStr"/>
      <c r="P162" s="15" t="inlineStr"/>
      <c r="Q162" s="18" t="inlineStr">
        <is>
          <t>Chưa test</t>
        </is>
      </c>
      <c r="R162" s="15" t="inlineStr"/>
    </row>
    <row r="163" ht="30" customHeight="1">
      <c r="A163" s="14" t="inlineStr">
        <is>
          <t>TC-PAY-162</t>
        </is>
      </c>
      <c r="B163" s="15" t="inlineStr">
        <is>
          <t>Thanh toán &amp; Gói thành viên</t>
        </is>
      </c>
      <c r="C163" s="15" t="inlineStr">
        <is>
          <t>Doanh thu Owner</t>
        </is>
      </c>
      <c r="D163" s="15" t="inlineStr">
        <is>
          <t>Bộ lọc Từ ngày/Đến ngày trên dashboard</t>
        </is>
      </c>
      <c r="E163" s="15" t="inlineStr">
        <is>
          <t>Giao diện</t>
        </is>
      </c>
      <c r="F163" s="17" t="inlineStr">
        <is>
          <t>Thấp</t>
        </is>
      </c>
      <c r="G163" s="17" t="inlineStr">
        <is>
          <t>Đã hoàn thiện</t>
        </is>
      </c>
      <c r="H163" s="20" t="inlineStr">
        <is>
          <t>Một phần</t>
        </is>
      </c>
      <c r="I163"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63" s="15" t="inlineStr">
        <is>
          <t>1. Mở dashboard, chọn Từ ngày = ngày mai, Đến ngày = 1 năm sau</t>
        </is>
      </c>
      <c r="K163" s="15" t="inlineStr">
        <is>
          <t>-</t>
        </is>
      </c>
      <c r="L163" s="15" t="inlineStr">
        <is>
          <t>Các thẻ gross/net về $0.00, thẻ 'Số dư khả dụng' và 'MRR' không đổi; bảng giao dịch vẫn hiển thị 20 dòng gần nhất (không phụ thuộc bộ lọc) - hành vi thực tế của code, kiểm tra kỹ.</t>
        </is>
      </c>
      <c r="M163" s="15" t="inlineStr"/>
      <c r="N163" s="18" t="inlineStr">
        <is>
          <t>Chưa test</t>
        </is>
      </c>
      <c r="O163" s="15" t="inlineStr"/>
      <c r="P163" s="15" t="inlineStr"/>
      <c r="Q163" s="18" t="inlineStr">
        <is>
          <t>Chưa test</t>
        </is>
      </c>
      <c r="R163" s="15" t="inlineStr"/>
    </row>
    <row r="164" ht="30" customHeight="1">
      <c r="A164" s="14" t="inlineStr">
        <is>
          <t>TC-PAY-163</t>
        </is>
      </c>
      <c r="B164" s="15" t="inlineStr">
        <is>
          <t>Thanh toán &amp; Gói thành viên</t>
        </is>
      </c>
      <c r="C164" s="15" t="inlineStr">
        <is>
          <t>Doanh thu Owner</t>
        </is>
      </c>
      <c r="D164" s="15" t="inlineStr">
        <is>
          <t>Cộng đồng chưa có doanh thu: tất cả số liệu 0, bảng rỗng</t>
        </is>
      </c>
      <c r="E164" s="15" t="inlineStr">
        <is>
          <t>Giao diện</t>
        </is>
      </c>
      <c r="F164" s="20" t="inlineStr">
        <is>
          <t>Trung bình</t>
        </is>
      </c>
      <c r="G164" s="17" t="inlineStr">
        <is>
          <t>Đã hoàn thiện</t>
        </is>
      </c>
      <c r="H164" s="17" t="inlineStr">
        <is>
          <t>Có</t>
        </is>
      </c>
      <c r="I164"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164" s="15" t="inlineStr">
        <is>
          <t>1. GET /api/courses/photo/revenue bằng owner
2. Mở /courses/photo/revenue-dashboard</t>
        </is>
      </c>
      <c r="K164" s="15" t="inlineStr">
        <is>
          <t>-</t>
        </is>
      </c>
      <c r="L164" s="15" t="inlineStr">
        <is>
          <t>API 200: mọi *Cents=0, activePaidMembers=0, recentTransactions=[]. UI: 'Chưa có giao dịch.' và 'Chưa có lệnh rút tiền nào.'.</t>
        </is>
      </c>
      <c r="M164" s="15" t="inlineStr"/>
      <c r="N164" s="18" t="inlineStr">
        <is>
          <t>Chưa test</t>
        </is>
      </c>
      <c r="O164" s="15" t="inlineStr"/>
      <c r="P164" s="15" t="inlineStr"/>
      <c r="Q164" s="18" t="inlineStr">
        <is>
          <t>Chưa test</t>
        </is>
      </c>
      <c r="R164" s="15" t="inlineStr"/>
    </row>
    <row r="165" ht="30" customHeight="1">
      <c r="A165" s="14" t="inlineStr">
        <is>
          <t>TC-PAY-164</t>
        </is>
      </c>
      <c r="B165" s="15" t="inlineStr">
        <is>
          <t>Thanh toán &amp; Gói thành viên</t>
        </is>
      </c>
      <c r="C165" s="15" t="inlineStr">
        <is>
          <t>Doanh thu Owner</t>
        </is>
      </c>
      <c r="D165" s="15" t="inlineStr">
        <is>
          <t>Trang doanh thu không thuộc Owner hiển thị thông báo 403</t>
        </is>
      </c>
      <c r="E165" s="15" t="inlineStr">
        <is>
          <t>Giao diện</t>
        </is>
      </c>
      <c r="F165" s="20" t="inlineStr">
        <is>
          <t>Trung bình</t>
        </is>
      </c>
      <c r="G165" s="17" t="inlineStr">
        <is>
          <t>Đã hoàn thiện</t>
        </is>
      </c>
      <c r="H165" s="17" t="inlineStr">
        <is>
          <t>Có</t>
        </is>
      </c>
      <c r="I1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65" s="15" t="inlineStr">
        <is>
          <t>1. Mở /courses/paid-demo/revenue-dashboard</t>
        </is>
      </c>
      <c r="K165" s="15" t="inlineStr">
        <is>
          <t>-</t>
        </is>
      </c>
      <c r="L165" s="15" t="inlineStr">
        <is>
          <t>Hiển thị 'Chỉ chủ cộng đồng (hoặc quản trị viên nền tảng) mới xem được doanh thu.' (không rò số liệu).</t>
        </is>
      </c>
      <c r="M165" s="15" t="inlineStr"/>
      <c r="N165" s="18" t="inlineStr">
        <is>
          <t>Chưa test</t>
        </is>
      </c>
      <c r="O165" s="15" t="inlineStr"/>
      <c r="P165" s="15" t="inlineStr"/>
      <c r="Q165" s="18" t="inlineStr">
        <is>
          <t>Chưa test</t>
        </is>
      </c>
      <c r="R165" s="15" t="inlineStr"/>
    </row>
    <row r="166" ht="30" customHeight="1">
      <c r="A166" s="14" t="inlineStr">
        <is>
          <t>TC-PAY-165</t>
        </is>
      </c>
      <c r="B166" s="15" t="inlineStr">
        <is>
          <t>Thanh toán &amp; Gói thành viên</t>
        </is>
      </c>
      <c r="C166" s="15" t="inlineStr">
        <is>
          <t>Doanh thu Owner</t>
        </is>
      </c>
      <c r="D166" s="15" t="inlineStr">
        <is>
          <t>Doanh thu hiển thị bằng USD, định dạng $x,xxx.xx</t>
        </is>
      </c>
      <c r="E166" s="15" t="inlineStr">
        <is>
          <t>Giao diện</t>
        </is>
      </c>
      <c r="F166" s="17" t="inlineStr">
        <is>
          <t>Thấp</t>
        </is>
      </c>
      <c r="G166" s="17" t="inlineStr">
        <is>
          <t>Đã hoàn thiện</t>
        </is>
      </c>
      <c r="H166" s="20" t="inlineStr">
        <is>
          <t>Một phần</t>
        </is>
      </c>
      <c r="I166"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66" s="15" t="inlineStr">
        <is>
          <t>1. Mở dashboard doanh thu
2. Xem các thẻ và bảng giao dịch</t>
        </is>
      </c>
      <c r="K166" s="15" t="inlineStr">
        <is>
          <t>-</t>
        </is>
      </c>
      <c r="L166" s="15" t="inlineStr">
        <is>
          <t>Mọi số tiền dạng $551.00 (ký hiệu $, 2 chữ số thập phân, dấu phẩy nghìn); nút thanh toán 'Thanh toán $19/tháng'. Không có VNĐ (đa tiền tệ VNĐ/USD theo cổng chưa làm).</t>
        </is>
      </c>
      <c r="M166" s="15" t="inlineStr"/>
      <c r="N166" s="18" t="inlineStr">
        <is>
          <t>Chưa test</t>
        </is>
      </c>
      <c r="O166" s="15" t="inlineStr"/>
      <c r="P166" s="15" t="inlineStr"/>
      <c r="Q166" s="18" t="inlineStr">
        <is>
          <t>Chưa test</t>
        </is>
      </c>
      <c r="R166" s="15" t="inlineStr"/>
    </row>
    <row r="167" ht="30" customHeight="1">
      <c r="A167" s="14" t="inlineStr">
        <is>
          <t>TC-PAY-166</t>
        </is>
      </c>
      <c r="B167" s="15" t="inlineStr">
        <is>
          <t>Thanh toán &amp; Gói thành viên</t>
        </is>
      </c>
      <c r="C167" s="15" t="inlineStr">
        <is>
          <t>Doanh thu Owner</t>
        </is>
      </c>
      <c r="D167" s="15" t="inlineStr">
        <is>
          <t>Đa tiền tệ VNĐ theo cổng nội địa</t>
        </is>
      </c>
      <c r="E167" s="15" t="inlineStr">
        <is>
          <t>Giao diện</t>
        </is>
      </c>
      <c r="F167" s="17" t="inlineStr">
        <is>
          <t>Thấp</t>
        </is>
      </c>
      <c r="G167" s="20" t="inlineStr">
        <is>
          <t>Kế hoạch</t>
        </is>
      </c>
      <c r="H167" s="16" t="inlineStr">
        <is>
          <t>Không</t>
        </is>
      </c>
      <c r="I167" s="15" t="inlineStr">
        <is>
          <t>Chưa làm: mọi giá và giao dịch hiện chỉ USD (currency='usd'), kể cả khi chọn VNPay/MoMo.</t>
        </is>
      </c>
      <c r="J167" s="15" t="inlineStr">
        <is>
          <t>1. Chọn VNPay ở checkout</t>
        </is>
      </c>
      <c r="K167" s="15" t="inlineStr">
        <is>
          <t>-</t>
        </is>
      </c>
      <c r="L167" s="15" t="inlineStr">
        <is>
          <t>Khi làm xong: hiển thị VNĐ cho cổng nội địa, USD cho Stripe.</t>
        </is>
      </c>
      <c r="M167" s="15" t="inlineStr"/>
      <c r="N167" s="18" t="inlineStr">
        <is>
          <t>Chưa test</t>
        </is>
      </c>
      <c r="O167" s="15" t="inlineStr"/>
      <c r="P167" s="15" t="inlineStr"/>
      <c r="Q167" s="18" t="inlineStr">
        <is>
          <t>Chưa test</t>
        </is>
      </c>
      <c r="R167" s="15" t="inlineStr"/>
    </row>
    <row r="168" ht="30" customHeight="1">
      <c r="A168" s="14" t="inlineStr">
        <is>
          <t>TC-PAY-167</t>
        </is>
      </c>
      <c r="B168" s="15" t="inlineStr">
        <is>
          <t>Thanh toán &amp; Gói thành viên</t>
        </is>
      </c>
      <c r="C168" s="15" t="inlineStr">
        <is>
          <t>Rút tiền</t>
        </is>
      </c>
      <c r="D168" s="15" t="inlineStr">
        <is>
          <t>Owner yêu cầu rút tiền hợp lệ: số TK bị che ****6789</t>
        </is>
      </c>
      <c r="E168" s="15" t="inlineStr">
        <is>
          <t>Chức năng</t>
        </is>
      </c>
      <c r="F168" s="16" t="inlineStr">
        <is>
          <t>Cao</t>
        </is>
      </c>
      <c r="G168" s="17" t="inlineStr">
        <is>
          <t>Đã hoàn thiện</t>
        </is>
      </c>
      <c r="H168" s="17" t="inlineStr">
        <is>
          <t>Có</t>
        </is>
      </c>
      <c r="I16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dư khả dụng 35415. Case làm thay đổi dữ liệu seed - chạy lại npm run db:seed (hoặc dùng tài khoản/gói mới) trước khi lặp lại.</t>
        </is>
      </c>
      <c r="J168" s="15" t="inlineStr">
        <is>
          <t>1. Đăng nhập owner
2. POST /api/courses/paid-demo/payouts với body {amountCents:10000, method:&lt;BANK&gt;}</t>
        </is>
      </c>
      <c r="K168" s="15" t="inlineStr">
        <is>
          <t>amountCents=10000 ($100); method={"type":"bank","bankName":"Vietcombank","accountNumber":"0123456789","accountHolder":"OLIVIA OWNER"}</t>
        </is>
      </c>
      <c r="L168" s="15" t="inlineStr">
        <is>
          <t>201 Payout status=requested, amountCents=10000, method {type:'bank',bankName:'Vietcombank',accountHolder:'OLIVIA OWNER',accountMasked:'****6789'} (không lộ số đầy đủ); revenue: availableBalanceCents 35415 -&gt; 25415, payoutRequestedCents 10000 -&gt; 20000.</t>
        </is>
      </c>
      <c r="M168" s="15" t="inlineStr"/>
      <c r="N168" s="18" t="inlineStr">
        <is>
          <t>Chưa test</t>
        </is>
      </c>
      <c r="O168" s="15" t="inlineStr"/>
      <c r="P168" s="15" t="inlineStr"/>
      <c r="Q168" s="18" t="inlineStr">
        <is>
          <t>Chưa test</t>
        </is>
      </c>
      <c r="R168" s="15" t="inlineStr"/>
    </row>
    <row r="169" ht="30" customHeight="1">
      <c r="A169" s="14" t="inlineStr">
        <is>
          <t>TC-PAY-168</t>
        </is>
      </c>
      <c r="B169" s="15" t="inlineStr">
        <is>
          <t>Thanh toán &amp; Gói thành viên</t>
        </is>
      </c>
      <c r="C169" s="15" t="inlineStr">
        <is>
          <t>Rút tiền</t>
        </is>
      </c>
      <c r="D169" s="15" t="inlineStr">
        <is>
          <t>Biên tối thiểu: đúng $50 (5000 cent) được chấp nhận</t>
        </is>
      </c>
      <c r="E169" s="15" t="inlineStr">
        <is>
          <t>Chức năng</t>
        </is>
      </c>
      <c r="F169" s="16" t="inlineStr">
        <is>
          <t>Cao</t>
        </is>
      </c>
      <c r="G169" s="17" t="inlineStr">
        <is>
          <t>Đã hoàn thiện</t>
        </is>
      </c>
      <c r="H169" s="17" t="inlineStr">
        <is>
          <t>Có</t>
        </is>
      </c>
      <c r="I169"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69" s="15" t="inlineStr">
        <is>
          <t>1. Owner POST payouts amountCents=5000</t>
        </is>
      </c>
      <c r="K169" s="15" t="inlineStr">
        <is>
          <t>amountCents=5000; PAYOUT_MIN_USD=50 (tạm)</t>
        </is>
      </c>
      <c r="L169" s="15" t="inlineStr">
        <is>
          <t>201 status=requested (điều kiện chặn là amountCents &lt; 5000 nên 5000 hợp lệ).</t>
        </is>
      </c>
      <c r="M169" s="15" t="inlineStr"/>
      <c r="N169" s="18" t="inlineStr">
        <is>
          <t>Chưa test</t>
        </is>
      </c>
      <c r="O169" s="15" t="inlineStr"/>
      <c r="P169" s="15" t="inlineStr"/>
      <c r="Q169" s="18" t="inlineStr">
        <is>
          <t>Chưa test</t>
        </is>
      </c>
      <c r="R169" s="15" t="inlineStr"/>
    </row>
    <row r="170" ht="30" customHeight="1">
      <c r="A170" s="14" t="inlineStr">
        <is>
          <t>TC-PAY-169</t>
        </is>
      </c>
      <c r="B170" s="15" t="inlineStr">
        <is>
          <t>Thanh toán &amp; Gói thành viên</t>
        </is>
      </c>
      <c r="C170" s="15" t="inlineStr">
        <is>
          <t>Rút tiền</t>
        </is>
      </c>
      <c r="D170" s="15" t="inlineStr">
        <is>
          <t>Dưới ngưỡng tối thiểu: 4999 cent bị 400</t>
        </is>
      </c>
      <c r="E170" s="15" t="inlineStr">
        <is>
          <t>Chức năng</t>
        </is>
      </c>
      <c r="F170" s="16" t="inlineStr">
        <is>
          <t>Cao</t>
        </is>
      </c>
      <c r="G170" s="17" t="inlineStr">
        <is>
          <t>Đã hoàn thiện</t>
        </is>
      </c>
      <c r="H170" s="17" t="inlineStr">
        <is>
          <t>Có</t>
        </is>
      </c>
      <c r="I170" s="15" t="inlineStr">
        <is>
          <t>Seed đã chạy (npm run db:seed) trên DB sạch; paid-demo = cộng đồng công khai $19/tháng (1900 cent), Owner: owner@sofinhub.test. Mật khẩu chung Passw0rd!x. Thành viên minh họa isDemo = demo-paid-demo-&lt;i&gt;, không đăng nhập được.</t>
        </is>
      </c>
      <c r="J170" s="15" t="inlineStr">
        <is>
          <t>1. Owner POST payouts amountCents=4999</t>
        </is>
      </c>
      <c r="K170" s="15" t="inlineStr">
        <is>
          <t>amountCents=4999</t>
        </is>
      </c>
      <c r="L170" s="15" t="inlineStr">
        <is>
          <t>400 BAD_REQUEST, message 'Số tiền rút tối thiểu là 50.00 USD'; không tạo payout, số dư không đổi.</t>
        </is>
      </c>
      <c r="M170" s="15" t="inlineStr"/>
      <c r="N170" s="18" t="inlineStr">
        <is>
          <t>Chưa test</t>
        </is>
      </c>
      <c r="O170" s="15" t="inlineStr"/>
      <c r="P170" s="15" t="inlineStr"/>
      <c r="Q170" s="18" t="inlineStr">
        <is>
          <t>Chưa test</t>
        </is>
      </c>
      <c r="R170" s="15" t="inlineStr"/>
    </row>
    <row r="171" ht="30" customHeight="1">
      <c r="A171" s="14" t="inlineStr">
        <is>
          <t>TC-PAY-170</t>
        </is>
      </c>
      <c r="B171" s="15" t="inlineStr">
        <is>
          <t>Thanh toán &amp; Gói thành viên</t>
        </is>
      </c>
      <c r="C171" s="15" t="inlineStr">
        <is>
          <t>Rút tiền</t>
        </is>
      </c>
      <c r="D171" s="15" t="inlineStr">
        <is>
          <t>Vượt số dư khả dụng bị 400</t>
        </is>
      </c>
      <c r="E171" s="15" t="inlineStr">
        <is>
          <t>Chức năng</t>
        </is>
      </c>
      <c r="F171" s="16" t="inlineStr">
        <is>
          <t>Cao</t>
        </is>
      </c>
      <c r="G171" s="17" t="inlineStr">
        <is>
          <t>Đã hoàn thiện</t>
        </is>
      </c>
      <c r="H171" s="17" t="inlineStr">
        <is>
          <t>Có</t>
        </is>
      </c>
      <c r="I17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dư khả dụng 35415.</t>
        </is>
      </c>
      <c r="J171" s="15" t="inlineStr">
        <is>
          <t>1. Owner POST payouts amountCents=35416</t>
        </is>
      </c>
      <c r="K171" s="15" t="inlineStr">
        <is>
          <t>35416 &gt; 35415</t>
        </is>
      </c>
      <c r="L171" s="15" t="inlineStr">
        <is>
          <t>400 BAD_REQUEST, message 'Số tiền rút vượt quá số dư khả dụng'. Cùng request với amountCents=35415 (rút hết) thì 201 và số dư về 0.</t>
        </is>
      </c>
      <c r="M171" s="15" t="inlineStr"/>
      <c r="N171" s="18" t="inlineStr">
        <is>
          <t>Chưa test</t>
        </is>
      </c>
      <c r="O171" s="15" t="inlineStr"/>
      <c r="P171" s="15" t="inlineStr"/>
      <c r="Q171" s="18" t="inlineStr">
        <is>
          <t>Chưa test</t>
        </is>
      </c>
      <c r="R171" s="15" t="inlineStr"/>
    </row>
    <row r="172" ht="30" customHeight="1">
      <c r="A172" s="14" t="inlineStr">
        <is>
          <t>TC-PAY-171</t>
        </is>
      </c>
      <c r="B172" s="15" t="inlineStr">
        <is>
          <t>Thanh toán &amp; Gói thành viên</t>
        </is>
      </c>
      <c r="C172" s="15" t="inlineStr">
        <is>
          <t>Rút tiền</t>
        </is>
      </c>
      <c r="D172" s="15" t="inlineStr">
        <is>
          <t>Rút hết số dư khả dụng đúng bằng số dư</t>
        </is>
      </c>
      <c r="E172" s="15" t="inlineStr">
        <is>
          <t>Chức năng</t>
        </is>
      </c>
      <c r="F172" s="20" t="inlineStr">
        <is>
          <t>Trung bình</t>
        </is>
      </c>
      <c r="G172" s="17" t="inlineStr">
        <is>
          <t>Đã hoàn thiện</t>
        </is>
      </c>
      <c r="H172" s="17" t="inlineStr">
        <is>
          <t>Có</t>
        </is>
      </c>
      <c r="I17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72" s="15" t="inlineStr">
        <is>
          <t>1. Owner POST payouts amountCents=35415
2. GET revenue</t>
        </is>
      </c>
      <c r="K172" s="15" t="inlineStr">
        <is>
          <t>35415</t>
        </is>
      </c>
      <c r="L172" s="15" t="inlineStr">
        <is>
          <t>201; availableBalanceCents = 0. Lệnh rút tiếp theo (5000) bị 400 'Số tiền rút vượt quá số dư khả dụng'.</t>
        </is>
      </c>
      <c r="M172" s="15" t="inlineStr"/>
      <c r="N172" s="18" t="inlineStr">
        <is>
          <t>Chưa test</t>
        </is>
      </c>
      <c r="O172" s="15" t="inlineStr"/>
      <c r="P172" s="15" t="inlineStr"/>
      <c r="Q172" s="18" t="inlineStr">
        <is>
          <t>Chưa test</t>
        </is>
      </c>
      <c r="R172" s="15" t="inlineStr"/>
    </row>
    <row r="173" ht="30" customHeight="1">
      <c r="A173" s="14" t="inlineStr">
        <is>
          <t>TC-PAY-172</t>
        </is>
      </c>
      <c r="B173" s="15" t="inlineStr">
        <is>
          <t>Thanh toán &amp; Gói thành viên</t>
        </is>
      </c>
      <c r="C173" s="15" t="inlineStr">
        <is>
          <t>Rút tiền</t>
        </is>
      </c>
      <c r="D173" s="15" t="inlineStr">
        <is>
          <t>Validate amountCents: bằng 0</t>
        </is>
      </c>
      <c r="E173" s="15" t="inlineStr">
        <is>
          <t>Chức năng</t>
        </is>
      </c>
      <c r="F173" s="20" t="inlineStr">
        <is>
          <t>Trung bình</t>
        </is>
      </c>
      <c r="G173" s="17" t="inlineStr">
        <is>
          <t>Đã hoàn thiện</t>
        </is>
      </c>
      <c r="H173" s="17" t="inlineStr">
        <is>
          <t>Có</t>
        </is>
      </c>
      <c r="I173" s="15" t="inlineStr">
        <is>
          <t>Seed đã chạy (npm run db:seed) trên DB sạch; paid-demo = cộng đồng công khai $19/tháng (1900 cent), Owner: owner@sofinhub.test. Mật khẩu chung Passw0rd!x. Thành viên minh họa isDemo = demo-paid-demo-&lt;i&gt;, không đăng nhập được.</t>
        </is>
      </c>
      <c r="J173" s="15" t="inlineStr">
        <is>
          <t>1. Owner POST payouts với amountCents=0</t>
        </is>
      </c>
      <c r="K173" s="15" t="inlineStr">
        <is>
          <t>amountCents=0</t>
        </is>
      </c>
      <c r="L173" s="15" t="inlineStr">
        <is>
          <t>400 VALIDATION_ERROR (amountCents phải là số nguyên dương: 'Số tiền phải lớn hơn 0' / 'Số tiền phải là số nguyên (cent)'); không tạo payout.</t>
        </is>
      </c>
      <c r="M173" s="15" t="inlineStr"/>
      <c r="N173" s="18" t="inlineStr">
        <is>
          <t>Chưa test</t>
        </is>
      </c>
      <c r="O173" s="15" t="inlineStr"/>
      <c r="P173" s="15" t="inlineStr"/>
      <c r="Q173" s="18" t="inlineStr">
        <is>
          <t>Chưa test</t>
        </is>
      </c>
      <c r="R173" s="15" t="inlineStr"/>
    </row>
    <row r="174" ht="30" customHeight="1">
      <c r="A174" s="14" t="inlineStr">
        <is>
          <t>TC-PAY-173</t>
        </is>
      </c>
      <c r="B174" s="15" t="inlineStr">
        <is>
          <t>Thanh toán &amp; Gói thành viên</t>
        </is>
      </c>
      <c r="C174" s="15" t="inlineStr">
        <is>
          <t>Rút tiền</t>
        </is>
      </c>
      <c r="D174" s="15" t="inlineStr">
        <is>
          <t>Validate amountCents: số âm</t>
        </is>
      </c>
      <c r="E174" s="15" t="inlineStr">
        <is>
          <t>Chức năng</t>
        </is>
      </c>
      <c r="F174" s="20" t="inlineStr">
        <is>
          <t>Trung bình</t>
        </is>
      </c>
      <c r="G174" s="17" t="inlineStr">
        <is>
          <t>Đã hoàn thiện</t>
        </is>
      </c>
      <c r="H174" s="17" t="inlineStr">
        <is>
          <t>Có</t>
        </is>
      </c>
      <c r="I174" s="15" t="inlineStr">
        <is>
          <t>Seed đã chạy (npm run db:seed) trên DB sạch; paid-demo = cộng đồng công khai $19/tháng (1900 cent), Owner: owner@sofinhub.test. Mật khẩu chung Passw0rd!x. Thành viên minh họa isDemo = demo-paid-demo-&lt;i&gt;, không đăng nhập được.</t>
        </is>
      </c>
      <c r="J174" s="15" t="inlineStr">
        <is>
          <t>1. Owner POST payouts với amountCents=-5000</t>
        </is>
      </c>
      <c r="K174" s="15" t="inlineStr">
        <is>
          <t>amountCents=-5000</t>
        </is>
      </c>
      <c r="L174" s="15" t="inlineStr">
        <is>
          <t>400 VALIDATION_ERROR (amountCents phải là số nguyên dương: 'Số tiền phải lớn hơn 0' / 'Số tiền phải là số nguyên (cent)'); không tạo payout.</t>
        </is>
      </c>
      <c r="M174" s="15" t="inlineStr"/>
      <c r="N174" s="18" t="inlineStr">
        <is>
          <t>Chưa test</t>
        </is>
      </c>
      <c r="O174" s="15" t="inlineStr"/>
      <c r="P174" s="15" t="inlineStr"/>
      <c r="Q174" s="18" t="inlineStr">
        <is>
          <t>Chưa test</t>
        </is>
      </c>
      <c r="R174" s="15" t="inlineStr"/>
    </row>
    <row r="175" ht="30" customHeight="1">
      <c r="A175" s="14" t="inlineStr">
        <is>
          <t>TC-PAY-174</t>
        </is>
      </c>
      <c r="B175" s="15" t="inlineStr">
        <is>
          <t>Thanh toán &amp; Gói thành viên</t>
        </is>
      </c>
      <c r="C175" s="15" t="inlineStr">
        <is>
          <t>Rút tiền</t>
        </is>
      </c>
      <c r="D175" s="15" t="inlineStr">
        <is>
          <t>Validate amountCents: không phải số nguyên</t>
        </is>
      </c>
      <c r="E175" s="15" t="inlineStr">
        <is>
          <t>Chức năng</t>
        </is>
      </c>
      <c r="F175" s="20" t="inlineStr">
        <is>
          <t>Trung bình</t>
        </is>
      </c>
      <c r="G175" s="17" t="inlineStr">
        <is>
          <t>Đã hoàn thiện</t>
        </is>
      </c>
      <c r="H175" s="17" t="inlineStr">
        <is>
          <t>Có</t>
        </is>
      </c>
      <c r="I175" s="15" t="inlineStr">
        <is>
          <t>Seed đã chạy (npm run db:seed) trên DB sạch; paid-demo = cộng đồng công khai $19/tháng (1900 cent), Owner: owner@sofinhub.test. Mật khẩu chung Passw0rd!x. Thành viên minh họa isDemo = demo-paid-demo-&lt;i&gt;, không đăng nhập được.</t>
        </is>
      </c>
      <c r="J175" s="15" t="inlineStr">
        <is>
          <t>1. Owner POST payouts với amountCents=5000.5</t>
        </is>
      </c>
      <c r="K175" s="15" t="inlineStr">
        <is>
          <t>amountCents=5000.5</t>
        </is>
      </c>
      <c r="L175" s="15" t="inlineStr">
        <is>
          <t>400 VALIDATION_ERROR (amountCents phải là số nguyên dương: 'Số tiền phải lớn hơn 0' / 'Số tiền phải là số nguyên (cent)'); không tạo payout.</t>
        </is>
      </c>
      <c r="M175" s="15" t="inlineStr"/>
      <c r="N175" s="18" t="inlineStr">
        <is>
          <t>Chưa test</t>
        </is>
      </c>
      <c r="O175" s="15" t="inlineStr"/>
      <c r="P175" s="15" t="inlineStr"/>
      <c r="Q175" s="18" t="inlineStr">
        <is>
          <t>Chưa test</t>
        </is>
      </c>
      <c r="R175" s="15" t="inlineStr"/>
    </row>
    <row r="176" ht="30" customHeight="1">
      <c r="A176" s="14" t="inlineStr">
        <is>
          <t>TC-PAY-175</t>
        </is>
      </c>
      <c r="B176" s="15" t="inlineStr">
        <is>
          <t>Thanh toán &amp; Gói thành viên</t>
        </is>
      </c>
      <c r="C176" s="15" t="inlineStr">
        <is>
          <t>Rút tiền</t>
        </is>
      </c>
      <c r="D176" s="15" t="inlineStr">
        <is>
          <t>Validate amountCents: kiểu chuỗi</t>
        </is>
      </c>
      <c r="E176" s="15" t="inlineStr">
        <is>
          <t>Chức năng</t>
        </is>
      </c>
      <c r="F176" s="20" t="inlineStr">
        <is>
          <t>Trung bình</t>
        </is>
      </c>
      <c r="G176" s="17" t="inlineStr">
        <is>
          <t>Đã hoàn thiện</t>
        </is>
      </c>
      <c r="H176" s="17" t="inlineStr">
        <is>
          <t>Có</t>
        </is>
      </c>
      <c r="I176" s="15" t="inlineStr">
        <is>
          <t>Seed đã chạy (npm run db:seed) trên DB sạch; paid-demo = cộng đồng công khai $19/tháng (1900 cent), Owner: owner@sofinhub.test. Mật khẩu chung Passw0rd!x. Thành viên minh họa isDemo = demo-paid-demo-&lt;i&gt;, không đăng nhập được.</t>
        </is>
      </c>
      <c r="J176" s="15" t="inlineStr">
        <is>
          <t>1. Owner POST payouts với amountCents='5000'</t>
        </is>
      </c>
      <c r="K176" s="15" t="inlineStr">
        <is>
          <t>amountCents='5000'</t>
        </is>
      </c>
      <c r="L176" s="15" t="inlineStr">
        <is>
          <t>400 VALIDATION_ERROR (amountCents phải là số nguyên dương: 'Số tiền phải lớn hơn 0' / 'Số tiền phải là số nguyên (cent)'); không tạo payout.</t>
        </is>
      </c>
      <c r="M176" s="15" t="inlineStr"/>
      <c r="N176" s="18" t="inlineStr">
        <is>
          <t>Chưa test</t>
        </is>
      </c>
      <c r="O176" s="15" t="inlineStr"/>
      <c r="P176" s="15" t="inlineStr"/>
      <c r="Q176" s="18" t="inlineStr">
        <is>
          <t>Chưa test</t>
        </is>
      </c>
      <c r="R176" s="15" t="inlineStr"/>
    </row>
    <row r="177" ht="30" customHeight="1">
      <c r="A177" s="14" t="inlineStr">
        <is>
          <t>TC-PAY-176</t>
        </is>
      </c>
      <c r="B177" s="15" t="inlineStr">
        <is>
          <t>Thanh toán &amp; Gói thành viên</t>
        </is>
      </c>
      <c r="C177" s="15" t="inlineStr">
        <is>
          <t>Rút tiền</t>
        </is>
      </c>
      <c r="D177" s="15" t="inlineStr">
        <is>
          <t>Validate số tài khoản: 5 chữ số</t>
        </is>
      </c>
      <c r="E177" s="15" t="inlineStr">
        <is>
          <t>Chức năng</t>
        </is>
      </c>
      <c r="F177" s="20" t="inlineStr">
        <is>
          <t>Trung bình</t>
        </is>
      </c>
      <c r="G177" s="17" t="inlineStr">
        <is>
          <t>Đã hoàn thiện</t>
        </is>
      </c>
      <c r="H177" s="17" t="inlineStr">
        <is>
          <t>Có</t>
        </is>
      </c>
      <c r="I177" s="15" t="inlineStr">
        <is>
          <t>Seed đã chạy (npm run db:seed) trên DB sạch; paid-demo = cộng đồng công khai $19/tháng (1900 cent), Owner: owner@sofinhub.test. Mật khẩu chung Passw0rd!x. Thành viên minh họa isDemo = demo-paid-demo-&lt;i&gt;, không đăng nhập được.</t>
        </is>
      </c>
      <c r="J177" s="15" t="inlineStr">
        <is>
          <t>1. Owner POST payouts amountCents=5000, accountNumber='12345'</t>
        </is>
      </c>
      <c r="K177" s="15" t="inlineStr">
        <is>
          <t>accountNumber=12345</t>
        </is>
      </c>
      <c r="L177" s="15" t="inlineStr">
        <is>
          <t>400 VALIDATION_ERROR với thông điệp 'Số tài khoản phải gồm 6–20 chữ số'.</t>
        </is>
      </c>
      <c r="M177" s="15" t="inlineStr"/>
      <c r="N177" s="18" t="inlineStr">
        <is>
          <t>Chưa test</t>
        </is>
      </c>
      <c r="O177" s="15" t="inlineStr"/>
      <c r="P177" s="15" t="inlineStr"/>
      <c r="Q177" s="18" t="inlineStr">
        <is>
          <t>Chưa test</t>
        </is>
      </c>
      <c r="R177" s="15" t="inlineStr"/>
    </row>
    <row r="178" ht="30" customHeight="1">
      <c r="A178" s="14" t="inlineStr">
        <is>
          <t>TC-PAY-177</t>
        </is>
      </c>
      <c r="B178" s="15" t="inlineStr">
        <is>
          <t>Thanh toán &amp; Gói thành viên</t>
        </is>
      </c>
      <c r="C178" s="15" t="inlineStr">
        <is>
          <t>Rút tiền</t>
        </is>
      </c>
      <c r="D178" s="15" t="inlineStr">
        <is>
          <t>Validate số tài khoản: 21 chữ số</t>
        </is>
      </c>
      <c r="E178" s="15" t="inlineStr">
        <is>
          <t>Chức năng</t>
        </is>
      </c>
      <c r="F178" s="20" t="inlineStr">
        <is>
          <t>Trung bình</t>
        </is>
      </c>
      <c r="G178" s="17" t="inlineStr">
        <is>
          <t>Đã hoàn thiện</t>
        </is>
      </c>
      <c r="H178" s="17" t="inlineStr">
        <is>
          <t>Có</t>
        </is>
      </c>
      <c r="I178" s="15" t="inlineStr">
        <is>
          <t>Seed đã chạy (npm run db:seed) trên DB sạch; paid-demo = cộng đồng công khai $19/tháng (1900 cent), Owner: owner@sofinhub.test. Mật khẩu chung Passw0rd!x. Thành viên minh họa isDemo = demo-paid-demo-&lt;i&gt;, không đăng nhập được.</t>
        </is>
      </c>
      <c r="J178" s="15" t="inlineStr">
        <is>
          <t>1. Owner POST payouts amountCents=5000, accountNumber='123456789012345678901'</t>
        </is>
      </c>
      <c r="K178" s="15" t="inlineStr">
        <is>
          <t>accountNumber=123456789012345678901</t>
        </is>
      </c>
      <c r="L178" s="15" t="inlineStr">
        <is>
          <t>400 VALIDATION_ERROR với thông điệp 'Số tài khoản phải gồm 6–20 chữ số'.</t>
        </is>
      </c>
      <c r="M178" s="15" t="inlineStr"/>
      <c r="N178" s="18" t="inlineStr">
        <is>
          <t>Chưa test</t>
        </is>
      </c>
      <c r="O178" s="15" t="inlineStr"/>
      <c r="P178" s="15" t="inlineStr"/>
      <c r="Q178" s="18" t="inlineStr">
        <is>
          <t>Chưa test</t>
        </is>
      </c>
      <c r="R178" s="15" t="inlineStr"/>
    </row>
    <row r="179" ht="30" customHeight="1">
      <c r="A179" s="14" t="inlineStr">
        <is>
          <t>TC-PAY-178</t>
        </is>
      </c>
      <c r="B179" s="15" t="inlineStr">
        <is>
          <t>Thanh toán &amp; Gói thành viên</t>
        </is>
      </c>
      <c r="C179" s="15" t="inlineStr">
        <is>
          <t>Rút tiền</t>
        </is>
      </c>
      <c r="D179" s="15" t="inlineStr">
        <is>
          <t>Validate số tài khoản: có chữ cái</t>
        </is>
      </c>
      <c r="E179" s="15" t="inlineStr">
        <is>
          <t>Chức năng</t>
        </is>
      </c>
      <c r="F179" s="20" t="inlineStr">
        <is>
          <t>Trung bình</t>
        </is>
      </c>
      <c r="G179" s="17" t="inlineStr">
        <is>
          <t>Đã hoàn thiện</t>
        </is>
      </c>
      <c r="H179" s="17" t="inlineStr">
        <is>
          <t>Có</t>
        </is>
      </c>
      <c r="I179" s="15" t="inlineStr">
        <is>
          <t>Seed đã chạy (npm run db:seed) trên DB sạch; paid-demo = cộng đồng công khai $19/tháng (1900 cent), Owner: owner@sofinhub.test. Mật khẩu chung Passw0rd!x. Thành viên minh họa isDemo = demo-paid-demo-&lt;i&gt;, không đăng nhập được.</t>
        </is>
      </c>
      <c r="J179" s="15" t="inlineStr">
        <is>
          <t>1. Owner POST payouts amountCents=5000, accountNumber='12ab5678'</t>
        </is>
      </c>
      <c r="K179" s="15" t="inlineStr">
        <is>
          <t>accountNumber=12ab5678</t>
        </is>
      </c>
      <c r="L179" s="15" t="inlineStr">
        <is>
          <t>400 VALIDATION_ERROR với thông điệp 'Số tài khoản phải gồm 6–20 chữ số'.</t>
        </is>
      </c>
      <c r="M179" s="15" t="inlineStr"/>
      <c r="N179" s="18" t="inlineStr">
        <is>
          <t>Chưa test</t>
        </is>
      </c>
      <c r="O179" s="15" t="inlineStr"/>
      <c r="P179" s="15" t="inlineStr"/>
      <c r="Q179" s="18" t="inlineStr">
        <is>
          <t>Chưa test</t>
        </is>
      </c>
      <c r="R179" s="15" t="inlineStr"/>
    </row>
    <row r="180" ht="30" customHeight="1">
      <c r="A180" s="14" t="inlineStr">
        <is>
          <t>TC-PAY-179</t>
        </is>
      </c>
      <c r="B180" s="15" t="inlineStr">
        <is>
          <t>Thanh toán &amp; Gói thành viên</t>
        </is>
      </c>
      <c r="C180" s="15" t="inlineStr">
        <is>
          <t>Rút tiền</t>
        </is>
      </c>
      <c r="D180" s="15" t="inlineStr">
        <is>
          <t>Số tài khoản biên 6 và 20 chữ số hợp lệ</t>
        </is>
      </c>
      <c r="E180" s="15" t="inlineStr">
        <is>
          <t>Chức năng</t>
        </is>
      </c>
      <c r="F180" s="17" t="inlineStr">
        <is>
          <t>Thấp</t>
        </is>
      </c>
      <c r="G180" s="17" t="inlineStr">
        <is>
          <t>Đã hoàn thiện</t>
        </is>
      </c>
      <c r="H180" s="17" t="inlineStr">
        <is>
          <t>Có</t>
        </is>
      </c>
      <c r="I180"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80" s="15" t="inlineStr">
        <is>
          <t>1. Owner POST payouts accountNumber='123456'
2. Owner POST payouts accountNumber='12345678901234567890'</t>
        </is>
      </c>
      <c r="K180" s="15" t="inlineStr">
        <is>
          <t>6 và 20 chữ số</t>
        </is>
      </c>
      <c r="L180" s="15" t="inlineStr">
        <is>
          <t>Cả hai 201; accountMasked lần lượt '****3456' và '****7890'.</t>
        </is>
      </c>
      <c r="M180" s="15" t="inlineStr"/>
      <c r="N180" s="18" t="inlineStr">
        <is>
          <t>Chưa test</t>
        </is>
      </c>
      <c r="O180" s="15" t="inlineStr"/>
      <c r="P180" s="15" t="inlineStr"/>
      <c r="Q180" s="18" t="inlineStr">
        <is>
          <t>Chưa test</t>
        </is>
      </c>
      <c r="R180" s="15" t="inlineStr"/>
    </row>
    <row r="181" ht="45" customHeight="1">
      <c r="A181" s="14" t="inlineStr">
        <is>
          <t>TC-PAY-180</t>
        </is>
      </c>
      <c r="B181" s="15" t="inlineStr">
        <is>
          <t>Thanh toán &amp; Gói thành viên</t>
        </is>
      </c>
      <c r="C181" s="15" t="inlineStr">
        <is>
          <t>Rút tiền</t>
        </is>
      </c>
      <c r="D181" s="15" t="inlineStr">
        <is>
          <t>Thiếu tên ngân hàng / chủ tài khoản rỗng bị 400</t>
        </is>
      </c>
      <c r="E181" s="15" t="inlineStr">
        <is>
          <t>Chức năng</t>
        </is>
      </c>
      <c r="F181" s="20" t="inlineStr">
        <is>
          <t>Trung bình</t>
        </is>
      </c>
      <c r="G181" s="17" t="inlineStr">
        <is>
          <t>Đã hoàn thiện</t>
        </is>
      </c>
      <c r="H181" s="17" t="inlineStr">
        <is>
          <t>Có</t>
        </is>
      </c>
      <c r="I181" s="15" t="inlineStr">
        <is>
          <t>Seed đã chạy (npm run db:seed) trên DB sạch; paid-demo = cộng đồng công khai $19/tháng (1900 cent), Owner: owner@sofinhub.test. Mật khẩu chung Passw0rd!x. Thành viên minh họa isDemo = demo-paid-demo-&lt;i&gt;, không đăng nhập được.</t>
        </is>
      </c>
      <c r="J181" s="15" t="inlineStr">
        <is>
          <t>1. Owner POST payouts với bankName='' 
2. Owner POST payouts với accountHolder='   '
3. method.type='paypal'</t>
        </is>
      </c>
      <c r="K181" s="15" t="inlineStr">
        <is>
          <t>-</t>
        </is>
      </c>
      <c r="L181" s="15" t="inlineStr">
        <is>
          <t>Cả ba 400 VALIDATION_ERROR (trim rồi min 1 ký tự; type phải là 'bank').</t>
        </is>
      </c>
      <c r="M181" s="15" t="inlineStr"/>
      <c r="N181" s="18" t="inlineStr">
        <is>
          <t>Chưa test</t>
        </is>
      </c>
      <c r="O181" s="15" t="inlineStr"/>
      <c r="P181" s="15" t="inlineStr"/>
      <c r="Q181" s="18" t="inlineStr">
        <is>
          <t>Chưa test</t>
        </is>
      </c>
      <c r="R181" s="15" t="inlineStr"/>
    </row>
    <row r="182" ht="30" customHeight="1">
      <c r="A182" s="14" t="inlineStr">
        <is>
          <t>TC-PAY-181</t>
        </is>
      </c>
      <c r="B182" s="15" t="inlineStr">
        <is>
          <t>Thanh toán &amp; Gói thành viên</t>
        </is>
      </c>
      <c r="C182" s="15" t="inlineStr">
        <is>
          <t>Rút tiền</t>
        </is>
      </c>
      <c r="D182" s="15" t="inlineStr">
        <is>
          <t>Platform Admin không được tạo lệnh rút thay Owner</t>
        </is>
      </c>
      <c r="E182" s="15" t="inlineStr">
        <is>
          <t>Bảo mật</t>
        </is>
      </c>
      <c r="F182" s="16" t="inlineStr">
        <is>
          <t>Cao</t>
        </is>
      </c>
      <c r="G182" s="17" t="inlineStr">
        <is>
          <t>Đã hoàn thiện</t>
        </is>
      </c>
      <c r="H182" s="17" t="inlineStr">
        <is>
          <t>Có</t>
        </is>
      </c>
      <c r="I182"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82" s="15" t="inlineStr">
        <is>
          <t>1. POST /api/courses/paid-demo/payouts amountCents=5000 bằng admin</t>
        </is>
      </c>
      <c r="K182" s="15" t="inlineStr">
        <is>
          <t>-</t>
        </is>
      </c>
      <c r="L182" s="15" t="inlineStr">
        <is>
          <t>403 FORBIDDEN, message 'Chỉ chủ cộng đồng mới được yêu cầu rút tiền'.</t>
        </is>
      </c>
      <c r="M182" s="15" t="inlineStr"/>
      <c r="N182" s="18" t="inlineStr">
        <is>
          <t>Chưa test</t>
        </is>
      </c>
      <c r="O182" s="15" t="inlineStr"/>
      <c r="P182" s="15" t="inlineStr"/>
      <c r="Q182" s="18" t="inlineStr">
        <is>
          <t>Chưa test</t>
        </is>
      </c>
      <c r="R182" s="15" t="inlineStr"/>
    </row>
    <row r="183" ht="30" customHeight="1">
      <c r="A183" s="14" t="inlineStr">
        <is>
          <t>TC-PAY-182</t>
        </is>
      </c>
      <c r="B183" s="15" t="inlineStr">
        <is>
          <t>Thanh toán &amp; Gói thành viên</t>
        </is>
      </c>
      <c r="C183" s="15" t="inlineStr">
        <is>
          <t>Rút tiền</t>
        </is>
      </c>
      <c r="D183" s="15" t="inlineStr">
        <is>
          <t>cadmin tạo lệnh rút tiền bị 403</t>
        </is>
      </c>
      <c r="E183" s="15" t="inlineStr">
        <is>
          <t>Bảo mật</t>
        </is>
      </c>
      <c r="F183" s="16" t="inlineStr">
        <is>
          <t>Cao</t>
        </is>
      </c>
      <c r="G183" s="17" t="inlineStr">
        <is>
          <t>Đã hoàn thiện</t>
        </is>
      </c>
      <c r="H183" s="17" t="inlineStr">
        <is>
          <t>Có</t>
        </is>
      </c>
      <c r="I183"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83" s="15" t="inlineStr">
        <is>
          <t>1. POST /api/courses/paid-demo/payouts amountCents=5000</t>
        </is>
      </c>
      <c r="K183" s="15" t="inlineStr">
        <is>
          <t>-</t>
        </is>
      </c>
      <c r="L183" s="15" t="inlineStr">
        <is>
          <t>403 FORBIDDEN 'Chỉ chủ cộng đồng mới được yêu cầu rút tiền'; không tạo payout.</t>
        </is>
      </c>
      <c r="M183" s="15" t="inlineStr"/>
      <c r="N183" s="18" t="inlineStr">
        <is>
          <t>Chưa test</t>
        </is>
      </c>
      <c r="O183" s="15" t="inlineStr"/>
      <c r="P183" s="15" t="inlineStr"/>
      <c r="Q183" s="18" t="inlineStr">
        <is>
          <t>Chưa test</t>
        </is>
      </c>
      <c r="R183" s="15" t="inlineStr"/>
    </row>
    <row r="184" ht="30" customHeight="1">
      <c r="A184" s="14" t="inlineStr">
        <is>
          <t>TC-PAY-183</t>
        </is>
      </c>
      <c r="B184" s="15" t="inlineStr">
        <is>
          <t>Thanh toán &amp; Gói thành viên</t>
        </is>
      </c>
      <c r="C184" s="15" t="inlineStr">
        <is>
          <t>Rút tiền</t>
        </is>
      </c>
      <c r="D184" s="15" t="inlineStr">
        <is>
          <t>mod tạo lệnh rút tiền bị 403</t>
        </is>
      </c>
      <c r="E184" s="15" t="inlineStr">
        <is>
          <t>Bảo mật</t>
        </is>
      </c>
      <c r="F184" s="16" t="inlineStr">
        <is>
          <t>Cao</t>
        </is>
      </c>
      <c r="G184" s="17" t="inlineStr">
        <is>
          <t>Đã hoàn thiện</t>
        </is>
      </c>
      <c r="H184" s="17" t="inlineStr">
        <is>
          <t>Có</t>
        </is>
      </c>
      <c r="I184"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84" s="15" t="inlineStr">
        <is>
          <t>1. POST /api/courses/paid-demo/payouts amountCents=5000</t>
        </is>
      </c>
      <c r="K184" s="15" t="inlineStr">
        <is>
          <t>-</t>
        </is>
      </c>
      <c r="L184" s="15" t="inlineStr">
        <is>
          <t>403 FORBIDDEN 'Chỉ chủ cộng đồng mới được yêu cầu rút tiền'; không tạo payout.</t>
        </is>
      </c>
      <c r="M184" s="15" t="inlineStr"/>
      <c r="N184" s="18" t="inlineStr">
        <is>
          <t>Chưa test</t>
        </is>
      </c>
      <c r="O184" s="15" t="inlineStr"/>
      <c r="P184" s="15" t="inlineStr"/>
      <c r="Q184" s="18" t="inlineStr">
        <is>
          <t>Chưa test</t>
        </is>
      </c>
      <c r="R184" s="15" t="inlineStr"/>
    </row>
    <row r="185" ht="30" customHeight="1">
      <c r="A185" s="14" t="inlineStr">
        <is>
          <t>TC-PAY-184</t>
        </is>
      </c>
      <c r="B185" s="15" t="inlineStr">
        <is>
          <t>Thanh toán &amp; Gói thành viên</t>
        </is>
      </c>
      <c r="C185" s="15" t="inlineStr">
        <is>
          <t>Rút tiền</t>
        </is>
      </c>
      <c r="D185" s="15" t="inlineStr">
        <is>
          <t>member1 tạo lệnh rút tiền bị 403</t>
        </is>
      </c>
      <c r="E185" s="15" t="inlineStr">
        <is>
          <t>Bảo mật</t>
        </is>
      </c>
      <c r="F185" s="16" t="inlineStr">
        <is>
          <t>Cao</t>
        </is>
      </c>
      <c r="G185" s="17" t="inlineStr">
        <is>
          <t>Đã hoàn thiện</t>
        </is>
      </c>
      <c r="H185" s="17" t="inlineStr">
        <is>
          <t>Có</t>
        </is>
      </c>
      <c r="I185"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85" s="15" t="inlineStr">
        <is>
          <t>1. POST /api/courses/paid-demo/payouts amountCents=5000</t>
        </is>
      </c>
      <c r="K185" s="15" t="inlineStr">
        <is>
          <t>-</t>
        </is>
      </c>
      <c r="L185" s="15" t="inlineStr">
        <is>
          <t>403 FORBIDDEN 'Chỉ chủ cộng đồng mới được yêu cầu rút tiền'; không tạo payout.</t>
        </is>
      </c>
      <c r="M185" s="15" t="inlineStr"/>
      <c r="N185" s="18" t="inlineStr">
        <is>
          <t>Chưa test</t>
        </is>
      </c>
      <c r="O185" s="15" t="inlineStr"/>
      <c r="P185" s="15" t="inlineStr"/>
      <c r="Q185" s="18" t="inlineStr">
        <is>
          <t>Chưa test</t>
        </is>
      </c>
      <c r="R185" s="15" t="inlineStr"/>
    </row>
    <row r="186" ht="30" customHeight="1">
      <c r="A186" s="14" t="inlineStr">
        <is>
          <t>TC-PAY-185</t>
        </is>
      </c>
      <c r="B186" s="15" t="inlineStr">
        <is>
          <t>Thanh toán &amp; Gói thành viên</t>
        </is>
      </c>
      <c r="C186" s="15" t="inlineStr">
        <is>
          <t>Rút tiền</t>
        </is>
      </c>
      <c r="D186" s="15" t="inlineStr">
        <is>
          <t>newbie tạo lệnh rút tiền bị 403</t>
        </is>
      </c>
      <c r="E186" s="15" t="inlineStr">
        <is>
          <t>Bảo mật</t>
        </is>
      </c>
      <c r="F186" s="16" t="inlineStr">
        <is>
          <t>Cao</t>
        </is>
      </c>
      <c r="G186" s="17" t="inlineStr">
        <is>
          <t>Đã hoàn thiện</t>
        </is>
      </c>
      <c r="H186" s="17" t="inlineStr">
        <is>
          <t>Có</t>
        </is>
      </c>
      <c r="I186"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86" s="15" t="inlineStr">
        <is>
          <t>1. POST /api/courses/paid-demo/payouts amountCents=5000</t>
        </is>
      </c>
      <c r="K186" s="15" t="inlineStr">
        <is>
          <t>-</t>
        </is>
      </c>
      <c r="L186" s="15" t="inlineStr">
        <is>
          <t>403 FORBIDDEN 'Chỉ chủ cộng đồng mới được yêu cầu rút tiền'; không tạo payout.</t>
        </is>
      </c>
      <c r="M186" s="15" t="inlineStr"/>
      <c r="N186" s="18" t="inlineStr">
        <is>
          <t>Chưa test</t>
        </is>
      </c>
      <c r="O186" s="15" t="inlineStr"/>
      <c r="P186" s="15" t="inlineStr"/>
      <c r="Q186" s="18" t="inlineStr">
        <is>
          <t>Chưa test</t>
        </is>
      </c>
      <c r="R186" s="15" t="inlineStr"/>
    </row>
    <row r="187" ht="30" customHeight="1">
      <c r="A187" s="14" t="inlineStr">
        <is>
          <t>TC-PAY-186</t>
        </is>
      </c>
      <c r="B187" s="15" t="inlineStr">
        <is>
          <t>Thanh toán &amp; Gói thành viên</t>
        </is>
      </c>
      <c r="C187" s="15" t="inlineStr">
        <is>
          <t>Rút tiền</t>
        </is>
      </c>
      <c r="D187" s="15" t="inlineStr">
        <is>
          <t>Guest tạo lệnh rút bị 401</t>
        </is>
      </c>
      <c r="E187" s="15" t="inlineStr">
        <is>
          <t>Bảo mật</t>
        </is>
      </c>
      <c r="F187" s="20" t="inlineStr">
        <is>
          <t>Trung bình</t>
        </is>
      </c>
      <c r="G187" s="17" t="inlineStr">
        <is>
          <t>Đã hoàn thiện</t>
        </is>
      </c>
      <c r="H187" s="17" t="inlineStr">
        <is>
          <t>Có</t>
        </is>
      </c>
      <c r="I187" s="15" t="inlineStr">
        <is>
          <t>Guest.</t>
        </is>
      </c>
      <c r="J187" s="15" t="inlineStr">
        <is>
          <t>1. POST /api/courses/paid-demo/payouts không token</t>
        </is>
      </c>
      <c r="K187" s="15" t="inlineStr">
        <is>
          <t>-</t>
        </is>
      </c>
      <c r="L187" s="15" t="inlineStr">
        <is>
          <t>401 UNAUTHORIZED.</t>
        </is>
      </c>
      <c r="M187" s="15" t="inlineStr"/>
      <c r="N187" s="18" t="inlineStr">
        <is>
          <t>Chưa test</t>
        </is>
      </c>
      <c r="O187" s="15" t="inlineStr"/>
      <c r="P187" s="15" t="inlineStr"/>
      <c r="Q187" s="18" t="inlineStr">
        <is>
          <t>Chưa test</t>
        </is>
      </c>
      <c r="R187" s="15" t="inlineStr"/>
    </row>
    <row r="188" ht="30" customHeight="1">
      <c r="A188" s="14" t="inlineStr">
        <is>
          <t>TC-PAY-187</t>
        </is>
      </c>
      <c r="B188" s="15" t="inlineStr">
        <is>
          <t>Thanh toán &amp; Gói thành viên</t>
        </is>
      </c>
      <c r="C188" s="15" t="inlineStr">
        <is>
          <t>Rút tiền</t>
        </is>
      </c>
      <c r="D188" s="15" t="inlineStr">
        <is>
          <t>Danh sách payout của Owner có 2 lệnh seed, số TK che</t>
        </is>
      </c>
      <c r="E188" s="15" t="inlineStr">
        <is>
          <t>Chức năng</t>
        </is>
      </c>
      <c r="F188" s="16" t="inlineStr">
        <is>
          <t>Cao</t>
        </is>
      </c>
      <c r="G188" s="17" t="inlineStr">
        <is>
          <t>Đã hoàn thiện</t>
        </is>
      </c>
      <c r="H188" s="17" t="inlineStr">
        <is>
          <t>Có</t>
        </is>
      </c>
      <c r="I188"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88" s="15" t="inlineStr">
        <is>
          <t>1. GET /api/courses/paid-demo/payouts</t>
        </is>
      </c>
      <c r="K188" s="15" t="inlineStr">
        <is>
          <t>-</t>
        </is>
      </c>
      <c r="L188" s="15" t="inlineStr">
        <is>
          <t>200 {data,meta}: meta.total=2; seed-payout-pending (requested, 5000) và seed-payout-paid (paid, 5000, note 'Đã chuyển khoản (seed)'); method.bankName='Vietcombank', accountHolder='OLIVIA OWNER', accountMasked='****6789'; không có trường accountLast4 lộ ra.</t>
        </is>
      </c>
      <c r="M188" s="15" t="inlineStr"/>
      <c r="N188" s="18" t="inlineStr">
        <is>
          <t>Chưa test</t>
        </is>
      </c>
      <c r="O188" s="15" t="inlineStr"/>
      <c r="P188" s="15" t="inlineStr"/>
      <c r="Q188" s="18" t="inlineStr">
        <is>
          <t>Chưa test</t>
        </is>
      </c>
      <c r="R188" s="15" t="inlineStr"/>
    </row>
    <row r="189" ht="45" customHeight="1">
      <c r="A189" s="14" t="inlineStr">
        <is>
          <t>TC-PAY-188</t>
        </is>
      </c>
      <c r="B189" s="15" t="inlineStr">
        <is>
          <t>Thanh toán &amp; Gói thành viên</t>
        </is>
      </c>
      <c r="C189" s="15" t="inlineStr">
        <is>
          <t>Rút tiền</t>
        </is>
      </c>
      <c r="D189" s="15" t="inlineStr">
        <is>
          <t>GET payouts: member1 403, guest 401, Platform Admin xem được</t>
        </is>
      </c>
      <c r="E189" s="15" t="inlineStr">
        <is>
          <t>Bảo mật</t>
        </is>
      </c>
      <c r="F189" s="20" t="inlineStr">
        <is>
          <t>Trung bình</t>
        </is>
      </c>
      <c r="G189" s="17" t="inlineStr">
        <is>
          <t>Đã hoàn thiện</t>
        </is>
      </c>
      <c r="H189" s="17" t="inlineStr">
        <is>
          <t>Có</t>
        </is>
      </c>
      <c r="I189" s="15" t="inlineStr">
        <is>
          <t>Seed đã chạy (npm run db:seed) trên DB sạch; paid-demo = cộng đồng công khai $19/tháng (1900 cent), Owner: owner@sofinhub.test. Mật khẩu chung Passw0rd!x. Thành viên minh họa isDemo = demo-paid-demo-&lt;i&gt;, không đăng nhập được.</t>
        </is>
      </c>
      <c r="J189" s="15" t="inlineStr">
        <is>
          <t>1. GET /api/courses/paid-demo/payouts bằng member1
2. Không token
3. Bằng admin</t>
        </is>
      </c>
      <c r="K189" s="15" t="inlineStr">
        <is>
          <t>-</t>
        </is>
      </c>
      <c r="L189" s="15" t="inlineStr">
        <is>
          <t>403; 401; 200 (Platform Admin xem được, chỉ không rút được).</t>
        </is>
      </c>
      <c r="M189" s="15" t="inlineStr"/>
      <c r="N189" s="18" t="inlineStr">
        <is>
          <t>Chưa test</t>
        </is>
      </c>
      <c r="O189" s="15" t="inlineStr"/>
      <c r="P189" s="15" t="inlineStr"/>
      <c r="Q189" s="18" t="inlineStr">
        <is>
          <t>Chưa test</t>
        </is>
      </c>
      <c r="R189" s="15" t="inlineStr"/>
    </row>
    <row r="190" ht="45" customHeight="1">
      <c r="A190" s="14" t="inlineStr">
        <is>
          <t>TC-PAY-189</t>
        </is>
      </c>
      <c r="B190" s="15" t="inlineStr">
        <is>
          <t>Thanh toán &amp; Gói thành viên</t>
        </is>
      </c>
      <c r="C190" s="15" t="inlineStr">
        <is>
          <t>Rút tiền</t>
        </is>
      </c>
      <c r="D190" s="15" t="inlineStr">
        <is>
          <t>Form rút tiền trên dashboard: rút thành công hiện trong 'Lệnh rút tiền'</t>
        </is>
      </c>
      <c r="E190" s="15" t="inlineStr">
        <is>
          <t>Giao diện</t>
        </is>
      </c>
      <c r="F190" s="16" t="inlineStr">
        <is>
          <t>Cao</t>
        </is>
      </c>
      <c r="G190" s="17" t="inlineStr">
        <is>
          <t>Đã hoàn thiện</t>
        </is>
      </c>
      <c r="H190" s="17" t="inlineStr">
        <is>
          <t>Có</t>
        </is>
      </c>
      <c r="I190"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90" s="15" t="inlineStr">
        <is>
          <t>1. Mở /courses/paid-demo/revenue-dashboard
2. Nhập số tiền 60 (USD), ngân hàng Vietcombank, số TK 0123456789, chủ TK OLIVIA OWNER
3. Gửi</t>
        </is>
      </c>
      <c r="K190" s="15" t="inlineStr">
        <is>
          <t>60 USD</t>
        </is>
      </c>
      <c r="L190" s="15" t="inlineStr">
        <is>
          <t>Lệnh mới xuất hiện với trạng thái 'Đã yêu cầu' và số TK ****6789; Số dư khả dụng giảm $60.00.</t>
        </is>
      </c>
      <c r="M190" s="15" t="inlineStr"/>
      <c r="N190" s="18" t="inlineStr">
        <is>
          <t>Chưa test</t>
        </is>
      </c>
      <c r="O190" s="15" t="inlineStr"/>
      <c r="P190" s="15" t="inlineStr"/>
      <c r="Q190" s="18" t="inlineStr">
        <is>
          <t>Chưa test</t>
        </is>
      </c>
      <c r="R190" s="15" t="inlineStr"/>
    </row>
    <row r="191" ht="30" customHeight="1">
      <c r="A191" s="14" t="inlineStr">
        <is>
          <t>TC-PAY-190</t>
        </is>
      </c>
      <c r="B191" s="15" t="inlineStr">
        <is>
          <t>Thanh toán &amp; Gói thành viên</t>
        </is>
      </c>
      <c r="C191" s="15" t="inlineStr">
        <is>
          <t>Rút tiền</t>
        </is>
      </c>
      <c r="D191" s="15" t="inlineStr">
        <is>
          <t>Form rút tiền hiển thị lỗi BE khi dưới $50 hoặc vượt số dư</t>
        </is>
      </c>
      <c r="E191" s="15" t="inlineStr">
        <is>
          <t>Giao diện</t>
        </is>
      </c>
      <c r="F191" s="20" t="inlineStr">
        <is>
          <t>Trung bình</t>
        </is>
      </c>
      <c r="G191" s="17" t="inlineStr">
        <is>
          <t>Đã hoàn thiện</t>
        </is>
      </c>
      <c r="H191" s="17" t="inlineStr">
        <is>
          <t>Có</t>
        </is>
      </c>
      <c r="I191"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91" s="15" t="inlineStr">
        <is>
          <t>1. Nhập số tiền 10 rồi gửi
2. Nhập số tiền 99999 rồi gửi</t>
        </is>
      </c>
      <c r="K191" s="15" t="inlineStr">
        <is>
          <t>10 USD; 99999 USD</t>
        </is>
      </c>
      <c r="L191" s="15" t="inlineStr">
        <is>
          <t>Khung lỗi (role=alert) hiển thị 'Số tiền rút tối thiểu là 50.00 USD' và 'Số tiền rút vượt quá số dư khả dụng'; không có lệnh mới.</t>
        </is>
      </c>
      <c r="M191" s="15" t="inlineStr"/>
      <c r="N191" s="18" t="inlineStr">
        <is>
          <t>Chưa test</t>
        </is>
      </c>
      <c r="O191" s="15" t="inlineStr"/>
      <c r="P191" s="15" t="inlineStr"/>
      <c r="Q191" s="18" t="inlineStr">
        <is>
          <t>Chưa test</t>
        </is>
      </c>
      <c r="R191" s="15" t="inlineStr"/>
    </row>
    <row r="192" ht="30" customHeight="1">
      <c r="A192" s="14" t="inlineStr">
        <is>
          <t>TC-PAY-191</t>
        </is>
      </c>
      <c r="B192" s="15" t="inlineStr">
        <is>
          <t>Thanh toán &amp; Gói thành viên</t>
        </is>
      </c>
      <c r="C192" s="15" t="inlineStr">
        <is>
          <t>Rút tiền</t>
        </is>
      </c>
      <c r="D192" s="15" t="inlineStr">
        <is>
          <t>Hai lệnh rút song song không vượt tổng số dư</t>
        </is>
      </c>
      <c r="E192" s="15" t="inlineStr">
        <is>
          <t>Chức năng</t>
        </is>
      </c>
      <c r="F192" s="16" t="inlineStr">
        <is>
          <t>Cao</t>
        </is>
      </c>
      <c r="G192" s="17" t="inlineStr">
        <is>
          <t>Đã hoàn thiện</t>
        </is>
      </c>
      <c r="H192" s="20" t="inlineStr">
        <is>
          <t>Một phần</t>
        </is>
      </c>
      <c r="I19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dư 35415. Case làm thay đổi dữ liệu seed - chạy lại npm run db:seed (hoặc dùng tài khoản/gói mới) trước khi lặp lại.</t>
        </is>
      </c>
      <c r="J192" s="15" t="inlineStr">
        <is>
          <t>1. Owner gửi đồng thời 2 POST payouts amountCents=20000</t>
        </is>
      </c>
      <c r="K192" s="15" t="inlineStr">
        <is>
          <t>2 x 20000 &gt; 35415</t>
        </is>
      </c>
      <c r="L192" s="15" t="inlineStr">
        <is>
          <t>Đúng một request 201, request còn lại 400 'Số tiền rút vượt quá số dư khả dụng' (khóa Course FOR UPDATE).</t>
        </is>
      </c>
      <c r="M192" s="15" t="inlineStr"/>
      <c r="N192" s="18" t="inlineStr">
        <is>
          <t>Chưa test</t>
        </is>
      </c>
      <c r="O192" s="15" t="inlineStr"/>
      <c r="P192" s="15" t="inlineStr"/>
      <c r="Q192" s="18" t="inlineStr">
        <is>
          <t>Chưa test</t>
        </is>
      </c>
      <c r="R192" s="15" t="inlineStr"/>
    </row>
    <row r="193" ht="30" customHeight="1">
      <c r="A193" s="14" t="inlineStr">
        <is>
          <t>TC-PAY-192</t>
        </is>
      </c>
      <c r="B193" s="15" t="inlineStr">
        <is>
          <t>Thanh toán &amp; Gói thành viên</t>
        </is>
      </c>
      <c r="C193" s="15" t="inlineStr">
        <is>
          <t>Rút tiền</t>
        </is>
      </c>
      <c r="D193" s="15" t="inlineStr">
        <is>
          <t>Admin: danh sách /admin/payouts?status=requested có payout seed</t>
        </is>
      </c>
      <c r="E193" s="15" t="inlineStr">
        <is>
          <t>Chức năng</t>
        </is>
      </c>
      <c r="F193" s="16" t="inlineStr">
        <is>
          <t>Cao</t>
        </is>
      </c>
      <c r="G193" s="17" t="inlineStr">
        <is>
          <t>Đã hoàn thiện</t>
        </is>
      </c>
      <c r="H193" s="17" t="inlineStr">
        <is>
          <t>Có</t>
        </is>
      </c>
      <c r="I19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93" s="15" t="inlineStr">
        <is>
          <t>1. GET /api/admin/payouts?status=requested</t>
        </is>
      </c>
      <c r="K193" s="15" t="inlineStr">
        <is>
          <t>-</t>
        </is>
      </c>
      <c r="L193" s="15" t="inlineStr">
        <is>
          <t>200 có seed-payout-pending (courseId=paid-demo, ownerId=id owner, amountCents=5000, accountMasked '****6789'); không có seed-payout-paid.</t>
        </is>
      </c>
      <c r="M193" s="15" t="inlineStr"/>
      <c r="N193" s="18" t="inlineStr">
        <is>
          <t>Chưa test</t>
        </is>
      </c>
      <c r="O193" s="15" t="inlineStr"/>
      <c r="P193" s="15" t="inlineStr"/>
      <c r="Q193" s="18" t="inlineStr">
        <is>
          <t>Chưa test</t>
        </is>
      </c>
      <c r="R193" s="15" t="inlineStr"/>
    </row>
    <row r="194" ht="30" customHeight="1">
      <c r="A194" s="14" t="inlineStr">
        <is>
          <t>TC-PAY-193</t>
        </is>
      </c>
      <c r="B194" s="15" t="inlineStr">
        <is>
          <t>Thanh toán &amp; Gói thành viên</t>
        </is>
      </c>
      <c r="C194" s="15" t="inlineStr">
        <is>
          <t>Rút tiền</t>
        </is>
      </c>
      <c r="D194" s="15" t="inlineStr">
        <is>
          <t>Admin duyệt payout: requested -&gt; approved, Owner nhận thông báo</t>
        </is>
      </c>
      <c r="E194" s="15" t="inlineStr">
        <is>
          <t>Chức năng</t>
        </is>
      </c>
      <c r="F194" s="16" t="inlineStr">
        <is>
          <t>Cao</t>
        </is>
      </c>
      <c r="G194" s="17" t="inlineStr">
        <is>
          <t>Đã hoàn thiện</t>
        </is>
      </c>
      <c r="H194" s="17" t="inlineStr">
        <is>
          <t>Có</t>
        </is>
      </c>
      <c r="I19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94" s="15" t="inlineStr">
        <is>
          <t>1. PATCH /api/admin/payouts/seed-payout-pending body {"action":"approve"}
2. Owner GET /api/notifications</t>
        </is>
      </c>
      <c r="K194" s="15" t="inlineStr">
        <is>
          <t>-</t>
        </is>
      </c>
      <c r="L194" s="15" t="inlineStr">
        <is>
          <t>200 status=approved; Owner có thông báo 'Yêu cầu rút tiền đã được duyệt' body 'Yêu cầu rút 50.00 USD đã được duyệt và sẽ được chuyển khoản.'; availableBalanceCents không đổi (payout approved vẫn bị trừ).</t>
        </is>
      </c>
      <c r="M194" s="15" t="inlineStr"/>
      <c r="N194" s="18" t="inlineStr">
        <is>
          <t>Chưa test</t>
        </is>
      </c>
      <c r="O194" s="15" t="inlineStr"/>
      <c r="P194" s="15" t="inlineStr"/>
      <c r="Q194" s="18" t="inlineStr">
        <is>
          <t>Chưa test</t>
        </is>
      </c>
      <c r="R194" s="15" t="inlineStr"/>
    </row>
    <row r="195" ht="30" customHeight="1">
      <c r="A195" s="14" t="inlineStr">
        <is>
          <t>TC-PAY-194</t>
        </is>
      </c>
      <c r="B195" s="15" t="inlineStr">
        <is>
          <t>Thanh toán &amp; Gói thành viên</t>
        </is>
      </c>
      <c r="C195" s="15" t="inlineStr">
        <is>
          <t>Rút tiền</t>
        </is>
      </c>
      <c r="D195" s="15" t="inlineStr">
        <is>
          <t>Admin mark_paid: approved -&gt; paid</t>
        </is>
      </c>
      <c r="E195" s="15" t="inlineStr">
        <is>
          <t>Chức năng</t>
        </is>
      </c>
      <c r="F195" s="16" t="inlineStr">
        <is>
          <t>Cao</t>
        </is>
      </c>
      <c r="G195" s="17" t="inlineStr">
        <is>
          <t>Đã hoàn thiện</t>
        </is>
      </c>
      <c r="H195" s="17" t="inlineStr">
        <is>
          <t>Có</t>
        </is>
      </c>
      <c r="I195"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95" s="15" t="inlineStr">
        <is>
          <t>1. PATCH /api/admin/payouts/seed-payout-pending body {"action":"mark_paid","note":"CK xong"}</t>
        </is>
      </c>
      <c r="K195" s="15" t="inlineStr">
        <is>
          <t>note='CK xong'</t>
        </is>
      </c>
      <c r="L195" s="15" t="inlineStr">
        <is>
          <t>200 status=paid, note='CK xong'; thông báo 'Đã chuyển tiền' body '50.00 USD đã được chuyển vào tài khoản ****6789.'.</t>
        </is>
      </c>
      <c r="M195" s="15" t="inlineStr"/>
      <c r="N195" s="18" t="inlineStr">
        <is>
          <t>Chưa test</t>
        </is>
      </c>
      <c r="O195" s="15" t="inlineStr"/>
      <c r="P195" s="15" t="inlineStr"/>
      <c r="Q195" s="18" t="inlineStr">
        <is>
          <t>Chưa test</t>
        </is>
      </c>
      <c r="R195" s="15" t="inlineStr"/>
    </row>
    <row r="196" ht="45" customHeight="1">
      <c r="A196" s="14" t="inlineStr">
        <is>
          <t>TC-PAY-195</t>
        </is>
      </c>
      <c r="B196" s="15" t="inlineStr">
        <is>
          <t>Thanh toán &amp; Gói thành viên</t>
        </is>
      </c>
      <c r="C196" s="15" t="inlineStr">
        <is>
          <t>Rút tiền</t>
        </is>
      </c>
      <c r="D196" s="15" t="inlineStr">
        <is>
          <t>Admin từ chối payout: số dư được hoàn lại</t>
        </is>
      </c>
      <c r="E196" s="15" t="inlineStr">
        <is>
          <t>Chức năng</t>
        </is>
      </c>
      <c r="F196" s="16" t="inlineStr">
        <is>
          <t>Cao</t>
        </is>
      </c>
      <c r="G196" s="17" t="inlineStr">
        <is>
          <t>Đã hoàn thiện</t>
        </is>
      </c>
      <c r="H196" s="17" t="inlineStr">
        <is>
          <t>Có</t>
        </is>
      </c>
      <c r="I19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96" s="15" t="inlineStr">
        <is>
          <t>1. Owner GET revenue (ghi availableBalance 35415)
2. Admin PATCH seed-payout-pending {"action":"reject","note":"Sai thông tin"}
3. Owner GET revenue</t>
        </is>
      </c>
      <c r="K196" s="15" t="inlineStr">
        <is>
          <t>note='Sai thông tin'</t>
        </is>
      </c>
      <c r="L196" s="15" t="inlineStr">
        <is>
          <t>Payout status=rejected; payoutRequestedCents 10000 -&gt; 5000; availableBalanceCents 35415 -&gt; 40415; thông báo 'Yêu cầu rút tiền bị từ chối' body 'Lý do: Sai thông tin'.</t>
        </is>
      </c>
      <c r="M196" s="15" t="inlineStr"/>
      <c r="N196" s="18" t="inlineStr">
        <is>
          <t>Chưa test</t>
        </is>
      </c>
      <c r="O196" s="15" t="inlineStr"/>
      <c r="P196" s="15" t="inlineStr"/>
      <c r="Q196" s="18" t="inlineStr">
        <is>
          <t>Chưa test</t>
        </is>
      </c>
      <c r="R196" s="15" t="inlineStr"/>
    </row>
    <row r="197" ht="45" customHeight="1">
      <c r="A197" s="14" t="inlineStr">
        <is>
          <t>TC-PAY-196</t>
        </is>
      </c>
      <c r="B197" s="15" t="inlineStr">
        <is>
          <t>Thanh toán &amp; Gói thành viên</t>
        </is>
      </c>
      <c r="C197" s="15" t="inlineStr">
        <is>
          <t>Rút tiền</t>
        </is>
      </c>
      <c r="D197" s="15" t="inlineStr">
        <is>
          <t>Chuyển trạng thái payout không hợp lệ trả 409</t>
        </is>
      </c>
      <c r="E197" s="15" t="inlineStr">
        <is>
          <t>Chức năng</t>
        </is>
      </c>
      <c r="F197" s="20" t="inlineStr">
        <is>
          <t>Trung bình</t>
        </is>
      </c>
      <c r="G197" s="17" t="inlineStr">
        <is>
          <t>Đã hoàn thiện</t>
        </is>
      </c>
      <c r="H197" s="17" t="inlineStr">
        <is>
          <t>Có</t>
        </is>
      </c>
      <c r="I19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97" s="15" t="inlineStr">
        <is>
          <t>1. PATCH seed-payout-paid {"action":"approve"}
2. PATCH seed-payout-paid {"action":"mark_paid"}
3. PATCH seed-payout-paid {"action":"reject"}</t>
        </is>
      </c>
      <c r="K197" s="15" t="inlineStr">
        <is>
          <t>-</t>
        </is>
      </c>
      <c r="L197" s="15" t="inlineStr">
        <is>
          <t>409 CONFLICT lần lượt: 'Chỉ duyệt được yêu cầu đang chờ'; 'Yêu cầu không ở trạng thái có thể đánh dấu đã chi'; 'Yêu cầu đã được xử lý xong'.</t>
        </is>
      </c>
      <c r="M197" s="15" t="inlineStr"/>
      <c r="N197" s="18" t="inlineStr">
        <is>
          <t>Chưa test</t>
        </is>
      </c>
      <c r="O197" s="15" t="inlineStr"/>
      <c r="P197" s="15" t="inlineStr"/>
      <c r="Q197" s="18" t="inlineStr">
        <is>
          <t>Chưa test</t>
        </is>
      </c>
      <c r="R197" s="15" t="inlineStr"/>
    </row>
    <row r="198" ht="30" customHeight="1">
      <c r="A198" s="14" t="inlineStr">
        <is>
          <t>TC-PAY-197</t>
        </is>
      </c>
      <c r="B198" s="15" t="inlineStr">
        <is>
          <t>Thanh toán &amp; Gói thành viên</t>
        </is>
      </c>
      <c r="C198" s="15" t="inlineStr">
        <is>
          <t>Rút tiền</t>
        </is>
      </c>
      <c r="D198" s="15" t="inlineStr">
        <is>
          <t>PATCH payout không tồn tại trả 404, action sai trả 400</t>
        </is>
      </c>
      <c r="E198" s="15" t="inlineStr">
        <is>
          <t>Chức năng</t>
        </is>
      </c>
      <c r="F198" s="17" t="inlineStr">
        <is>
          <t>Thấp</t>
        </is>
      </c>
      <c r="G198" s="17" t="inlineStr">
        <is>
          <t>Đã hoàn thiện</t>
        </is>
      </c>
      <c r="H198" s="17" t="inlineStr">
        <is>
          <t>Có</t>
        </is>
      </c>
      <c r="I198"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98" s="15" t="inlineStr">
        <is>
          <t>1. PATCH /api/admin/payouts/khong-co {"action":"approve"}
2. PATCH seed-payout-pending {"action":"pay"}</t>
        </is>
      </c>
      <c r="K198" s="15" t="inlineStr">
        <is>
          <t>-</t>
        </is>
      </c>
      <c r="L198" s="15" t="inlineStr">
        <is>
          <t>404 'Không tìm thấy yêu cầu rút tiền'; 400 VALIDATION_ERROR.</t>
        </is>
      </c>
      <c r="M198" s="15" t="inlineStr"/>
      <c r="N198" s="18" t="inlineStr">
        <is>
          <t>Chưa test</t>
        </is>
      </c>
      <c r="O198" s="15" t="inlineStr"/>
      <c r="P198" s="15" t="inlineStr"/>
      <c r="Q198" s="18" t="inlineStr">
        <is>
          <t>Chưa test</t>
        </is>
      </c>
      <c r="R198" s="15" t="inlineStr"/>
    </row>
    <row r="199" ht="45" customHeight="1">
      <c r="A199" s="14" t="inlineStr">
        <is>
          <t>TC-PAY-198</t>
        </is>
      </c>
      <c r="B199" s="15" t="inlineStr">
        <is>
          <t>Thanh toán &amp; Gói thành viên</t>
        </is>
      </c>
      <c r="C199" s="15" t="inlineStr">
        <is>
          <t>Rút tiền</t>
        </is>
      </c>
      <c r="D199" s="15" t="inlineStr">
        <is>
          <t>Owner/thành viên gọi /admin/payouts bị 403</t>
        </is>
      </c>
      <c r="E199" s="15" t="inlineStr">
        <is>
          <t>Bảo mật</t>
        </is>
      </c>
      <c r="F199" s="16" t="inlineStr">
        <is>
          <t>Cao</t>
        </is>
      </c>
      <c r="G199" s="17" t="inlineStr">
        <is>
          <t>Đã hoàn thiện</t>
        </is>
      </c>
      <c r="H199" s="17" t="inlineStr">
        <is>
          <t>Có</t>
        </is>
      </c>
      <c r="I199" s="15" t="inlineStr">
        <is>
          <t>Seed đã chạy (npm run db:seed) trên DB sạch; paid-demo = cộng đồng công khai $19/tháng (1900 cent), Owner: owner@sofinhub.test. Mật khẩu chung Passw0rd!x. Thành viên minh họa isDemo = demo-paid-demo-&lt;i&gt;, không đăng nhập được.</t>
        </is>
      </c>
      <c r="J199" s="15" t="inlineStr">
        <is>
          <t>1. Owner GET /api/admin/payouts
2. Owner PATCH /api/admin/payouts/seed-payout-pending {"action":"approve"}
3. member1 GET /api/admin/payouts</t>
        </is>
      </c>
      <c r="K199" s="15" t="inlineStr">
        <is>
          <t>-</t>
        </is>
      </c>
      <c r="L199" s="15" t="inlineStr">
        <is>
          <t>Tất cả 403; Owner không tự duyệt lệnh rút của mình. Guest: 401.</t>
        </is>
      </c>
      <c r="M199" s="15" t="inlineStr"/>
      <c r="N199" s="18" t="inlineStr">
        <is>
          <t>Chưa test</t>
        </is>
      </c>
      <c r="O199" s="15" t="inlineStr"/>
      <c r="P199" s="15" t="inlineStr"/>
      <c r="Q199" s="18" t="inlineStr">
        <is>
          <t>Chưa test</t>
        </is>
      </c>
      <c r="R199" s="15" t="inlineStr"/>
    </row>
    <row r="200" ht="45" customHeight="1">
      <c r="A200" s="14" t="inlineStr">
        <is>
          <t>TC-PAY-199</t>
        </is>
      </c>
      <c r="B200" s="15" t="inlineStr">
        <is>
          <t>Thanh toán &amp; Gói thành viên</t>
        </is>
      </c>
      <c r="C200" s="15" t="inlineStr">
        <is>
          <t>Rút tiền</t>
        </is>
      </c>
      <c r="D200" s="15" t="inlineStr">
        <is>
          <t>Tab Rút tiền ở /admin: lọc trạng thái và thao tác Duyệt/Đã chi trả/Từ chối</t>
        </is>
      </c>
      <c r="E200" s="15" t="inlineStr">
        <is>
          <t>Giao diện</t>
        </is>
      </c>
      <c r="F200" s="20" t="inlineStr">
        <is>
          <t>Trung bình</t>
        </is>
      </c>
      <c r="G200" s="17" t="inlineStr">
        <is>
          <t>Đã hoàn thiện</t>
        </is>
      </c>
      <c r="H200" s="20" t="inlineStr">
        <is>
          <t>Một phần</t>
        </is>
      </c>
      <c r="I200"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200" s="15" t="inlineStr">
        <is>
          <t>1. Mở /admin, tab Rút tiền
2. Lọc 'Đã yêu cầu'
3. Duyệt rồi chọn 'Đã chi trả'</t>
        </is>
      </c>
      <c r="K200" s="15" t="inlineStr">
        <is>
          <t>-</t>
        </is>
      </c>
      <c r="L200" s="15" t="inlineStr">
        <is>
          <t>Lệnh chuyển trạng thái tương ứng, biến khỏi bộ lọc 'Đã yêu cầu'; xử lý lại báo lỗi 409 trong hộp thoại.</t>
        </is>
      </c>
      <c r="M200" s="15" t="inlineStr"/>
      <c r="N200" s="18" t="inlineStr">
        <is>
          <t>Chưa test</t>
        </is>
      </c>
      <c r="O200" s="15" t="inlineStr"/>
      <c r="P200" s="15" t="inlineStr"/>
      <c r="Q200" s="18" t="inlineStr">
        <is>
          <t>Chưa test</t>
        </is>
      </c>
      <c r="R200" s="15" t="inlineStr"/>
    </row>
    <row r="201" ht="45" customHeight="1">
      <c r="A201" s="14" t="inlineStr">
        <is>
          <t>TC-PAY-200</t>
        </is>
      </c>
      <c r="B201" s="15" t="inlineStr">
        <is>
          <t>Thanh toán &amp; Gói thành viên</t>
        </is>
      </c>
      <c r="C201" s="15" t="inlineStr">
        <is>
          <t>Rút tiền</t>
        </is>
      </c>
      <c r="D201" s="15" t="inlineStr">
        <is>
          <t>Số dư có thể âm khi hoàn tiền sau khi đã rút (ghi nhận, chưa xử lý)</t>
        </is>
      </c>
      <c r="E201" s="15" t="inlineStr">
        <is>
          <t>Chức năng</t>
        </is>
      </c>
      <c r="F201" s="17" t="inlineStr">
        <is>
          <t>Thấp</t>
        </is>
      </c>
      <c r="G201" s="17" t="inlineStr">
        <is>
          <t>Đã hoàn thiện</t>
        </is>
      </c>
      <c r="H201" s="16" t="inlineStr">
        <is>
          <t>Không</t>
        </is>
      </c>
      <c r="I201" s="15" t="inlineStr">
        <is>
          <t>Seed đã chạy (npm run db:seed) trên DB sạch; paid-demo = cộng đồng công khai $19/tháng (1900 cent), Owner: owner@sofinhub.test. Mật khẩu chung Passw0rd!x. Thành viên minh họa isDemo = demo-paid-demo-&lt;i&gt;, không đăng nhập được. Owner rút hết số dư 35415, sau đó Admin duyệt seed-refund-pending. Case làm thay đổi dữ liệu seed - chạy lại npm run db:seed (hoặc dùng tài khoản/gói mới) trước khi lặp lại.</t>
        </is>
      </c>
      <c r="J201" s="15" t="inlineStr">
        <is>
          <t>1. Rút hết số dư
2. Duyệt hoàn tiền demo #2
3. GET revenue</t>
        </is>
      </c>
      <c r="K201" s="15" t="inlineStr">
        <is>
          <t>-</t>
        </is>
      </c>
      <c r="L201" s="15" t="inlineStr">
        <is>
          <t>availableBalanceCents âm (35415 - 35415 - phần hoàn) - hành vi hiện tại được docs ghi nhận (giới hạn); chưa có cơ chế giữ/độ trễ giải ngân (chưa chốt).</t>
        </is>
      </c>
      <c r="M201" s="15" t="inlineStr"/>
      <c r="N201" s="18" t="inlineStr">
        <is>
          <t>Chưa test</t>
        </is>
      </c>
      <c r="O201" s="15" t="inlineStr"/>
      <c r="P201" s="15" t="inlineStr"/>
      <c r="Q201" s="18" t="inlineStr">
        <is>
          <t>Chưa test</t>
        </is>
      </c>
      <c r="R201" s="15" t="inlineStr"/>
    </row>
    <row r="202" ht="30" customHeight="1">
      <c r="A202" s="14" t="inlineStr">
        <is>
          <t>TC-PAY-201</t>
        </is>
      </c>
      <c r="B202" s="15" t="inlineStr">
        <is>
          <t>Thanh toán &amp; Gói thành viên</t>
        </is>
      </c>
      <c r="C202" s="15" t="inlineStr">
        <is>
          <t>Quyền doanh thu</t>
        </is>
      </c>
      <c r="D202" s="15" t="inlineStr">
        <is>
          <t>Guest gọi revenue bị 401; cộng đồng lạ bị 404</t>
        </is>
      </c>
      <c r="E202" s="15" t="inlineStr">
        <is>
          <t>Bảo mật</t>
        </is>
      </c>
      <c r="F202" s="16" t="inlineStr">
        <is>
          <t>Cao</t>
        </is>
      </c>
      <c r="G202" s="17" t="inlineStr">
        <is>
          <t>Đã hoàn thiện</t>
        </is>
      </c>
      <c r="H202" s="17" t="inlineStr">
        <is>
          <t>Có</t>
        </is>
      </c>
      <c r="I202"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202" s="15" t="inlineStr">
        <is>
          <t>1. GET /api/courses/paid-demo/revenue không token
2. GET /api/courses/khong-co/revenue bằng owner</t>
        </is>
      </c>
      <c r="K202" s="15" t="inlineStr">
        <is>
          <t>-</t>
        </is>
      </c>
      <c r="L202" s="15" t="inlineStr">
        <is>
          <t>401 UNAUTHORIZED; 404 NOT_FOUND.</t>
        </is>
      </c>
      <c r="M202" s="15" t="inlineStr"/>
      <c r="N202" s="18" t="inlineStr">
        <is>
          <t>Chưa test</t>
        </is>
      </c>
      <c r="O202" s="15" t="inlineStr"/>
      <c r="P202" s="15" t="inlineStr"/>
      <c r="Q202" s="18" t="inlineStr">
        <is>
          <t>Chưa test</t>
        </is>
      </c>
      <c r="R202" s="15" t="inlineStr"/>
    </row>
    <row r="203" ht="30" customHeight="1">
      <c r="A203" s="14" t="inlineStr">
        <is>
          <t>TC-PAY-202</t>
        </is>
      </c>
      <c r="B203" s="15" t="inlineStr">
        <is>
          <t>Thanh toán &amp; Gói thành viên</t>
        </is>
      </c>
      <c r="C203" s="15" t="inlineStr">
        <is>
          <t>Quyền doanh thu</t>
        </is>
      </c>
      <c r="D203" s="15" t="inlineStr">
        <is>
          <t>member1 (thành viên thường) xem doanh thu paid-demo bị 403</t>
        </is>
      </c>
      <c r="E203" s="15" t="inlineStr">
        <is>
          <t>Bảo mật</t>
        </is>
      </c>
      <c r="F203" s="16" t="inlineStr">
        <is>
          <t>Cao</t>
        </is>
      </c>
      <c r="G203" s="17" t="inlineStr">
        <is>
          <t>Đã hoàn thiện</t>
        </is>
      </c>
      <c r="H203" s="17" t="inlineStr">
        <is>
          <t>Có</t>
        </is>
      </c>
      <c r="I203"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203" s="15" t="inlineStr">
        <is>
          <t>1. GET /api/courses/paid-demo/revenue</t>
        </is>
      </c>
      <c r="K203" s="15" t="inlineStr">
        <is>
          <t>-</t>
        </is>
      </c>
      <c r="L203" s="15" t="inlineStr">
        <is>
          <t>403 FORBIDDEN, không có số liệu nào trong response.</t>
        </is>
      </c>
      <c r="M203" s="15" t="inlineStr"/>
      <c r="N203" s="18" t="inlineStr">
        <is>
          <t>Chưa test</t>
        </is>
      </c>
      <c r="O203" s="15" t="inlineStr"/>
      <c r="P203" s="15" t="inlineStr"/>
      <c r="Q203" s="18" t="inlineStr">
        <is>
          <t>Chưa test</t>
        </is>
      </c>
      <c r="R203" s="15" t="inlineStr"/>
    </row>
    <row r="204" ht="30" customHeight="1">
      <c r="A204" s="14" t="inlineStr">
        <is>
          <t>TC-PAY-203</t>
        </is>
      </c>
      <c r="B204" s="15" t="inlineStr">
        <is>
          <t>Thanh toán &amp; Gói thành viên</t>
        </is>
      </c>
      <c r="C204" s="15" t="inlineStr">
        <is>
          <t>Quyền doanh thu</t>
        </is>
      </c>
      <c r="D204" s="15" t="inlineStr">
        <is>
          <t>newbie (người chưa vào cộng đồng) xem doanh thu paid-demo bị 403</t>
        </is>
      </c>
      <c r="E204" s="15" t="inlineStr">
        <is>
          <t>Bảo mật</t>
        </is>
      </c>
      <c r="F204" s="16" t="inlineStr">
        <is>
          <t>Cao</t>
        </is>
      </c>
      <c r="G204" s="17" t="inlineStr">
        <is>
          <t>Đã hoàn thiện</t>
        </is>
      </c>
      <c r="H204" s="17" t="inlineStr">
        <is>
          <t>Có</t>
        </is>
      </c>
      <c r="I204"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204" s="15" t="inlineStr">
        <is>
          <t>1. GET /api/courses/paid-demo/revenue</t>
        </is>
      </c>
      <c r="K204" s="15" t="inlineStr">
        <is>
          <t>-</t>
        </is>
      </c>
      <c r="L204" s="15" t="inlineStr">
        <is>
          <t>403 FORBIDDEN, không có số liệu nào trong response.</t>
        </is>
      </c>
      <c r="M204" s="15" t="inlineStr"/>
      <c r="N204" s="18" t="inlineStr">
        <is>
          <t>Chưa test</t>
        </is>
      </c>
      <c r="O204" s="15" t="inlineStr"/>
      <c r="P204" s="15" t="inlineStr"/>
      <c r="Q204" s="18" t="inlineStr">
        <is>
          <t>Chưa test</t>
        </is>
      </c>
      <c r="R204" s="15" t="inlineStr"/>
    </row>
    <row r="205" ht="30" customHeight="1">
      <c r="A205" s="14" t="inlineStr">
        <is>
          <t>TC-PAY-204</t>
        </is>
      </c>
      <c r="B205" s="15" t="inlineStr">
        <is>
          <t>Thanh toán &amp; Gói thành viên</t>
        </is>
      </c>
      <c r="C205" s="15" t="inlineStr">
        <is>
          <t>Quyền doanh thu</t>
        </is>
      </c>
      <c r="D205" s="15" t="inlineStr">
        <is>
          <t>cadmin (Admin cộng đồng photo, không thuộc paid-demo) xem doanh thu paid-demo bị 403</t>
        </is>
      </c>
      <c r="E205" s="15" t="inlineStr">
        <is>
          <t>Bảo mật</t>
        </is>
      </c>
      <c r="F205" s="16" t="inlineStr">
        <is>
          <t>Cao</t>
        </is>
      </c>
      <c r="G205" s="17" t="inlineStr">
        <is>
          <t>Đã hoàn thiện</t>
        </is>
      </c>
      <c r="H205" s="17" t="inlineStr">
        <is>
          <t>Có</t>
        </is>
      </c>
      <c r="I205"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205" s="15" t="inlineStr">
        <is>
          <t>1. GET /api/courses/paid-demo/revenue</t>
        </is>
      </c>
      <c r="K205" s="15" t="inlineStr">
        <is>
          <t>-</t>
        </is>
      </c>
      <c r="L205" s="15" t="inlineStr">
        <is>
          <t>403 FORBIDDEN, không có số liệu nào trong response.</t>
        </is>
      </c>
      <c r="M205" s="15" t="inlineStr"/>
      <c r="N205" s="18" t="inlineStr">
        <is>
          <t>Chưa test</t>
        </is>
      </c>
      <c r="O205" s="15" t="inlineStr"/>
      <c r="P205" s="15" t="inlineStr"/>
      <c r="Q205" s="18" t="inlineStr">
        <is>
          <t>Chưa test</t>
        </is>
      </c>
      <c r="R205" s="15" t="inlineStr"/>
    </row>
    <row r="206" ht="30" customHeight="1">
      <c r="A206" s="14" t="inlineStr">
        <is>
          <t>TC-PAY-205</t>
        </is>
      </c>
      <c r="B206" s="15" t="inlineStr">
        <is>
          <t>Thanh toán &amp; Gói thành viên</t>
        </is>
      </c>
      <c r="C206" s="15" t="inlineStr">
        <is>
          <t>Quyền doanh thu</t>
        </is>
      </c>
      <c r="D206" s="15" t="inlineStr">
        <is>
          <t>mod (Mod cộng đồng photo) xem doanh thu paid-demo bị 403</t>
        </is>
      </c>
      <c r="E206" s="15" t="inlineStr">
        <is>
          <t>Bảo mật</t>
        </is>
      </c>
      <c r="F206" s="16" t="inlineStr">
        <is>
          <t>Cao</t>
        </is>
      </c>
      <c r="G206" s="17" t="inlineStr">
        <is>
          <t>Đã hoàn thiện</t>
        </is>
      </c>
      <c r="H206" s="17" t="inlineStr">
        <is>
          <t>Có</t>
        </is>
      </c>
      <c r="I206"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206" s="15" t="inlineStr">
        <is>
          <t>1. GET /api/courses/paid-demo/revenue</t>
        </is>
      </c>
      <c r="K206" s="15" t="inlineStr">
        <is>
          <t>-</t>
        </is>
      </c>
      <c r="L206" s="15" t="inlineStr">
        <is>
          <t>403 FORBIDDEN, không có số liệu nào trong response.</t>
        </is>
      </c>
      <c r="M206" s="15" t="inlineStr"/>
      <c r="N206" s="18" t="inlineStr">
        <is>
          <t>Chưa test</t>
        </is>
      </c>
      <c r="O206" s="15" t="inlineStr"/>
      <c r="P206" s="15" t="inlineStr"/>
      <c r="Q206" s="18" t="inlineStr">
        <is>
          <t>Chưa test</t>
        </is>
      </c>
      <c r="R206" s="15" t="inlineStr"/>
    </row>
    <row r="207" ht="30" customHeight="1">
      <c r="A207" s="14" t="inlineStr">
        <is>
          <t>TC-PAY-206</t>
        </is>
      </c>
      <c r="B207" s="15" t="inlineStr">
        <is>
          <t>Thanh toán &amp; Gói thành viên</t>
        </is>
      </c>
      <c r="C207" s="15" t="inlineStr">
        <is>
          <t>Quyền doanh thu</t>
        </is>
      </c>
      <c r="D207" s="15" t="inlineStr">
        <is>
          <t>Admin/Mod của chính cộng đồng có phí cũng không xem được doanh thu (mặc định Owner-only)</t>
        </is>
      </c>
      <c r="E207" s="15" t="inlineStr">
        <is>
          <t>Bảo mật</t>
        </is>
      </c>
      <c r="F207" s="16" t="inlineStr">
        <is>
          <t>Cao</t>
        </is>
      </c>
      <c r="G207" s="17" t="inlineStr">
        <is>
          <t>Đã hoàn thiện</t>
        </is>
      </c>
      <c r="H207" s="20" t="inlineStr">
        <is>
          <t>Một phần</t>
        </is>
      </c>
      <c r="I207"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207" s="15" t="inlineStr">
        <is>
          <t>1. Owner đổi vai trò một thành viên paid-demo thành Admin
2. Thành viên đó GET /api/courses/paid-demo/revenue và GET .../payouts</t>
        </is>
      </c>
      <c r="K207" s="15" t="inlineStr">
        <is>
          <t>-</t>
        </is>
      </c>
      <c r="L207" s="15" t="inlineStr">
        <is>
          <t>Cả hai 403 (requireRole owner; Admin/Mod cộng đồng không có quyền doanh thu - docs/api/payments.md).</t>
        </is>
      </c>
      <c r="M207" s="15" t="inlineStr"/>
      <c r="N207" s="18" t="inlineStr">
        <is>
          <t>Chưa test</t>
        </is>
      </c>
      <c r="O207" s="15" t="inlineStr"/>
      <c r="P207" s="15" t="inlineStr"/>
      <c r="Q207" s="18" t="inlineStr">
        <is>
          <t>Chưa test</t>
        </is>
      </c>
      <c r="R207" s="15" t="inlineStr"/>
    </row>
    <row r="208" ht="60" customHeight="1">
      <c r="A208" s="14" t="inlineStr">
        <is>
          <t>TC-PAY-207</t>
        </is>
      </c>
      <c r="B208" s="15" t="inlineStr">
        <is>
          <t>Thanh toán &amp; Gói thành viên</t>
        </is>
      </c>
      <c r="C208" s="15" t="inlineStr">
        <is>
          <t>Quyền doanh thu</t>
        </is>
      </c>
      <c r="D208" s="15" t="inlineStr">
        <is>
          <t>Owner của cộng đồng khác không xem được doanh thu paid-demo (IDOR)</t>
        </is>
      </c>
      <c r="E208" s="15" t="inlineStr">
        <is>
          <t>Bảo mật</t>
        </is>
      </c>
      <c r="F208" s="16" t="inlineStr">
        <is>
          <t>Cao</t>
        </is>
      </c>
      <c r="G208" s="17" t="inlineStr">
        <is>
          <t>Đã hoàn thiện</t>
        </is>
      </c>
      <c r="H208" s="17" t="inlineStr">
        <is>
          <t>Có</t>
        </is>
      </c>
      <c r="I208"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208" s="15" t="inlineStr">
        <is>
          <t>1. Đăng nhập U
2. GET /api/courses/paid-demo/revenue
3. GET /api/courses/paid-demo/payouts
4. POST /api/courses/paid-demo/payouts amountCents=5000</t>
        </is>
      </c>
      <c r="K208" s="15" t="inlineStr">
        <is>
          <t>-</t>
        </is>
      </c>
      <c r="L208" s="15" t="inlineStr">
        <is>
          <t>Cả ba 403: quyền Owner chỉ theo từng cộng đồng.</t>
        </is>
      </c>
      <c r="M208" s="15" t="inlineStr"/>
      <c r="N208" s="18" t="inlineStr">
        <is>
          <t>Chưa test</t>
        </is>
      </c>
      <c r="O208" s="15" t="inlineStr"/>
      <c r="P208" s="15" t="inlineStr"/>
      <c r="Q208" s="18" t="inlineStr">
        <is>
          <t>Chưa test</t>
        </is>
      </c>
      <c r="R208" s="15" t="inlineStr"/>
    </row>
    <row r="209" ht="30" customHeight="1">
      <c r="A209" s="14" t="inlineStr">
        <is>
          <t>TC-PAY-208</t>
        </is>
      </c>
      <c r="B209" s="15" t="inlineStr">
        <is>
          <t>Thanh toán &amp; Gói thành viên</t>
        </is>
      </c>
      <c r="C209" s="15" t="inlineStr">
        <is>
          <t>Quyền doanh thu</t>
        </is>
      </c>
      <c r="D209" s="15" t="inlineStr">
        <is>
          <t>Platform Admin xem doanh thu paid-demo được (chỉ đọc)</t>
        </is>
      </c>
      <c r="E209" s="15" t="inlineStr">
        <is>
          <t>Chức năng</t>
        </is>
      </c>
      <c r="F209" s="20" t="inlineStr">
        <is>
          <t>Trung bình</t>
        </is>
      </c>
      <c r="G209" s="17" t="inlineStr">
        <is>
          <t>Đã hoàn thiện</t>
        </is>
      </c>
      <c r="H209" s="17" t="inlineStr">
        <is>
          <t>Có</t>
        </is>
      </c>
      <c r="I209"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209" s="15" t="inlineStr">
        <is>
          <t>1. GET /api/courses/paid-demo/revenue</t>
        </is>
      </c>
      <c r="K209" s="15" t="inlineStr">
        <is>
          <t>-</t>
        </is>
      </c>
      <c r="L209" s="15" t="inlineStr">
        <is>
          <t>200 cùng số liệu như Owner (grossCents 55100...).</t>
        </is>
      </c>
      <c r="M209" s="15" t="inlineStr"/>
      <c r="N209" s="18" t="inlineStr">
        <is>
          <t>Chưa test</t>
        </is>
      </c>
      <c r="O209" s="15" t="inlineStr"/>
      <c r="P209" s="15" t="inlineStr"/>
      <c r="Q209" s="18" t="inlineStr">
        <is>
          <t>Chưa test</t>
        </is>
      </c>
      <c r="R209" s="15" t="inlineStr"/>
    </row>
    <row r="210" ht="30" customHeight="1">
      <c r="A210" s="14" t="inlineStr">
        <is>
          <t>TC-PAY-209</t>
        </is>
      </c>
      <c r="B210" s="15" t="inlineStr">
        <is>
          <t>Thanh toán &amp; Gói thành viên</t>
        </is>
      </c>
      <c r="C210" s="15" t="inlineStr">
        <is>
          <t>Quyền doanh thu</t>
        </is>
      </c>
      <c r="D210" s="15" t="inlineStr">
        <is>
          <t>banned@ (bị ban khỏi photo) không có quyền doanh thu paid-demo</t>
        </is>
      </c>
      <c r="E210" s="15" t="inlineStr">
        <is>
          <t>Bảo mật</t>
        </is>
      </c>
      <c r="F210" s="20" t="inlineStr">
        <is>
          <t>Trung bình</t>
        </is>
      </c>
      <c r="G210" s="17" t="inlineStr">
        <is>
          <t>Đã hoàn thiện</t>
        </is>
      </c>
      <c r="H210" s="17" t="inlineStr">
        <is>
          <t>Có</t>
        </is>
      </c>
      <c r="I210"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210" s="15" t="inlineStr">
        <is>
          <t>1. GET /api/courses/paid-demo/revenue</t>
        </is>
      </c>
      <c r="K210" s="15" t="inlineStr">
        <is>
          <t>-</t>
        </is>
      </c>
      <c r="L210" s="15" t="inlineStr">
        <is>
          <t>403 FORBIDDEN.</t>
        </is>
      </c>
      <c r="M210" s="15" t="inlineStr"/>
      <c r="N210" s="18" t="inlineStr">
        <is>
          <t>Chưa test</t>
        </is>
      </c>
      <c r="O210" s="15" t="inlineStr"/>
      <c r="P210" s="15" t="inlineStr"/>
      <c r="Q210" s="18" t="inlineStr">
        <is>
          <t>Chưa test</t>
        </is>
      </c>
      <c r="R210" s="15" t="inlineStr"/>
    </row>
    <row r="211" ht="30" customHeight="1">
      <c r="A211" s="14" t="inlineStr">
        <is>
          <t>TC-PAY-210</t>
        </is>
      </c>
      <c r="B211" s="15" t="inlineStr">
        <is>
          <t>Thanh toán &amp; Gói thành viên</t>
        </is>
      </c>
      <c r="C211" s="15" t="inlineStr">
        <is>
          <t>Quyền doanh thu</t>
        </is>
      </c>
      <c r="D211" s="15" t="inlineStr">
        <is>
          <t>Token bị thu hồi/hết hạn không xem được doanh thu</t>
        </is>
      </c>
      <c r="E211" s="15" t="inlineStr">
        <is>
          <t>Bảo mật</t>
        </is>
      </c>
      <c r="F211" s="20" t="inlineStr">
        <is>
          <t>Trung bình</t>
        </is>
      </c>
      <c r="G211" s="17" t="inlineStr">
        <is>
          <t>Đã hoàn thiện</t>
        </is>
      </c>
      <c r="H211" s="17" t="inlineStr">
        <is>
          <t>Có</t>
        </is>
      </c>
      <c r="I211"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211" s="15" t="inlineStr">
        <is>
          <t>1. Dùng lại access token cũ gọi GET /api/courses/paid-demo/revenue</t>
        </is>
      </c>
      <c r="K211" s="15" t="inlineStr">
        <is>
          <t>-</t>
        </is>
      </c>
      <c r="L211" s="15" t="inlineStr">
        <is>
          <t>401 UNAUTHORIZED.</t>
        </is>
      </c>
      <c r="M211" s="15" t="inlineStr"/>
      <c r="N211" s="18" t="inlineStr">
        <is>
          <t>Chưa test</t>
        </is>
      </c>
      <c r="O211" s="15" t="inlineStr"/>
      <c r="P211" s="15" t="inlineStr"/>
      <c r="Q211" s="18" t="inlineStr">
        <is>
          <t>Chưa test</t>
        </is>
      </c>
      <c r="R211" s="15" t="inlineStr"/>
    </row>
    <row r="212" ht="30" customHeight="1">
      <c r="A212" s="14" t="inlineStr">
        <is>
          <t>TC-PAY-211</t>
        </is>
      </c>
      <c r="B212" s="15" t="inlineStr">
        <is>
          <t>Thanh toán &amp; Gói thành viên</t>
        </is>
      </c>
      <c r="C212" s="15" t="inlineStr">
        <is>
          <t>Quyền doanh thu</t>
        </is>
      </c>
      <c r="D212" s="15" t="inlineStr">
        <is>
          <t>Menu 'Doanh thu &amp; rút tiền' chỉ hiện với Owner/Platform Admin</t>
        </is>
      </c>
      <c r="E212" s="15" t="inlineStr">
        <is>
          <t>Giao diện</t>
        </is>
      </c>
      <c r="F212" s="20" t="inlineStr">
        <is>
          <t>Trung bình</t>
        </is>
      </c>
      <c r="G212" s="17" t="inlineStr">
        <is>
          <t>Đã hoàn thiện</t>
        </is>
      </c>
      <c r="H212" s="17" t="inlineStr">
        <is>
          <t>Có</t>
        </is>
      </c>
      <c r="I212"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212" s="15" t="inlineStr">
        <is>
          <t>1. Mở /courses/paid-demo/community, mở menu avatar trên topbar cộng đồng</t>
        </is>
      </c>
      <c r="K212" s="15" t="inlineStr">
        <is>
          <t>-</t>
        </is>
      </c>
      <c r="L212" s="15" t="inlineStr">
        <is>
          <t>Owner thấy 'Doanh thu &amp; rút tiền'; member1 và cadmin không thấy mục này.</t>
        </is>
      </c>
      <c r="M212" s="15" t="inlineStr"/>
      <c r="N212" s="18" t="inlineStr">
        <is>
          <t>Chưa test</t>
        </is>
      </c>
      <c r="O212" s="15" t="inlineStr"/>
      <c r="P212" s="15" t="inlineStr"/>
      <c r="Q212" s="18" t="inlineStr">
        <is>
          <t>Chưa test</t>
        </is>
      </c>
      <c r="R212" s="15" t="inlineStr"/>
    </row>
    <row r="213" ht="30" customHeight="1">
      <c r="A213" s="14" t="inlineStr">
        <is>
          <t>TC-PAY-212</t>
        </is>
      </c>
      <c r="B213" s="15" t="inlineStr">
        <is>
          <t>Thanh toán &amp; Gói thành viên</t>
        </is>
      </c>
      <c r="C213" s="15" t="inlineStr">
        <is>
          <t>Nghiệp vụ chéo</t>
        </is>
      </c>
      <c r="D213" s="15" t="inlineStr">
        <is>
          <t>Lời mời DEMO-PAID vẫn trả 402 dù có link mời</t>
        </is>
      </c>
      <c r="E213" s="15" t="inlineStr">
        <is>
          <t>Chức năng</t>
        </is>
      </c>
      <c r="F213" s="16" t="inlineStr">
        <is>
          <t>Cao</t>
        </is>
      </c>
      <c r="G213" s="17" t="inlineStr">
        <is>
          <t>Đã hoàn thiện</t>
        </is>
      </c>
      <c r="H213" s="17" t="inlineStr">
        <is>
          <t>Có</t>
        </is>
      </c>
      <c r="I21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13" s="15" t="inlineStr">
        <is>
          <t>1. POST /api/invites/DEMO-PAID/accept (hoặc mở /invite/DEMO-PAID và bấm tham gia)</t>
        </is>
      </c>
      <c r="K213" s="15" t="inlineStr">
        <is>
          <t>code=DEMO-PAID</t>
        </is>
      </c>
      <c r="L213" s="15" t="inlineStr">
        <is>
          <t>402, error.code=PAYMENT_REQUIRED, message 'Cộng đồng có phí: vui lòng thanh toán để tham gia' (details.courseId=paid-demo); newbie chưa được ghi danh; UI dẫn tới trang thanh toán.</t>
        </is>
      </c>
      <c r="M213" s="15" t="inlineStr"/>
      <c r="N213" s="18" t="inlineStr">
        <is>
          <t>Chưa test</t>
        </is>
      </c>
      <c r="O213" s="15" t="inlineStr"/>
      <c r="P213" s="15" t="inlineStr"/>
      <c r="Q213" s="18" t="inlineStr">
        <is>
          <t>Chưa test</t>
        </is>
      </c>
      <c r="R213" s="15" t="inlineStr"/>
    </row>
    <row r="214" ht="30" customHeight="1">
      <c r="A214" s="14" t="inlineStr">
        <is>
          <t>TC-PAY-213</t>
        </is>
      </c>
      <c r="B214" s="15" t="inlineStr">
        <is>
          <t>Thanh toán &amp; Gói thành viên</t>
        </is>
      </c>
      <c r="C214" s="15" t="inlineStr">
        <is>
          <t>Nghiệp vụ chéo</t>
        </is>
      </c>
      <c r="D214" s="15" t="inlineStr">
        <is>
          <t>Tham gia trực tiếp (enroll) cộng đồng có phí không qua thanh toán bị 402</t>
        </is>
      </c>
      <c r="E214" s="15" t="inlineStr">
        <is>
          <t>Chức năng</t>
        </is>
      </c>
      <c r="F214" s="16" t="inlineStr">
        <is>
          <t>Cao</t>
        </is>
      </c>
      <c r="G214" s="17" t="inlineStr">
        <is>
          <t>Đã hoàn thiện</t>
        </is>
      </c>
      <c r="H214" s="17" t="inlineStr">
        <is>
          <t>Có</t>
        </is>
      </c>
      <c r="I21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14" s="15" t="inlineStr">
        <is>
          <t>1. POST /api/courses/paid-demo/enroll</t>
        </is>
      </c>
      <c r="K214" s="15" t="inlineStr">
        <is>
          <t>-</t>
        </is>
      </c>
      <c r="L214" s="15" t="inlineStr">
        <is>
          <t>402 PAYMENT_REQUIRED 'Cộng đồng có phí: vui lòng thanh toán để tham gia'; newbie chưa ghi danh.</t>
        </is>
      </c>
      <c r="M214" s="15" t="inlineStr"/>
      <c r="N214" s="18" t="inlineStr">
        <is>
          <t>Chưa test</t>
        </is>
      </c>
      <c r="O214" s="15" t="inlineStr"/>
      <c r="P214" s="15" t="inlineStr"/>
      <c r="Q214" s="18" t="inlineStr">
        <is>
          <t>Chưa test</t>
        </is>
      </c>
      <c r="R214" s="15" t="inlineStr"/>
    </row>
    <row r="215" ht="45" customHeight="1">
      <c r="A215" s="14" t="inlineStr">
        <is>
          <t>TC-PAY-214</t>
        </is>
      </c>
      <c r="B215" s="15" t="inlineStr">
        <is>
          <t>Thanh toán &amp; Gói thành viên</t>
        </is>
      </c>
      <c r="C215" s="15" t="inlineStr">
        <is>
          <t>Nghiệp vụ chéo</t>
        </is>
      </c>
      <c r="D215" s="15" t="inlineStr">
        <is>
          <t>Kick thành viên trả phí: quyền bị xóa nhưng gói/hoàn tiền chưa chốt</t>
        </is>
      </c>
      <c r="E215" s="15" t="inlineStr">
        <is>
          <t>Chức năng</t>
        </is>
      </c>
      <c r="F215" s="20" t="inlineStr">
        <is>
          <t>Trung bình</t>
        </is>
      </c>
      <c r="G215" s="17" t="inlineStr">
        <is>
          <t>Đã hoàn thiện</t>
        </is>
      </c>
      <c r="H215" s="20" t="inlineStr">
        <is>
          <t>Một phần</t>
        </is>
      </c>
      <c r="I215" s="15" t="inlineStr">
        <is>
          <t>Seed đã chạy (npm run db:seed) trên DB sạch; paid-demo = cộng đồng công khai $19/tháng (1900 cent), Owner: owner@sofinhub.test. Mật khẩu chung Passw0rd!x. Thành viên minh họa isDemo = demo-paid-demo-&lt;i&gt;, không đăng nhập được. member1 gói active. Owner kick member1: DELETE /api/courses/paid-demo/members/&lt;member1Id&gt;. Case làm thay đổi dữ liệu seed - chạy lại npm run db:seed (hoặc dùng tài khoản/gói mới) trước khi lặp lại.</t>
        </is>
      </c>
      <c r="J215" s="15" t="inlineStr">
        <is>
          <t>1. Owner DELETE /api/courses/paid-demo/members/&lt;member1Id&gt;
2. member1 GET /api/courses/paid-demo/subscription
3. member1 GET /api/me/payments</t>
        </is>
      </c>
      <c r="K215" s="15" t="inlineStr">
        <is>
          <t>-</t>
        </is>
      </c>
      <c r="L215" s="15" t="inlineStr">
        <is>
          <t>200 {removed:true}; enrolled=false. Theo code hiện tại Subscription VẪN active và KHÔNG có hoàn tiền/hủy gói (kick chỉ xóa ghi danh) -&gt; scheduler vẫn có thể thu phí kỳ sau khi đến hạn dù không còn quyền (giá trị/chính sách chưa chốt, cần BA quyết định hoàn tiền hoặc hủy gói).</t>
        </is>
      </c>
      <c r="M215" s="15" t="inlineStr"/>
      <c r="N215" s="18" t="inlineStr">
        <is>
          <t>Chưa test</t>
        </is>
      </c>
      <c r="O215" s="15" t="inlineStr"/>
      <c r="P215" s="15" t="inlineStr"/>
      <c r="Q215" s="18" t="inlineStr">
        <is>
          <t>Chưa test</t>
        </is>
      </c>
      <c r="R215" s="15" t="inlineStr"/>
    </row>
    <row r="216" ht="45" customHeight="1">
      <c r="A216" s="14" t="inlineStr">
        <is>
          <t>TC-PAY-215</t>
        </is>
      </c>
      <c r="B216" s="15" t="inlineStr">
        <is>
          <t>Thanh toán &amp; Gói thành viên</t>
        </is>
      </c>
      <c r="C216" s="15" t="inlineStr">
        <is>
          <t>Nghiệp vụ chéo</t>
        </is>
      </c>
      <c r="D216" s="15" t="inlineStr">
        <is>
          <t>Ban thành viên trả phí: chặn checkout/confirm/trial, chưa xử lý gói đang chạy</t>
        </is>
      </c>
      <c r="E216" s="15" t="inlineStr">
        <is>
          <t>Bảo mật</t>
        </is>
      </c>
      <c r="F216" s="20" t="inlineStr">
        <is>
          <t>Trung bình</t>
        </is>
      </c>
      <c r="G216" s="17" t="inlineStr">
        <is>
          <t>Đã hoàn thiện</t>
        </is>
      </c>
      <c r="H216" s="20" t="inlineStr">
        <is>
          <t>Một phần</t>
        </is>
      </c>
      <c r="I216" s="15" t="inlineStr">
        <is>
          <t>Seed đã chạy (npm run db:seed) trên DB sạch; paid-demo = cộng đồng công khai $19/tháng (1900 cent), Owner: owner@sofinhub.test. Mật khẩu chung Passw0rd!x. Thành viên minh họa isDemo = demo-paid-demo-&lt;i&gt;, không đăng nhập được. Owner ban member2: POST /api/courses/paid-demo/members/&lt;member2Id&gt;/ban body {"reason":"vi phạm"}. Case làm thay đổi dữ liệu seed - chạy lại npm run db:seed (hoặc dùng tài khoản/gói mới) trước khi lặp lại.</t>
        </is>
      </c>
      <c r="J216" s="15" t="inlineStr">
        <is>
          <t>1. member2 GET /api/courses/paid-demo/subscription
2. member2 POST /api/courses/paid-demo/checkout
3. member2 POST resume</t>
        </is>
      </c>
      <c r="K216" s="15" t="inlineStr">
        <is>
          <t>-</t>
        </is>
      </c>
      <c r="L216" s="15" t="inlineStr">
        <is>
          <t>Ghi danh bị xóa (enrolled=false); Subscription không tự hủy (chưa chốt). Checkout: không bị 409 'đã tham gia' nhưng confirm sẽ 403 'Bạn đã bị cấm khỏi cộng đồng này'.</t>
        </is>
      </c>
      <c r="M216" s="15" t="inlineStr"/>
      <c r="N216" s="18" t="inlineStr">
        <is>
          <t>Chưa test</t>
        </is>
      </c>
      <c r="O216" s="15" t="inlineStr"/>
      <c r="P216" s="15" t="inlineStr"/>
      <c r="Q216" s="18" t="inlineStr">
        <is>
          <t>Chưa test</t>
        </is>
      </c>
      <c r="R216" s="15" t="inlineStr"/>
    </row>
    <row r="217" ht="60" customHeight="1">
      <c r="A217" s="14" t="inlineStr">
        <is>
          <t>TC-PAY-216</t>
        </is>
      </c>
      <c r="B217" s="15" t="inlineStr">
        <is>
          <t>Thanh toán &amp; Gói thành viên</t>
        </is>
      </c>
      <c r="C217" s="15" t="inlineStr">
        <is>
          <t>Nghiệp vụ chéo</t>
        </is>
      </c>
      <c r="D217" s="15" t="inlineStr">
        <is>
          <t>Đổi giá cộng đồng không ảnh hưởng gói đang thuê (giữ priceCents lúc đăng ký)</t>
        </is>
      </c>
      <c r="E217" s="15" t="inlineStr">
        <is>
          <t>Chức năng</t>
        </is>
      </c>
      <c r="F217" s="16" t="inlineStr">
        <is>
          <t>Cao</t>
        </is>
      </c>
      <c r="G217" s="17" t="inlineStr">
        <is>
          <t>Đã hoàn thiện</t>
        </is>
      </c>
      <c r="H217" s="20" t="inlineStr">
        <is>
          <t>Một phần</t>
        </is>
      </c>
      <c r="I217"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217" s="15" t="inlineStr">
        <is>
          <t>1. Owner đổi giá paid-demo = 29
2. member1 GET /api/me/subscriptions
3. Sửa DB member1 hết hạn để scheduler gia hạn (hoặc chờ)
4. newbie checkout paid-demo</t>
        </is>
      </c>
      <c r="K217" s="15" t="inlineStr">
        <is>
          <t>giá mới 2900</t>
        </is>
      </c>
      <c r="L217" s="15" t="inlineStr">
        <is>
          <t>Gói member1 vẫn priceCents=1900 và gia hạn thu 1900 (chưa chốt chính sách: giữ giá cũ hay áp giá mới kỳ sau); newbie checkout amountCents=2900. Doanh thu owner tính giao dịch cũ theo 1900.</t>
        </is>
      </c>
      <c r="M217" s="15" t="inlineStr"/>
      <c r="N217" s="18" t="inlineStr">
        <is>
          <t>Chưa test</t>
        </is>
      </c>
      <c r="O217" s="15" t="inlineStr"/>
      <c r="P217" s="15" t="inlineStr"/>
      <c r="Q217" s="18" t="inlineStr">
        <is>
          <t>Chưa test</t>
        </is>
      </c>
      <c r="R217" s="15" t="inlineStr"/>
    </row>
    <row r="218" ht="30" customHeight="1">
      <c r="A218" s="14" t="inlineStr">
        <is>
          <t>TC-PAY-217</t>
        </is>
      </c>
      <c r="B218" s="15" t="inlineStr">
        <is>
          <t>Thanh toán &amp; Gói thành viên</t>
        </is>
      </c>
      <c r="C218" s="15" t="inlineStr">
        <is>
          <t>Nghiệp vụ chéo</t>
        </is>
      </c>
      <c r="D218" s="15" t="inlineStr">
        <is>
          <t>Xóa cộng đồng có gói đang chạy (chưa chốt xử lý gói/hoàn tiền)</t>
        </is>
      </c>
      <c r="E218" s="15" t="inlineStr">
        <is>
          <t>Chức năng</t>
        </is>
      </c>
      <c r="F218" s="17" t="inlineStr">
        <is>
          <t>Thấp</t>
        </is>
      </c>
      <c r="G218" s="20" t="inlineStr">
        <is>
          <t>Kế hoạch</t>
        </is>
      </c>
      <c r="H218" s="16" t="inlineStr">
        <is>
          <t>Không</t>
        </is>
      </c>
      <c r="I218" s="15" t="inlineStr">
        <is>
          <t>Chưa chốt: khi Owner xóa cộng đồng có thành viên đang trả phí, code chỉ đánh dấu deletedAt và thông báo, không hủy Subscription hay hoàn tiền (chưa thấy xử lý trong payments).</t>
        </is>
      </c>
      <c r="J218" s="15" t="inlineStr">
        <is>
          <t>1. Xác định chính sách với BA</t>
        </is>
      </c>
      <c r="K218" s="15" t="inlineStr">
        <is>
          <t>-</t>
        </is>
      </c>
      <c r="L218" s="15" t="inlineStr">
        <is>
          <t>Khi chốt: gói bị hủy/hoàn tiền tương ứng, scheduler không thu phí cộng đồng đã xóa.</t>
        </is>
      </c>
      <c r="M218" s="15" t="inlineStr"/>
      <c r="N218" s="18" t="inlineStr">
        <is>
          <t>Chưa test</t>
        </is>
      </c>
      <c r="O218" s="15" t="inlineStr"/>
      <c r="P218" s="15" t="inlineStr"/>
      <c r="Q218" s="18" t="inlineStr">
        <is>
          <t>Chưa test</t>
        </is>
      </c>
      <c r="R218" s="15" t="inlineStr"/>
    </row>
    <row r="219" ht="45" customHeight="1">
      <c r="A219" s="14" t="inlineStr">
        <is>
          <t>TC-PAY-218</t>
        </is>
      </c>
      <c r="B219" s="15" t="inlineStr">
        <is>
          <t>Thanh toán &amp; Gói thành viên</t>
        </is>
      </c>
      <c r="C219" s="15" t="inlineStr">
        <is>
          <t>Nghiệp vụ chéo</t>
        </is>
      </c>
      <c r="D219" s="15" t="inlineStr">
        <is>
          <t>Thông báo thanh toán thành công/thất bại là loại bắt buộc</t>
        </is>
      </c>
      <c r="E219" s="15" t="inlineStr">
        <is>
          <t>Chức năng</t>
        </is>
      </c>
      <c r="F219" s="20" t="inlineStr">
        <is>
          <t>Trung bình</t>
        </is>
      </c>
      <c r="G219" s="17" t="inlineStr">
        <is>
          <t>Đã hoàn thiện</t>
        </is>
      </c>
      <c r="H219" s="20" t="inlineStr">
        <is>
          <t>Một phần</t>
        </is>
      </c>
      <c r="I219"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219" s="15" t="inlineStr">
        <is>
          <t>1. Vào /notifications, tùy chọn: thấy 'Thanh toán thành công' &amp; 'Thanh toán thất bại' nhãn 'Bắt buộc'
2. Thực hiện thanh toán thành công
3. Mở chuông thông báo</t>
        </is>
      </c>
      <c r="K219" s="15" t="inlineStr">
        <is>
          <t>-</t>
        </is>
      </c>
      <c r="L219" s="15" t="inlineStr">
        <is>
          <t>Công tắc bị khóa; có thông báo 'Thanh toán thành công' với link /courses/paid-demo/community.</t>
        </is>
      </c>
      <c r="M219" s="15" t="inlineStr"/>
      <c r="N219" s="18" t="inlineStr">
        <is>
          <t>Chưa test</t>
        </is>
      </c>
      <c r="O219" s="15" t="inlineStr"/>
      <c r="P219" s="15" t="inlineStr"/>
      <c r="Q219" s="18" t="inlineStr">
        <is>
          <t>Chưa test</t>
        </is>
      </c>
      <c r="R219" s="15" t="inlineStr"/>
    </row>
    <row r="220" ht="30" customHeight="1">
      <c r="A220" s="14" t="inlineStr">
        <is>
          <t>TC-PAY-219</t>
        </is>
      </c>
      <c r="B220" s="15" t="inlineStr">
        <is>
          <t>Thanh toán &amp; Gói thành viên</t>
        </is>
      </c>
      <c r="C220" s="15" t="inlineStr">
        <is>
          <t>Nghiệp vụ chéo</t>
        </is>
      </c>
      <c r="D220" s="15" t="inlineStr">
        <is>
          <t>Chuyển hướng đúng khi người đã tham gia mở trang checkout</t>
        </is>
      </c>
      <c r="E220" s="15" t="inlineStr">
        <is>
          <t>Giao diện</t>
        </is>
      </c>
      <c r="F220" s="17" t="inlineStr">
        <is>
          <t>Thấp</t>
        </is>
      </c>
      <c r="G220" s="17" t="inlineStr">
        <is>
          <t>Đã hoàn thiện</t>
        </is>
      </c>
      <c r="H220" s="17" t="inlineStr">
        <is>
          <t>Có</t>
        </is>
      </c>
      <c r="I22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20" s="15" t="inlineStr">
        <is>
          <t>1. Mở /courses/paid-demo/checkout rồi bấm Thanh toán</t>
        </is>
      </c>
      <c r="K220" s="15" t="inlineStr">
        <is>
          <t>-</t>
        </is>
      </c>
      <c r="L220" s="15" t="inlineStr">
        <is>
          <t>Checkout trả 409 và UI hiển thị lỗi 'Bạn đã tham gia khóa học này rồi' (không tạo giao dịch).</t>
        </is>
      </c>
      <c r="M220" s="15" t="inlineStr"/>
      <c r="N220" s="18" t="inlineStr">
        <is>
          <t>Chưa test</t>
        </is>
      </c>
      <c r="O220" s="15" t="inlineStr"/>
      <c r="P220" s="15" t="inlineStr"/>
      <c r="Q220" s="18" t="inlineStr">
        <is>
          <t>Chưa test</t>
        </is>
      </c>
      <c r="R220" s="15" t="inlineStr"/>
    </row>
    <row r="221" ht="30" customHeight="1">
      <c r="A221" s="14" t="inlineStr">
        <is>
          <t>TC-PAY-220</t>
        </is>
      </c>
      <c r="B221" s="15" t="inlineStr">
        <is>
          <t>Thanh toán &amp; Gói thành viên</t>
        </is>
      </c>
      <c r="C221" s="15" t="inlineStr">
        <is>
          <t>Nghiệp vụ chéo</t>
        </is>
      </c>
      <c r="D221" s="15" t="inlineStr">
        <is>
          <t>Trang thanh toán khi API lỗi/khóa không tồn tại</t>
        </is>
      </c>
      <c r="E221" s="15" t="inlineStr">
        <is>
          <t>Giao diện</t>
        </is>
      </c>
      <c r="F221" s="17" t="inlineStr">
        <is>
          <t>Thấp</t>
        </is>
      </c>
      <c r="G221" s="17" t="inlineStr">
        <is>
          <t>Đã hoàn thiện</t>
        </is>
      </c>
      <c r="H221" s="20" t="inlineStr">
        <is>
          <t>Một phần</t>
        </is>
      </c>
      <c r="I221"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21" s="15" t="inlineStr">
        <is>
          <t>1. Mở /courses/khong-co/checkout</t>
        </is>
      </c>
      <c r="K221" s="15" t="inlineStr">
        <is>
          <t>-</t>
        </is>
      </c>
      <c r="L221" s="15" t="inlineStr">
        <is>
          <t>Trạng thái 'Đang tải…' rồi không hiện form thanh toán (trang rỗng do không có dữ liệu khóa học) - không có crash.</t>
        </is>
      </c>
      <c r="M221" s="15" t="inlineStr"/>
      <c r="N221" s="18" t="inlineStr">
        <is>
          <t>Chưa test</t>
        </is>
      </c>
      <c r="O221" s="15" t="inlineStr"/>
      <c r="P221" s="15" t="inlineStr"/>
      <c r="Q221" s="18" t="inlineStr">
        <is>
          <t>Chưa test</t>
        </is>
      </c>
      <c r="R221" s="15" t="inlineStr"/>
    </row>
    <row r="222" ht="30" customHeight="1">
      <c r="A222" s="14" t="inlineStr">
        <is>
          <t>TC-PAY-221</t>
        </is>
      </c>
      <c r="B222" s="15" t="inlineStr">
        <is>
          <t>Thanh toán &amp; Gói thành viên</t>
        </is>
      </c>
      <c r="C222" s="15" t="inlineStr">
        <is>
          <t>Nghiệp vụ chéo</t>
        </is>
      </c>
      <c r="D222" s="15" t="inlineStr">
        <is>
          <t>Lỗi thanh toán hiển thị thông báo trên trang checkout, nút bật lại</t>
        </is>
      </c>
      <c r="E222" s="15" t="inlineStr">
        <is>
          <t>Giao diện</t>
        </is>
      </c>
      <c r="F222" s="20" t="inlineStr">
        <is>
          <t>Trung bình</t>
        </is>
      </c>
      <c r="G222" s="17" t="inlineStr">
        <is>
          <t>Đã hoàn thiện</t>
        </is>
      </c>
      <c r="H222" s="20" t="inlineStr">
        <is>
          <t>Một phần</t>
        </is>
      </c>
      <c r="I222"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222" s="15" t="inlineStr">
        <is>
          <t>1. Mở /courses/paid-demo/checkout
2. Bấm 'Thanh toán $19/tháng'</t>
        </is>
      </c>
      <c r="K222" s="15" t="inlineStr">
        <is>
          <t>-</t>
        </is>
      </c>
      <c r="L222" s="15" t="inlineStr">
        <is>
          <t>Hiển thị message lỗi từ BE ('Bạn đã bị cấm khỏi cộng đồng này'), nút Thanh toán bật lại (không kẹt 'Đang xử lý…').</t>
        </is>
      </c>
      <c r="M222" s="15" t="inlineStr"/>
      <c r="N222" s="18" t="inlineStr">
        <is>
          <t>Chưa test</t>
        </is>
      </c>
      <c r="O222" s="15" t="inlineStr"/>
      <c r="P222" s="15" t="inlineStr"/>
      <c r="Q222" s="18" t="inlineStr">
        <is>
          <t>Chưa test</t>
        </is>
      </c>
      <c r="R222" s="15" t="inlineStr"/>
    </row>
    <row r="223" ht="30" customHeight="1">
      <c r="A223" s="14" t="inlineStr">
        <is>
          <t>TC-PAY-222</t>
        </is>
      </c>
      <c r="B223" s="15" t="inlineStr">
        <is>
          <t>Thanh toán &amp; Gói thành viên</t>
        </is>
      </c>
      <c r="C223" s="15" t="inlineStr">
        <is>
          <t>Nghiệp vụ chéo</t>
        </is>
      </c>
      <c r="D223" s="15" t="inlineStr">
        <is>
          <t>Thanh toán bằng cổng thật (Stripe) &amp; giữ tiền: không mô phỏng</t>
        </is>
      </c>
      <c r="E223" s="15" t="inlineStr">
        <is>
          <t>Tích hợp</t>
        </is>
      </c>
      <c r="F223" s="16" t="inlineStr">
        <is>
          <t>Cao</t>
        </is>
      </c>
      <c r="G223" s="20" t="inlineStr">
        <is>
          <t>Kế hoạch</t>
        </is>
      </c>
      <c r="H223" s="16" t="inlineStr">
        <is>
          <t>Không</t>
        </is>
      </c>
      <c r="I223" s="15" t="inlineStr">
        <is>
          <t>Chưa làm: MockGateway luôn thành công, không có tiền thật; chưa chốt cổng (PLAN câu hỏi #2).</t>
        </is>
      </c>
      <c r="J223" s="15" t="inlineStr">
        <is>
          <t>1. Chọn Stripe -&gt; thanh toán bằng thẻ test 4242 4242 4242 4242</t>
        </is>
      </c>
      <c r="K223" s="15" t="inlineStr">
        <is>
          <t>Thẻ test Stripe</t>
        </is>
      </c>
      <c r="L223" s="15" t="inlineStr">
        <is>
          <t>Khi làm xong: chuyển hướng/confirm qua Stripe, quyền cấp qua webhook, hoàn tiền qua Stripe API.</t>
        </is>
      </c>
      <c r="M223" s="15" t="inlineStr"/>
      <c r="N223" s="18" t="inlineStr">
        <is>
          <t>Chưa test</t>
        </is>
      </c>
      <c r="O223" s="15" t="inlineStr"/>
      <c r="P223" s="15" t="inlineStr"/>
      <c r="Q223" s="18" t="inlineStr">
        <is>
          <t>Chưa test</t>
        </is>
      </c>
      <c r="R223" s="15" t="inlineStr"/>
    </row>
  </sheetData>
  <autoFilter ref="A1:R223"/>
  <conditionalFormatting sqref="N2:N22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2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23" showDropDown="0" showInputMessage="0" showErrorMessage="0" allowBlank="1" type="list">
      <formula1>"Chưa test,Pass,Fail,Blocked,N/A"</formula1>
    </dataValidation>
    <dataValidation sqref="Q2:Q223" showDropDown="0" showInputMessage="0" showErrorMessage="0" allowBlank="1" type="list">
      <formula1>"Chưa test,Pass,Fail,Blocked,N/A"</formula1>
    </dataValidation>
    <dataValidation sqref="F2:F223" showDropDown="0" showInputMessage="0" showErrorMessage="0" allowBlank="1" type="list">
      <formula1>"Cao,Trung bình,Thấp"</formula1>
    </dataValidation>
    <dataValidation sqref="G2:G223" showDropDown="0" showInputMessage="0" showErrorMessage="0" allowBlank="1" type="list">
      <formula1>"Đã hoàn thiện,Kế hoạch"</formula1>
    </dataValidation>
    <dataValidation sqref="H2:H223"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C00000"/>
    <outlinePr summaryBelow="1" summaryRight="1"/>
    <pageSetUpPr/>
  </sheetPr>
  <dimension ref="A1:R7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TC-ADMIN-001</t>
        </is>
      </c>
      <c r="B2" s="15" t="inlineStr">
        <is>
          <t>Quản trị &amp; Vận hành hệ thống</t>
        </is>
      </c>
      <c r="C2" s="15" t="inlineStr">
        <is>
          <t>Kiểm duyệt nội dung</t>
        </is>
      </c>
      <c r="D2" s="15" t="inlineStr">
        <is>
          <t>Thành viên báo cáo bài viết vi phạm</t>
        </is>
      </c>
      <c r="E2" s="15" t="inlineStr">
        <is>
          <t>Chức năng</t>
        </is>
      </c>
      <c r="F2" s="20" t="inlineStr">
        <is>
          <t>Trung bình</t>
        </is>
      </c>
      <c r="G2" s="17" t="inlineStr">
        <is>
          <t>Đã hoàn thiện</t>
        </is>
      </c>
      <c r="H2" s="17" t="inlineStr">
        <is>
          <t>Có</t>
        </is>
      </c>
      <c r="I2" s="15" t="inlineStr">
        <is>
          <t>Có bài viết trên bảng tin</t>
        </is>
      </c>
      <c r="J2" s="15" t="inlineStr">
        <is>
          <t>1. Mở 1 bài viết
2. Bấm 'Báo cáo'
3. Chọn lý do và gửi</t>
        </is>
      </c>
      <c r="K2" s="15" t="inlineStr">
        <is>
          <t>-</t>
        </is>
      </c>
      <c r="L2" s="15" t="inlineStr">
        <is>
          <t>Báo cáo được ghi nhận và chuyển tới hàng đợi kiểm duyệt của Platform Admin</t>
        </is>
      </c>
      <c r="M2" s="15" t="inlineStr"/>
      <c r="N2" s="18" t="inlineStr">
        <is>
          <t>Chưa test</t>
        </is>
      </c>
      <c r="O2" s="15" t="inlineStr"/>
      <c r="P2" s="15" t="inlineStr"/>
      <c r="Q2" s="18" t="inlineStr">
        <is>
          <t>Chưa test</t>
        </is>
      </c>
      <c r="R2" s="15" t="inlineStr"/>
    </row>
    <row r="3" ht="60" customHeight="1">
      <c r="A3" s="14" t="inlineStr">
        <is>
          <t>TC-ADMIN-002</t>
        </is>
      </c>
      <c r="B3" s="15" t="inlineStr">
        <is>
          <t>Quản trị &amp; Vận hành hệ thống</t>
        </is>
      </c>
      <c r="C3" s="15" t="inlineStr">
        <is>
          <t>Kiểm duyệt nội dung</t>
        </is>
      </c>
      <c r="D3" s="15" t="inlineStr">
        <is>
          <t>Platform Admin ẩn/xóa nội dung vi phạm</t>
        </is>
      </c>
      <c r="E3" s="15" t="inlineStr">
        <is>
          <t>Chức năng</t>
        </is>
      </c>
      <c r="F3" s="16" t="inlineStr">
        <is>
          <t>Cao</t>
        </is>
      </c>
      <c r="G3" s="17" t="inlineStr">
        <is>
          <t>Đã hoàn thiện</t>
        </is>
      </c>
      <c r="H3" s="17" t="inlineStr">
        <is>
          <t>Có</t>
        </is>
      </c>
      <c r="I3" s="15" t="inlineStr">
        <is>
          <t>Có nội dung bị báo cáo vi phạm</t>
        </is>
      </c>
      <c r="J3" s="15" t="inlineStr">
        <is>
          <t>1. Đăng nhập Platform Admin
2. Vào hàng đợi kiểm duyệt
3. Chọn 1 nội dung vi phạm
4. Ẩn/Xóa</t>
        </is>
      </c>
      <c r="K3" s="15" t="inlineStr">
        <is>
          <t>-</t>
        </is>
      </c>
      <c r="L3" s="15" t="inlineStr">
        <is>
          <t>Nội dung bị ẩn/xóa khỏi hệ thống ngay, không còn hiển thị cho người dùng khác</t>
        </is>
      </c>
      <c r="M3" s="15" t="inlineStr"/>
      <c r="N3" s="18" t="inlineStr">
        <is>
          <t>Chưa test</t>
        </is>
      </c>
      <c r="O3" s="15" t="inlineStr"/>
      <c r="P3" s="15" t="inlineStr"/>
      <c r="Q3" s="18" t="inlineStr">
        <is>
          <t>Chưa test</t>
        </is>
      </c>
      <c r="R3" s="15" t="inlineStr"/>
    </row>
    <row r="4" ht="45" customHeight="1">
      <c r="A4" s="14" t="inlineStr">
        <is>
          <t>TC-ADMIN-003</t>
        </is>
      </c>
      <c r="B4" s="15" t="inlineStr">
        <is>
          <t>Quản trị &amp; Vận hành hệ thống</t>
        </is>
      </c>
      <c r="C4" s="15" t="inlineStr">
        <is>
          <t>Kiểm duyệt nội dung</t>
        </is>
      </c>
      <c r="D4" s="15" t="inlineStr">
        <is>
          <t>Platform Admin cấm (ban) một thành viên vi phạm</t>
        </is>
      </c>
      <c r="E4" s="15" t="inlineStr">
        <is>
          <t>Chức năng</t>
        </is>
      </c>
      <c r="F4" s="16" t="inlineStr">
        <is>
          <t>Cao</t>
        </is>
      </c>
      <c r="G4" s="17" t="inlineStr">
        <is>
          <t>Đã hoàn thiện</t>
        </is>
      </c>
      <c r="H4" s="17" t="inlineStr">
        <is>
          <t>Có</t>
        </is>
      </c>
      <c r="I4" s="15" t="inlineStr">
        <is>
          <t>Có thành viên vi phạm nghiêm trọng</t>
        </is>
      </c>
      <c r="J4" s="15" t="inlineStr">
        <is>
          <t>1. Đăng nhập Platform Admin
2. Tìm thành viên vi phạm
3. Thực hiện cấm tài khoản</t>
        </is>
      </c>
      <c r="K4" s="15" t="inlineStr">
        <is>
          <t>-</t>
        </is>
      </c>
      <c r="L4" s="15" t="inlineStr">
        <is>
          <t>Tài khoản bị cấm không thể đăng nhập/hoạt động trên toàn nền tảng</t>
        </is>
      </c>
      <c r="M4" s="15" t="inlineStr"/>
      <c r="N4" s="18" t="inlineStr">
        <is>
          <t>Chưa test</t>
        </is>
      </c>
      <c r="O4" s="15" t="inlineStr"/>
      <c r="P4" s="15" t="inlineStr"/>
      <c r="Q4" s="18" t="inlineStr">
        <is>
          <t>Chưa test</t>
        </is>
      </c>
      <c r="R4" s="15" t="inlineStr"/>
    </row>
    <row r="5" ht="45" customHeight="1">
      <c r="A5" s="14" t="inlineStr">
        <is>
          <t>TC-ADMIN-004</t>
        </is>
      </c>
      <c r="B5" s="15" t="inlineStr">
        <is>
          <t>Quản trị &amp; Vận hành hệ thống</t>
        </is>
      </c>
      <c r="C5" s="15" t="inlineStr">
        <is>
          <t>Kiểm duyệt nội dung</t>
        </is>
      </c>
      <c r="D5" s="15" t="inlineStr">
        <is>
          <t>Platform Admin khóa/gỡ cộng đồng vi phạm, không phụ thuộc quyết định của Owner</t>
        </is>
      </c>
      <c r="E5" s="15" t="inlineStr">
        <is>
          <t>Bảo mật</t>
        </is>
      </c>
      <c r="F5" s="16" t="inlineStr">
        <is>
          <t>Cao</t>
        </is>
      </c>
      <c r="G5" s="17" t="inlineStr">
        <is>
          <t>Đã hoàn thiện</t>
        </is>
      </c>
      <c r="H5" s="17" t="inlineStr">
        <is>
          <t>Có</t>
        </is>
      </c>
      <c r="I5" s="15" t="inlineStr">
        <is>
          <t>Có cộng đồng vi phạm chính sách nền tảng</t>
        </is>
      </c>
      <c r="J5" s="15" t="inlineStr">
        <is>
          <t>1. Đăng nhập Platform Admin
2. Tìm cộng đồng vi phạm
3. Thực hiện khóa/gỡ cộng đồng</t>
        </is>
      </c>
      <c r="K5" s="15" t="inlineStr">
        <is>
          <t>-</t>
        </is>
      </c>
      <c r="L5" s="15" t="inlineStr">
        <is>
          <t>Cộng đồng bị khóa/gỡ ngay lập tức dù Owner không đồng ý, đúng theo quy tắc quyền tối cao của Platform Admin</t>
        </is>
      </c>
      <c r="M5" s="15" t="inlineStr"/>
      <c r="N5" s="18" t="inlineStr">
        <is>
          <t>Chưa test</t>
        </is>
      </c>
      <c r="O5" s="15" t="inlineStr"/>
      <c r="P5" s="15" t="inlineStr"/>
      <c r="Q5" s="18" t="inlineStr">
        <is>
          <t>Chưa test</t>
        </is>
      </c>
      <c r="R5" s="15" t="inlineStr"/>
    </row>
    <row r="6" ht="30" customHeight="1">
      <c r="A6" s="14" t="inlineStr">
        <is>
          <t>TC-ADMIN-005</t>
        </is>
      </c>
      <c r="B6" s="15" t="inlineStr">
        <is>
          <t>Quản trị &amp; Vận hành hệ thống</t>
        </is>
      </c>
      <c r="C6" s="15" t="inlineStr">
        <is>
          <t>Tìm kiếm toàn nền tảng</t>
        </is>
      </c>
      <c r="D6" s="15" t="inlineStr">
        <is>
          <t>Tìm kiếm đồng thời khóa học, cộng đồng, bài viết trong 1 ô tìm kiếm</t>
        </is>
      </c>
      <c r="E6" s="15" t="inlineStr">
        <is>
          <t>Chức năng</t>
        </is>
      </c>
      <c r="F6" s="20" t="inlineStr">
        <is>
          <t>Trung bình</t>
        </is>
      </c>
      <c r="G6" s="17" t="inlineStr">
        <is>
          <t>Đã hoàn thiện</t>
        </is>
      </c>
      <c r="H6" s="17" t="inlineStr">
        <is>
          <t>Có</t>
        </is>
      </c>
      <c r="I6" s="15" t="inlineStr">
        <is>
          <t>Dữ liệu có đủ khóa học/cộng đồng/bài viết khớp từ khóa</t>
        </is>
      </c>
      <c r="J6" s="15" t="inlineStr">
        <is>
          <t>1. Vào ô tìm kiếm toàn nền tảng (header)
2. Nhập từ khóa khớp cả 3 loại dữ liệu</t>
        </is>
      </c>
      <c r="K6" s="15" t="inlineStr">
        <is>
          <t>-</t>
        </is>
      </c>
      <c r="L6" s="15" t="inlineStr">
        <is>
          <t>Kết quả trả về gộp cả khóa học, cộng đồng, bài viết liên quan, phân nhóm rõ ràng</t>
        </is>
      </c>
      <c r="M6" s="15" t="inlineStr"/>
      <c r="N6" s="18" t="inlineStr">
        <is>
          <t>Chưa test</t>
        </is>
      </c>
      <c r="O6" s="15" t="inlineStr"/>
      <c r="P6" s="15" t="inlineStr"/>
      <c r="Q6" s="18" t="inlineStr">
        <is>
          <t>Chưa test</t>
        </is>
      </c>
      <c r="R6" s="15" t="inlineStr"/>
    </row>
    <row r="7" ht="30" customHeight="1">
      <c r="A7" s="14" t="inlineStr">
        <is>
          <t>TC-ADMIN-006</t>
        </is>
      </c>
      <c r="B7" s="15" t="inlineStr">
        <is>
          <t>Quản trị &amp; Vận hành hệ thống</t>
        </is>
      </c>
      <c r="C7" s="15" t="inlineStr">
        <is>
          <t>Đa ngôn ngữ</t>
        </is>
      </c>
      <c r="D7" s="15" t="inlineStr">
        <is>
          <t>Chuyển đổi giao diện giữa Tiếng Việt và Tiếng Anh</t>
        </is>
      </c>
      <c r="E7" s="15" t="inlineStr">
        <is>
          <t>Chức năng</t>
        </is>
      </c>
      <c r="F7" s="20" t="inlineStr">
        <is>
          <t>Trung bình</t>
        </is>
      </c>
      <c r="G7" s="20" t="inlineStr">
        <is>
          <t>Kế hoạch</t>
        </is>
      </c>
      <c r="H7" s="17" t="inlineStr">
        <is>
          <t>Có</t>
        </is>
      </c>
      <c r="I7" s="15" t="inlineStr">
        <is>
          <t>Tính năng đang ở giai đoạn Kế hoạch — nút chọn đã có trên giao diện nhưng chưa hoạt động</t>
        </is>
      </c>
      <c r="J7" s="15" t="inlineStr">
        <is>
          <t>1. Bấm nút chọn ngôn ngữ trên header
2. Chọn English</t>
        </is>
      </c>
      <c r="K7" s="15" t="inlineStr">
        <is>
          <t>-</t>
        </is>
      </c>
      <c r="L7" s="15" t="inlineStr">
        <is>
          <t>Toàn bộ giao diện chuyển sang tiếng Anh, không còn text tiếng Việt sót lại</t>
        </is>
      </c>
      <c r="M7" s="15" t="inlineStr"/>
      <c r="N7" s="18" t="inlineStr">
        <is>
          <t>Chưa test</t>
        </is>
      </c>
      <c r="O7" s="15" t="inlineStr"/>
      <c r="P7" s="15" t="inlineStr"/>
      <c r="Q7" s="18" t="inlineStr">
        <is>
          <t>Chưa test</t>
        </is>
      </c>
      <c r="R7" s="15" t="inlineStr"/>
    </row>
    <row r="8" ht="30" customHeight="1">
      <c r="A8" s="14" t="inlineStr">
        <is>
          <t>TC-ADMIN-007</t>
        </is>
      </c>
      <c r="B8" s="15" t="inlineStr">
        <is>
          <t>Quản trị &amp; Vận hành hệ thống</t>
        </is>
      </c>
      <c r="C8" s="15" t="inlineStr">
        <is>
          <t>Trang quản trị nội bộ</t>
        </is>
      </c>
      <c r="D8" s="15" t="inlineStr">
        <is>
          <t>Platform Admin theo dõi tổng quan hoạt động toàn nền tảng</t>
        </is>
      </c>
      <c r="E8" s="15" t="inlineStr">
        <is>
          <t>Chức năng</t>
        </is>
      </c>
      <c r="F8" s="20" t="inlineStr">
        <is>
          <t>Trung bình</t>
        </is>
      </c>
      <c r="G8" s="17" t="inlineStr">
        <is>
          <t>Đã hoàn thiện</t>
        </is>
      </c>
      <c r="H8" s="17" t="inlineStr">
        <is>
          <t>Có</t>
        </is>
      </c>
      <c r="I8" s="15" t="inlineStr">
        <is>
          <t>Đăng nhập Platform Admin</t>
        </is>
      </c>
      <c r="J8" s="15" t="inlineStr">
        <is>
          <t>1. Vào trang quản trị nội bộ
2. Kiểm tra các số liệu tổng quan (người dùng, cộng đồng, giao dịch, báo cáo)</t>
        </is>
      </c>
      <c r="K8" s="15" t="inlineStr">
        <is>
          <t>-</t>
        </is>
      </c>
      <c r="L8" s="15" t="inlineStr">
        <is>
          <t>Số liệu hiển thị chính xác, cập nhật theo thời gian thực hoặc gần thực</t>
        </is>
      </c>
      <c r="M8" s="15" t="inlineStr"/>
      <c r="N8" s="18" t="inlineStr">
        <is>
          <t>Chưa test</t>
        </is>
      </c>
      <c r="O8" s="15" t="inlineStr"/>
      <c r="P8" s="15" t="inlineStr"/>
      <c r="Q8" s="18" t="inlineStr">
        <is>
          <t>Chưa test</t>
        </is>
      </c>
      <c r="R8" s="15" t="inlineStr"/>
    </row>
    <row r="9" ht="45" customHeight="1">
      <c r="A9" s="14" t="inlineStr">
        <is>
          <t>TC-ADMIN-008</t>
        </is>
      </c>
      <c r="B9" s="15" t="inlineStr">
        <is>
          <t>Quản trị &amp; Vận hành hệ thống</t>
        </is>
      </c>
      <c r="C9" s="15" t="inlineStr">
        <is>
          <t>Kiểm duyệt nội dung</t>
        </is>
      </c>
      <c r="D9" s="15" t="inlineStr">
        <is>
          <t>Khôi phục lại nội dung đã ẩn/xóa nhầm (nếu có tính năng)</t>
        </is>
      </c>
      <c r="E9" s="15" t="inlineStr">
        <is>
          <t>Chức năng</t>
        </is>
      </c>
      <c r="F9" s="17" t="inlineStr">
        <is>
          <t>Thấp</t>
        </is>
      </c>
      <c r="G9" s="17" t="inlineStr">
        <is>
          <t>Đã hoàn thiện</t>
        </is>
      </c>
      <c r="H9" s="17" t="inlineStr">
        <is>
          <t>Có</t>
        </is>
      </c>
      <c r="I9" s="15" t="inlineStr">
        <is>
          <t>Có nội dung đã bị Platform Admin ẩn/xóa</t>
        </is>
      </c>
      <c r="J9" s="15" t="inlineStr">
        <is>
          <t>1. Platform Admin vào nhật ký kiểm duyệt
2. Chọn nội dung đã ẩn/xóa
3. Khôi phục</t>
        </is>
      </c>
      <c r="K9" s="15" t="inlineStr">
        <is>
          <t>-</t>
        </is>
      </c>
      <c r="L9" s="15" t="inlineStr">
        <is>
          <t>Nội dung hiển thị trở lại bình thường cho người dùng</t>
        </is>
      </c>
      <c r="M9" s="15" t="inlineStr"/>
      <c r="N9" s="18" t="inlineStr">
        <is>
          <t>Chưa test</t>
        </is>
      </c>
      <c r="O9" s="15" t="inlineStr"/>
      <c r="P9" s="15" t="inlineStr"/>
      <c r="Q9" s="18" t="inlineStr">
        <is>
          <t>Chưa test</t>
        </is>
      </c>
      <c r="R9" s="15" t="inlineStr"/>
    </row>
    <row r="10" ht="30" customHeight="1">
      <c r="A10" s="14" t="inlineStr">
        <is>
          <t>TC-ADMIN-009</t>
        </is>
      </c>
      <c r="B10" s="15" t="inlineStr">
        <is>
          <t>Quản trị &amp; Vận hành hệ thống</t>
        </is>
      </c>
      <c r="C10" s="15" t="inlineStr">
        <is>
          <t>Kiểm duyệt nội dung</t>
        </is>
      </c>
      <c r="D10" s="15" t="inlineStr">
        <is>
          <t>Ghi log đầy đủ hành động kiểm duyệt (audit trail)</t>
        </is>
      </c>
      <c r="E10" s="15" t="inlineStr">
        <is>
          <t>Bảo mật</t>
        </is>
      </c>
      <c r="F10" s="20" t="inlineStr">
        <is>
          <t>Trung bình</t>
        </is>
      </c>
      <c r="G10" s="20" t="inlineStr">
        <is>
          <t>Kế hoạch</t>
        </is>
      </c>
      <c r="H10" s="17" t="inlineStr">
        <is>
          <t>Có</t>
        </is>
      </c>
      <c r="I10" s="15" t="inlineStr">
        <is>
          <t>Platform Admin vừa thực hiện 1 hành động kiểm duyệt</t>
        </is>
      </c>
      <c r="J10" s="15" t="inlineStr">
        <is>
          <t>1. Platform Admin ẩn/xóa 1 nội dung hoặc cấm 1 tài khoản
2. Kiểm tra nhật ký/audit log hệ thống</t>
        </is>
      </c>
      <c r="K10" s="15" t="inlineStr">
        <is>
          <t>-</t>
        </is>
      </c>
      <c r="L10" s="15" t="inlineStr">
        <is>
          <t>Log ghi nhận đầy đủ: người thực hiện, thời gian, đối tượng, hành động — phục vụ tra soát sau này</t>
        </is>
      </c>
      <c r="M10" s="15" t="inlineStr"/>
      <c r="N10" s="18" t="inlineStr">
        <is>
          <t>Chưa test</t>
        </is>
      </c>
      <c r="O10" s="15" t="inlineStr"/>
      <c r="P10" s="15" t="inlineStr"/>
      <c r="Q10" s="18" t="inlineStr">
        <is>
          <t>Chưa test</t>
        </is>
      </c>
      <c r="R10" s="15" t="inlineStr"/>
    </row>
    <row r="11" ht="30" customHeight="1">
      <c r="A11" s="14" t="inlineStr">
        <is>
          <t>TC-ADMIN-010</t>
        </is>
      </c>
      <c r="B11" s="15" t="inlineStr">
        <is>
          <t>Quản trị &amp; Vận hành hệ thống</t>
        </is>
      </c>
      <c r="C11" s="15" t="inlineStr">
        <is>
          <t>Tìm kiếm toàn nền tảng</t>
        </is>
      </c>
      <c r="D11" s="15" t="inlineStr">
        <is>
          <t>Kết quả tìm kiếm tôn trọng quyền riêng tư của cộng đồng riêng tư</t>
        </is>
      </c>
      <c r="E11" s="15" t="inlineStr">
        <is>
          <t>Bảo mật</t>
        </is>
      </c>
      <c r="F11" s="16" t="inlineStr">
        <is>
          <t>Cao</t>
        </is>
      </c>
      <c r="G11" s="17" t="inlineStr">
        <is>
          <t>Đã hoàn thiện</t>
        </is>
      </c>
      <c r="H11" s="17" t="inlineStr">
        <is>
          <t>Có</t>
        </is>
      </c>
      <c r="I11" s="15" t="inlineStr">
        <is>
          <t>Có nội dung thuộc cộng đồng riêng tư, người tìm kiếm chưa tham gia</t>
        </is>
      </c>
      <c r="J11" s="15" t="inlineStr">
        <is>
          <t>1. Đăng nhập tài khoản chưa tham gia cộng đồng riêng tư
2. Tìm kiếm từ khóa khớp với nội dung trong cộng đồng riêng tư đó</t>
        </is>
      </c>
      <c r="K11" s="15" t="inlineStr">
        <is>
          <t>-</t>
        </is>
      </c>
      <c r="L11" s="15" t="inlineStr">
        <is>
          <t>Kết quả không hiển thị nội dung riêng tư mà người dùng chưa có quyền xem</t>
        </is>
      </c>
      <c r="M11" s="15" t="inlineStr"/>
      <c r="N11" s="18" t="inlineStr">
        <is>
          <t>Chưa test</t>
        </is>
      </c>
      <c r="O11" s="15" t="inlineStr"/>
      <c r="P11" s="15" t="inlineStr"/>
      <c r="Q11" s="18" t="inlineStr">
        <is>
          <t>Chưa test</t>
        </is>
      </c>
      <c r="R11" s="15" t="inlineStr"/>
    </row>
    <row r="12" ht="30" customHeight="1">
      <c r="A12" s="14" t="inlineStr">
        <is>
          <t>TC-ADMIN-011</t>
        </is>
      </c>
      <c r="B12" s="15" t="inlineStr">
        <is>
          <t>Quản trị &amp; Vận hành hệ thống</t>
        </is>
      </c>
      <c r="C12" s="15" t="inlineStr">
        <is>
          <t>Trang quản trị nội bộ</t>
        </is>
      </c>
      <c r="D12" s="15" t="inlineStr">
        <is>
          <t>Chỉ Platform Admin mới truy cập được trang quản trị nội bộ</t>
        </is>
      </c>
      <c r="E12" s="15" t="inlineStr">
        <is>
          <t>Bảo mật</t>
        </is>
      </c>
      <c r="F12" s="16" t="inlineStr">
        <is>
          <t>Cao</t>
        </is>
      </c>
      <c r="G12" s="17" t="inlineStr">
        <is>
          <t>Đã hoàn thiện</t>
        </is>
      </c>
      <c r="H12" s="17" t="inlineStr">
        <is>
          <t>Có</t>
        </is>
      </c>
      <c r="I12" s="15" t="inlineStr">
        <is>
          <t>Tài khoản Owner/Admin thường (không phải Platform Admin)</t>
        </is>
      </c>
      <c r="J12" s="15" t="inlineStr">
        <is>
          <t>1. Đăng nhập tài khoản Owner (không phải Platform Admin)
2. Truy cập trực tiếp URL trang quản trị nội bộ hệ thống</t>
        </is>
      </c>
      <c r="K12" s="15" t="inlineStr">
        <is>
          <t>-</t>
        </is>
      </c>
      <c r="L12" s="15" t="inlineStr">
        <is>
          <t>Bị từ chối truy cập/chuyển hướng, không vào được trang quản trị nội bộ</t>
        </is>
      </c>
      <c r="M12" s="15" t="inlineStr"/>
      <c r="N12" s="18" t="inlineStr">
        <is>
          <t>Chưa test</t>
        </is>
      </c>
      <c r="O12" s="15" t="inlineStr"/>
      <c r="P12" s="15" t="inlineStr"/>
      <c r="Q12" s="18" t="inlineStr">
        <is>
          <t>Chưa test</t>
        </is>
      </c>
      <c r="R12" s="15" t="inlineStr"/>
    </row>
    <row r="13" ht="30" customHeight="1">
      <c r="A13" s="14" t="inlineStr">
        <is>
          <t>TC-ADMIN-012</t>
        </is>
      </c>
      <c r="B13" s="15" t="inlineStr">
        <is>
          <t>Quản trị &amp; Vận hành hệ thống</t>
        </is>
      </c>
      <c r="C13" s="15" t="inlineStr">
        <is>
          <t>Đa ngôn ngữ</t>
        </is>
      </c>
      <c r="D13" s="15" t="inlineStr">
        <is>
          <t>Ngôn ngữ đã chọn được ghi nhớ giữa các lần truy cập</t>
        </is>
      </c>
      <c r="E13" s="15" t="inlineStr">
        <is>
          <t>Chức năng</t>
        </is>
      </c>
      <c r="F13" s="17" t="inlineStr">
        <is>
          <t>Thấp</t>
        </is>
      </c>
      <c r="G13" s="20" t="inlineStr">
        <is>
          <t>Kế hoạch</t>
        </is>
      </c>
      <c r="H13" s="17" t="inlineStr">
        <is>
          <t>Có</t>
        </is>
      </c>
      <c r="I13" s="15" t="inlineStr">
        <is>
          <t>-</t>
        </is>
      </c>
      <c r="J13" s="15" t="inlineStr">
        <is>
          <t>1. Chọn ngôn ngữ English
2. Đăng xuất rồi đăng nhập lại (hoặc đóng mở lại trình duyệt)</t>
        </is>
      </c>
      <c r="K13" s="15" t="inlineStr">
        <is>
          <t>-</t>
        </is>
      </c>
      <c r="L13" s="15" t="inlineStr">
        <is>
          <t>Giao diện vẫn giữ ngôn ngữ English đã chọn trước đó, không tự reset về mặc định</t>
        </is>
      </c>
      <c r="M13" s="15" t="inlineStr"/>
      <c r="N13" s="18" t="inlineStr">
        <is>
          <t>Chưa test</t>
        </is>
      </c>
      <c r="O13" s="15" t="inlineStr"/>
      <c r="P13" s="15" t="inlineStr"/>
      <c r="Q13" s="18" t="inlineStr">
        <is>
          <t>Chưa test</t>
        </is>
      </c>
      <c r="R13" s="15" t="inlineStr"/>
    </row>
    <row r="14" ht="45" customHeight="1">
      <c r="A14" s="14" t="inlineStr">
        <is>
          <t>TC-ADMIN-013</t>
        </is>
      </c>
      <c r="B14" s="15" t="inlineStr">
        <is>
          <t>Quản trị &amp; Vận hành hệ thống</t>
        </is>
      </c>
      <c r="C14" s="15" t="inlineStr">
        <is>
          <t>Báo cáo vi phạm</t>
        </is>
      </c>
      <c r="D14" s="15" t="inlineStr">
        <is>
          <t>Member báo cáo bài viết: 201, báo cáo ở trạng thái open kèm ảnh chụp nội dung</t>
        </is>
      </c>
      <c r="E14" s="15" t="inlineStr">
        <is>
          <t>Chức năng</t>
        </is>
      </c>
      <c r="F14" s="16" t="inlineStr">
        <is>
          <t>Cao</t>
        </is>
      </c>
      <c r="G14" s="17" t="inlineStr">
        <is>
          <t>Đã hoàn thiện</t>
        </is>
      </c>
      <c r="H14" s="17" t="inlineStr">
        <is>
          <t>Có</t>
        </is>
      </c>
      <c r="I14" s="15" t="inlineStr">
        <is>
          <t>Đã chạy `npm run db:reset` (Postgres :5435 + seed), BE :4000, FE :5173. Đăng nhập member2@sofinhub.test / Passw0rd!x (thành viên photo). Bài `seed-post-photo-m1-image` (tác giả member1) — member2 chưa báo cáo bài này (seed chỉ có member3 báo cáo).</t>
        </is>
      </c>
      <c r="J14" s="15" t="inlineStr">
        <is>
          <t>1. POST /api/posts/seed-post-photo-m1-image/report với Bearer của member2
2. Đọc response
3. Đăng nhập mod, GET /api/courses/photo/reports?status=open</t>
        </is>
      </c>
      <c r="K14" s="15" t="inlineStr">
        <is>
          <t>Body {"reason":"spam","detail":"Quảng cáo trá hình"}</t>
        </is>
      </c>
      <c r="L1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14" s="15" t="inlineStr"/>
      <c r="N14" s="18" t="inlineStr">
        <is>
          <t>Chưa test</t>
        </is>
      </c>
      <c r="O14" s="15" t="inlineStr"/>
      <c r="P14" s="15" t="inlineStr"/>
      <c r="Q14" s="18" t="inlineStr">
        <is>
          <t>Chưa test</t>
        </is>
      </c>
      <c r="R14" s="15" t="inlineStr"/>
    </row>
    <row r="15" ht="30" customHeight="1">
      <c r="A15" s="14" t="inlineStr">
        <is>
          <t>TC-ADMIN-014</t>
        </is>
      </c>
      <c r="B15" s="15" t="inlineStr">
        <is>
          <t>Quản trị &amp; Vận hành hệ thống</t>
        </is>
      </c>
      <c r="C15" s="15" t="inlineStr">
        <is>
          <t>Báo cáo vi phạm</t>
        </is>
      </c>
      <c r="D15" s="15" t="inlineStr">
        <is>
          <t>Member báo cáo bình luận của người khác: 201, targetType=comment</t>
        </is>
      </c>
      <c r="E15" s="15" t="inlineStr">
        <is>
          <t>Chức năng</t>
        </is>
      </c>
      <c r="F15" s="16" t="inlineStr">
        <is>
          <t>Cao</t>
        </is>
      </c>
      <c r="G15" s="17" t="inlineStr">
        <is>
          <t>Đã hoàn thiện</t>
        </is>
      </c>
      <c r="H15" s="17" t="inlineStr">
        <is>
          <t>Có</t>
        </is>
      </c>
      <c r="I15" s="15" t="inlineStr">
        <is>
          <t>Đã chạy `npm run db:reset` (Postgres :5435 + seed), BE :4000, FE :5173. member3@sofinhub.test đăng nhập. Bình luận `seed-comment-photo-m2-on-m1-image` do member2 viết trên bài của member1.</t>
        </is>
      </c>
      <c r="J15" s="15" t="inlineStr">
        <is>
          <t>1. POST /api/comments/seed-comment-photo-m2-on-m1-image/report
2. Kiểm tra response</t>
        </is>
      </c>
      <c r="K15" s="15" t="inlineStr">
        <is>
          <t>Body {"reason":"harassment"}</t>
        </is>
      </c>
      <c r="L15" s="15" t="inlineStr">
        <is>
          <t>201; data.targetType="comment", targetId="seed-comment-photo-m2-on-m1-image", targetUserName="Mai Member2", reason="harassment", status="open", targetExcerpt = "Bố cục đẹp quá, màu trời rất có hồn!".</t>
        </is>
      </c>
      <c r="M15" s="15" t="inlineStr"/>
      <c r="N15" s="18" t="inlineStr">
        <is>
          <t>Chưa test</t>
        </is>
      </c>
      <c r="O15" s="15" t="inlineStr"/>
      <c r="P15" s="15" t="inlineStr"/>
      <c r="Q15" s="18" t="inlineStr">
        <is>
          <t>Chưa test</t>
        </is>
      </c>
      <c r="R15" s="15" t="inlineStr"/>
    </row>
    <row r="16" ht="30" customHeight="1">
      <c r="A16" s="14" t="inlineStr">
        <is>
          <t>TC-ADMIN-015</t>
        </is>
      </c>
      <c r="B16" s="15" t="inlineStr">
        <is>
          <t>Quản trị &amp; Vận hành hệ thống</t>
        </is>
      </c>
      <c r="C16" s="15" t="inlineStr">
        <is>
          <t>Báo cáo vi phạm</t>
        </is>
      </c>
      <c r="D16" s="15" t="inlineStr">
        <is>
          <t>Member báo cáo thành viên khác cùng cộng đồng photo: 201, targetType=member</t>
        </is>
      </c>
      <c r="E16" s="15" t="inlineStr">
        <is>
          <t>Chức năng</t>
        </is>
      </c>
      <c r="F16" s="16" t="inlineStr">
        <is>
          <t>Cao</t>
        </is>
      </c>
      <c r="G16" s="17" t="inlineStr">
        <is>
          <t>Đã hoàn thiện</t>
        </is>
      </c>
      <c r="H16" s="17" t="inlineStr">
        <is>
          <t>Có</t>
        </is>
      </c>
      <c r="I16" s="15" t="inlineStr">
        <is>
          <t>Đã chạy `npm run db:reset` (Postgres :5435 + seed), BE :4000, FE :5173. member2 đăng nhập; lấy id member3 từ GET /api/courses/photo/members.</t>
        </is>
      </c>
      <c r="J16" s="15" t="inlineStr">
        <is>
          <t>1. POST /api/courses/photo/members/&lt;id member3&gt;/report
2. Kiểm tra response và không có targetExcerpt</t>
        </is>
      </c>
      <c r="K16" s="15" t="inlineStr">
        <is>
          <t>Body {"reason":"inappropriate","detail":"Nhắn tin làm phiền"}</t>
        </is>
      </c>
      <c r="L16" s="15" t="inlineStr">
        <is>
          <t>201; data.targetType="member", targetId = id member3, targetUserName="Manh Member3", status="open"; targetExcerpt không có (báo cáo thành viên không có nội dung để chụp).</t>
        </is>
      </c>
      <c r="M16" s="15" t="inlineStr"/>
      <c r="N16" s="18" t="inlineStr">
        <is>
          <t>Chưa test</t>
        </is>
      </c>
      <c r="O16" s="15" t="inlineStr"/>
      <c r="P16" s="15" t="inlineStr"/>
      <c r="Q16" s="18" t="inlineStr">
        <is>
          <t>Chưa test</t>
        </is>
      </c>
      <c r="R16" s="15" t="inlineStr"/>
    </row>
    <row r="17" ht="30" customHeight="1">
      <c r="A17" s="14" t="inlineStr">
        <is>
          <t>TC-ADMIN-016</t>
        </is>
      </c>
      <c r="B17" s="15" t="inlineStr">
        <is>
          <t>Quản trị &amp; Vận hành hệ thống</t>
        </is>
      </c>
      <c r="C17" s="15" t="inlineStr">
        <is>
          <t>Báo cáo vi phạm</t>
        </is>
      </c>
      <c r="D17" s="15" t="inlineStr">
        <is>
          <t>Báo cáo trùng cùng người báo cáo + cùng đối tượng bị chặn 409</t>
        </is>
      </c>
      <c r="E17" s="15" t="inlineStr">
        <is>
          <t>Chức năng</t>
        </is>
      </c>
      <c r="F17" s="16" t="inlineStr">
        <is>
          <t>Cao</t>
        </is>
      </c>
      <c r="G17" s="17" t="inlineStr">
        <is>
          <t>Đã hoàn thiện</t>
        </is>
      </c>
      <c r="H17" s="17" t="inlineStr">
        <is>
          <t>Có</t>
        </is>
      </c>
      <c r="I17" s="15" t="inlineStr">
        <is>
          <t>Đã chạy `npm run db:reset` (Postgres :5435 + seed), BE :4000, FE :5173. member3 đã báo cáo `seed-post-photo-m1-image` (seed-report-photo-open).</t>
        </is>
      </c>
      <c r="J17" s="15" t="inlineStr">
        <is>
          <t>1. Đăng nhập member3
2. POST /api/posts/seed-post-photo-m1-image/report lần nữa với reason khác</t>
        </is>
      </c>
      <c r="K17" s="15" t="inlineStr">
        <is>
          <t>Body {"reason":"other"}</t>
        </is>
      </c>
      <c r="L17" s="15" t="inlineStr">
        <is>
          <t>409 CONFLICT, message "Bạn đã báo cáo mục này rồi"; hàng đợi vẫn chỉ có 1 báo cáo của member3 cho bài này. Một người khác (member2) vẫn báo cáo được cùng bài (không bị coi là trùng).</t>
        </is>
      </c>
      <c r="M17" s="15" t="inlineStr"/>
      <c r="N17" s="18" t="inlineStr">
        <is>
          <t>Chưa test</t>
        </is>
      </c>
      <c r="O17" s="15" t="inlineStr"/>
      <c r="P17" s="15" t="inlineStr"/>
      <c r="Q17" s="18" t="inlineStr">
        <is>
          <t>Chưa test</t>
        </is>
      </c>
      <c r="R17" s="15" t="inlineStr"/>
    </row>
    <row r="18" ht="30" customHeight="1">
      <c r="A18" s="14" t="inlineStr">
        <is>
          <t>TC-ADMIN-017</t>
        </is>
      </c>
      <c r="B18" s="15" t="inlineStr">
        <is>
          <t>Quản trị &amp; Vận hành hệ thống</t>
        </is>
      </c>
      <c r="C18" s="15" t="inlineStr">
        <is>
          <t>Báo cáo vi phạm</t>
        </is>
      </c>
      <c r="D18" s="15" t="inlineStr">
        <is>
          <t>Không báo cáo được bài viết của chính mình</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đăng nhập (tác giả bài `seed-post-photo-m1-image`).</t>
        </is>
      </c>
      <c r="J18" s="15" t="inlineStr">
        <is>
          <t>1. POST /api/posts/seed-post-photo-m1-image/report</t>
        </is>
      </c>
      <c r="K18" s="15" t="inlineStr">
        <is>
          <t>Body {"reason":"spam"}</t>
        </is>
      </c>
      <c r="L18" s="15" t="inlineStr">
        <is>
          <t>400 BAD_REQUEST, message "Bạn không thể báo cáo chính mình hoặc nội dung của mình"; không tạo báo cáo.</t>
        </is>
      </c>
      <c r="M18" s="15" t="inlineStr"/>
      <c r="N18" s="18" t="inlineStr">
        <is>
          <t>Chưa test</t>
        </is>
      </c>
      <c r="O18" s="15" t="inlineStr"/>
      <c r="P18" s="15" t="inlineStr"/>
      <c r="Q18" s="18" t="inlineStr">
        <is>
          <t>Chưa test</t>
        </is>
      </c>
      <c r="R18" s="15" t="inlineStr"/>
    </row>
    <row r="19" ht="30" customHeight="1">
      <c r="A19" s="14" t="inlineStr">
        <is>
          <t>TC-ADMIN-018</t>
        </is>
      </c>
      <c r="B19" s="15" t="inlineStr">
        <is>
          <t>Quản trị &amp; Vận hành hệ thống</t>
        </is>
      </c>
      <c r="C19" s="15" t="inlineStr">
        <is>
          <t>Báo cáo vi phạm</t>
        </is>
      </c>
      <c r="D19" s="15" t="inlineStr">
        <is>
          <t>Không báo cáo được bình luận của chính mình</t>
        </is>
      </c>
      <c r="E19" s="15" t="inlineStr">
        <is>
          <t>Chức năng</t>
        </is>
      </c>
      <c r="F19" s="20" t="inlineStr">
        <is>
          <t>Trung bình</t>
        </is>
      </c>
      <c r="G19" s="17" t="inlineStr">
        <is>
          <t>Đã hoàn thiện</t>
        </is>
      </c>
      <c r="H19" s="17" t="inlineStr">
        <is>
          <t>Có</t>
        </is>
      </c>
      <c r="I19" s="15" t="inlineStr">
        <is>
          <t>Đã chạy `npm run db:reset` (Postgres :5435 + seed), BE :4000, FE :5173. member2 đăng nhập (tác giả bình luận `seed-comment-photo-m2-on-m1-image`).</t>
        </is>
      </c>
      <c r="J19" s="15" t="inlineStr">
        <is>
          <t>1. POST /api/comments/seed-comment-photo-m2-on-m1-image/report</t>
        </is>
      </c>
      <c r="K19" s="15" t="inlineStr">
        <is>
          <t>Body {"reason":"spam"}</t>
        </is>
      </c>
      <c r="L19" s="15" t="inlineStr">
        <is>
          <t>400 BAD_REQUEST, message "Bạn không thể báo cáo chính mình hoặc nội dung của mình".</t>
        </is>
      </c>
      <c r="M19" s="15" t="inlineStr"/>
      <c r="N19" s="18" t="inlineStr">
        <is>
          <t>Chưa test</t>
        </is>
      </c>
      <c r="O19" s="15" t="inlineStr"/>
      <c r="P19" s="15" t="inlineStr"/>
      <c r="Q19" s="18" t="inlineStr">
        <is>
          <t>Chưa test</t>
        </is>
      </c>
      <c r="R19" s="15" t="inlineStr"/>
    </row>
    <row r="20" ht="30" customHeight="1">
      <c r="A20" s="14" t="inlineStr">
        <is>
          <t>TC-ADMIN-019</t>
        </is>
      </c>
      <c r="B20" s="15" t="inlineStr">
        <is>
          <t>Quản trị &amp; Vận hành hệ thống</t>
        </is>
      </c>
      <c r="C20" s="15" t="inlineStr">
        <is>
          <t>Báo cáo vi phạm</t>
        </is>
      </c>
      <c r="D20" s="15" t="inlineStr">
        <is>
          <t>Không tự báo cáo chính mình ở vai trò thành viên</t>
        </is>
      </c>
      <c r="E20" s="15" t="inlineStr">
        <is>
          <t>Chức năng</t>
        </is>
      </c>
      <c r="F20" s="17" t="inlineStr">
        <is>
          <t>Thấp</t>
        </is>
      </c>
      <c r="G20" s="17" t="inlineStr">
        <is>
          <t>Đã hoàn thiện</t>
        </is>
      </c>
      <c r="H20" s="17" t="inlineStr">
        <is>
          <t>Có</t>
        </is>
      </c>
      <c r="I20" s="15" t="inlineStr">
        <is>
          <t>Đã chạy `npm run db:reset` (Postgres :5435 + seed), BE :4000, FE :5173. member2 đăng nhập; id của chính mình lấy từ GET /api/auth/me.</t>
        </is>
      </c>
      <c r="J20" s="15" t="inlineStr">
        <is>
          <t>1. POST /api/courses/photo/members/&lt;id member2&gt;/report</t>
        </is>
      </c>
      <c r="K20" s="15" t="inlineStr">
        <is>
          <t>Body {"reason":"spam"}</t>
        </is>
      </c>
      <c r="L20" s="15" t="inlineStr">
        <is>
          <t>400 BAD_REQUEST, message "Bạn không thể báo cáo chính mình hoặc nội dung của mình". Trên UI (tab Thành viên) menu "…" của chính mình không có mục "Báo cáo thành viên".</t>
        </is>
      </c>
      <c r="M20" s="15" t="inlineStr"/>
      <c r="N20" s="18" t="inlineStr">
        <is>
          <t>Chưa test</t>
        </is>
      </c>
      <c r="O20" s="15" t="inlineStr"/>
      <c r="P20" s="15" t="inlineStr"/>
      <c r="Q20" s="18" t="inlineStr">
        <is>
          <t>Chưa test</t>
        </is>
      </c>
      <c r="R20" s="15" t="inlineStr"/>
    </row>
    <row r="21" ht="45" customHeight="1">
      <c r="A21" s="14" t="inlineStr">
        <is>
          <t>TC-ADMIN-020</t>
        </is>
      </c>
      <c r="B21" s="15" t="inlineStr">
        <is>
          <t>Quản trị &amp; Vận hành hệ thống</t>
        </is>
      </c>
      <c r="C21" s="15" t="inlineStr">
        <is>
          <t>Báo cáo vi phạm</t>
        </is>
      </c>
      <c r="D21" s="15" t="inlineStr">
        <is>
          <t>Validate lý do báo cáo: giá trị ngoài danh sách hoặc thiếu reason bị 400</t>
        </is>
      </c>
      <c r="E21" s="15" t="inlineStr">
        <is>
          <t>Chức năng</t>
        </is>
      </c>
      <c r="F21" s="20" t="inlineStr">
        <is>
          <t>Trung bình</t>
        </is>
      </c>
      <c r="G21" s="17" t="inlineStr">
        <is>
          <t>Đã hoàn thiện</t>
        </is>
      </c>
      <c r="H21" s="17" t="inlineStr">
        <is>
          <t>Có</t>
        </is>
      </c>
      <c r="I21" s="15" t="inlineStr">
        <is>
          <t>Đã chạy `npm run db:reset` (Postgres :5435 + seed), BE :4000, FE :5173. member2 đăng nhập.</t>
        </is>
      </c>
      <c r="J21" s="15" t="inlineStr">
        <is>
          <t>1. POST /api/posts/seed-post-photo-m1-image/report với reason="abc"
2. Gửi body rỗng {}
3. Gửi reason="SPAM" (sai hoa/thường)</t>
        </is>
      </c>
      <c r="K21" s="15" t="inlineStr">
        <is>
          <t>reason ∈ {"abc", thiếu, "SPAM"}</t>
        </is>
      </c>
      <c r="L21" s="15" t="inlineStr">
        <is>
          <t>Cả 3 lần: 400 VALIDATION_ERROR, message "Tham số không hợp lệ", details.fieldErrors.reason chứa "Lý do báo cáo không hợp lệ"; không tạo báo cáo.</t>
        </is>
      </c>
      <c r="M21" s="15" t="inlineStr"/>
      <c r="N21" s="18" t="inlineStr">
        <is>
          <t>Chưa test</t>
        </is>
      </c>
      <c r="O21" s="15" t="inlineStr"/>
      <c r="P21" s="15" t="inlineStr"/>
      <c r="Q21" s="18" t="inlineStr">
        <is>
          <t>Chưa test</t>
        </is>
      </c>
      <c r="R21" s="15" t="inlineStr"/>
    </row>
    <row r="22" ht="30" customHeight="1">
      <c r="A22" s="14" t="inlineStr">
        <is>
          <t>TC-ADMIN-021</t>
        </is>
      </c>
      <c r="B22" s="15" t="inlineStr">
        <is>
          <t>Quản trị &amp; Vận hành hệ thống</t>
        </is>
      </c>
      <c r="C22" s="15" t="inlineStr">
        <is>
          <t>Báo cáo vi phạm</t>
        </is>
      </c>
      <c r="D22" s="15" t="inlineStr">
        <is>
          <t>Biên độ dài chi tiết báo cáo: 1000 ký tự hợp lệ, 1001 ký tự bị từ chối</t>
        </is>
      </c>
      <c r="E22" s="15" t="inlineStr">
        <is>
          <t>Chức năng</t>
        </is>
      </c>
      <c r="F22" s="17" t="inlineStr">
        <is>
          <t>Thấp</t>
        </is>
      </c>
      <c r="G22" s="17" t="inlineStr">
        <is>
          <t>Đã hoàn thiện</t>
        </is>
      </c>
      <c r="H22" s="17" t="inlineStr">
        <is>
          <t>Có</t>
        </is>
      </c>
      <c r="I22" s="15" t="inlineStr">
        <is>
          <t>Đã chạy `npm run db:reset` (Postgres :5435 + seed), BE :4000, FE :5173. member2 đăng nhập; dùng bài `seed-post-photo-owner-pinned` (chưa ai báo cáo).</t>
        </is>
      </c>
      <c r="J22" s="15" t="inlineStr">
        <is>
          <t>1. POST /api/posts/seed-post-photo-owner-pinned/report với detail dài 1001 ký tự
2. Lặp lại với detail dài đúng 1000 ký tự</t>
        </is>
      </c>
      <c r="K22" s="15" t="inlineStr">
        <is>
          <t>detail = 'a' × 1001 rồi 'a' × 1000; reason="misinformation"</t>
        </is>
      </c>
      <c r="L22" s="15" t="inlineStr">
        <is>
          <t>Lần 1: 400 VALIDATION_ERROR (detail vượt max 1000). Lần 2: 201. Detail chỉ khoảng trắng sau trim được coi là rỗng/hợp lệ (không lỗi).</t>
        </is>
      </c>
      <c r="M22" s="15" t="inlineStr"/>
      <c r="N22" s="18" t="inlineStr">
        <is>
          <t>Chưa test</t>
        </is>
      </c>
      <c r="O22" s="15" t="inlineStr"/>
      <c r="P22" s="15" t="inlineStr"/>
      <c r="Q22" s="18" t="inlineStr">
        <is>
          <t>Chưa test</t>
        </is>
      </c>
      <c r="R22" s="15" t="inlineStr"/>
    </row>
    <row r="23" ht="30" customHeight="1">
      <c r="A23" s="14" t="inlineStr">
        <is>
          <t>TC-ADMIN-022</t>
        </is>
      </c>
      <c r="B23" s="15" t="inlineStr">
        <is>
          <t>Quản trị &amp; Vận hành hệ thống</t>
        </is>
      </c>
      <c r="C23" s="15" t="inlineStr">
        <is>
          <t>Báo cáo vi phạm</t>
        </is>
      </c>
      <c r="D23" s="15" t="inlineStr">
        <is>
          <t>Đủ 5 lý do báo cáo hợp lệ: spam, harassment, inappropriate, misinformation, other</t>
        </is>
      </c>
      <c r="E23" s="15" t="inlineStr">
        <is>
          <t>Chức năng</t>
        </is>
      </c>
      <c r="F23" s="20" t="inlineStr">
        <is>
          <t>Trung bình</t>
        </is>
      </c>
      <c r="G23" s="17" t="inlineStr">
        <is>
          <t>Đã hoàn thiện</t>
        </is>
      </c>
      <c r="H23" s="17" t="inlineStr">
        <is>
          <t>Có</t>
        </is>
      </c>
      <c r="I23" s="15" t="inlineStr">
        <is>
          <t>Đã chạy `npm run db:reset` (Postgres :5435 + seed), BE :4000, FE :5173. Đăng ký 5 user mới rồi cho tham gia photo (POST /api/courses/photo/enroll) để mỗi user báo cáo 1 lần (mỗi người chỉ báo cáo được 1 lần / đối tượng).</t>
        </is>
      </c>
      <c r="J23" s="15" t="inlineStr">
        <is>
          <t>1. Với mỗi user i, POST /api/posts/seed-post-photo-owner-pinned/report với reason thứ i
2. Tab UI Báo cáo bài viết: kiểm nhãn lý do trong hộp thoại</t>
        </is>
      </c>
      <c r="K23" s="15" t="inlineStr">
        <is>
          <t>reason lần lượt: spam, harassment, inappropriate, misinformation, other</t>
        </is>
      </c>
      <c r="L23" s="15" t="inlineStr">
        <is>
          <t>5 lần đều 201; hộp thoại báo cáo trên UI hiện 5 nhãn tiếng Việt (spam, quấy rối, không phù hợp, sai lệch, khác); hàng đợi hiển thị đúng nhãn từng lý do.</t>
        </is>
      </c>
      <c r="M23" s="15" t="inlineStr"/>
      <c r="N23" s="18" t="inlineStr">
        <is>
          <t>Chưa test</t>
        </is>
      </c>
      <c r="O23" s="15" t="inlineStr"/>
      <c r="P23" s="15" t="inlineStr"/>
      <c r="Q23" s="18" t="inlineStr">
        <is>
          <t>Chưa test</t>
        </is>
      </c>
      <c r="R23" s="15" t="inlineStr"/>
    </row>
    <row r="24" ht="45" customHeight="1">
      <c r="A24" s="14" t="inlineStr">
        <is>
          <t>TC-ADMIN-023</t>
        </is>
      </c>
      <c r="B24" s="15" t="inlineStr">
        <is>
          <t>Quản trị &amp; Vận hành hệ thống</t>
        </is>
      </c>
      <c r="C24" s="15" t="inlineStr">
        <is>
          <t>Báo cáo vi phạm</t>
        </is>
      </c>
      <c r="D24" s="15" t="inlineStr">
        <is>
          <t>Phân quyền tạo báo cáo: khách 401, người ngoài cộng đồng 403, người bị ban 403</t>
        </is>
      </c>
      <c r="E24" s="15" t="inlineStr">
        <is>
          <t>Bảo mật</t>
        </is>
      </c>
      <c r="F24" s="16" t="inlineStr">
        <is>
          <t>Cao</t>
        </is>
      </c>
      <c r="G24" s="17" t="inlineStr">
        <is>
          <t>Đã hoàn thiện</t>
        </is>
      </c>
      <c r="H24" s="17" t="inlineStr">
        <is>
          <t>Có</t>
        </is>
      </c>
      <c r="I24" s="15" t="inlineStr">
        <is>
          <t>Đã chạy `npm run db:reset` (Postgres :5435 + seed), BE :4000, FE :5173. Tài khoản newbie (chưa ở photo), banned (bị ban photo).</t>
        </is>
      </c>
      <c r="J24" s="15" t="inlineStr">
        <is>
          <t>1. POST /api/posts/seed-post-photo-m1-image/report không token
2. Lặp lại với token newbie
3. Lặp lại với token banned</t>
        </is>
      </c>
      <c r="K24" s="15" t="inlineStr">
        <is>
          <t>Body {"reason":"spam"}</t>
        </is>
      </c>
      <c r="L2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24" s="15" t="inlineStr"/>
      <c r="N24" s="18" t="inlineStr">
        <is>
          <t>Chưa test</t>
        </is>
      </c>
      <c r="O24" s="15" t="inlineStr"/>
      <c r="P24" s="15" t="inlineStr"/>
      <c r="Q24" s="18" t="inlineStr">
        <is>
          <t>Chưa test</t>
        </is>
      </c>
      <c r="R24" s="15" t="inlineStr"/>
    </row>
    <row r="25" ht="30" customHeight="1">
      <c r="A25" s="14" t="inlineStr">
        <is>
          <t>TC-ADMIN-024</t>
        </is>
      </c>
      <c r="B25" s="15" t="inlineStr">
        <is>
          <t>Quản trị &amp; Vận hành hệ thống</t>
        </is>
      </c>
      <c r="C25" s="15" t="inlineStr">
        <is>
          <t>Báo cáo vi phạm</t>
        </is>
      </c>
      <c r="D25" s="15" t="inlineStr">
        <is>
          <t>Báo cáo bài viết không tồn tại hoặc bài đã bị ẩn (người không có quyền thấy) trả 404</t>
        </is>
      </c>
      <c r="E25" s="15" t="inlineStr">
        <is>
          <t>Chức năng</t>
        </is>
      </c>
      <c r="F25" s="20" t="inlineStr">
        <is>
          <t>Trung bình</t>
        </is>
      </c>
      <c r="G25" s="17" t="inlineStr">
        <is>
          <t>Đã hoàn thiện</t>
        </is>
      </c>
      <c r="H25" s="17" t="inlineStr">
        <is>
          <t>Có</t>
        </is>
      </c>
      <c r="I25" s="15" t="inlineStr">
        <is>
          <t>Đã chạy `npm run db:reset` (Postgres :5435 + seed), BE :4000, FE :5173. member3 đăng nhập. Bài `seed-post-photo-m1-hidden` đang hidden (tác giả member1).</t>
        </is>
      </c>
      <c r="J25" s="15" t="inlineStr">
        <is>
          <t>1. POST /api/posts/khong-ton-tai/report
2. POST /api/posts/seed-post-photo-m1-hidden/report</t>
        </is>
      </c>
      <c r="K25" s="15" t="inlineStr">
        <is>
          <t>Body {"reason":"spam"}</t>
        </is>
      </c>
      <c r="L25" s="15" t="inlineStr">
        <is>
          <t>Cả hai: 404 NOT_FOUND, message "Không tìm thấy bài viết" (bài ẩn coi như không tồn tại với member thường). Thử lại bằng token mod: báo cáo bài ẩn được chấp nhận 201.</t>
        </is>
      </c>
      <c r="M25" s="15" t="inlineStr"/>
      <c r="N25" s="18" t="inlineStr">
        <is>
          <t>Chưa test</t>
        </is>
      </c>
      <c r="O25" s="15" t="inlineStr"/>
      <c r="P25" s="15" t="inlineStr"/>
      <c r="Q25" s="18" t="inlineStr">
        <is>
          <t>Chưa test</t>
        </is>
      </c>
      <c r="R25" s="15" t="inlineStr"/>
    </row>
    <row r="26" ht="30" customHeight="1">
      <c r="A26" s="14" t="inlineStr">
        <is>
          <t>TC-ADMIN-025</t>
        </is>
      </c>
      <c r="B26" s="15" t="inlineStr">
        <is>
          <t>Quản trị &amp; Vận hành hệ thống</t>
        </is>
      </c>
      <c r="C26" s="15" t="inlineStr">
        <is>
          <t>Báo cáo vi phạm</t>
        </is>
      </c>
      <c r="D26" s="15" t="inlineStr">
        <is>
          <t>Báo cáo thành viên không thuộc cộng đồng trả 404</t>
        </is>
      </c>
      <c r="E26" s="15" t="inlineStr">
        <is>
          <t>Chức năng</t>
        </is>
      </c>
      <c r="F26" s="20" t="inlineStr">
        <is>
          <t>Trung bình</t>
        </is>
      </c>
      <c r="G26" s="17" t="inlineStr">
        <is>
          <t>Đã hoàn thiện</t>
        </is>
      </c>
      <c r="H26" s="17" t="inlineStr">
        <is>
          <t>Có</t>
        </is>
      </c>
      <c r="I26" s="15" t="inlineStr">
        <is>
          <t>Đã chạy `npm run db:reset` (Postgres :5435 + seed), BE :4000, FE :5173. member2 đăng nhập; id newbie lấy từ đăng nhập newbie → GET /api/auth/me (newbie không ở photo).</t>
        </is>
      </c>
      <c r="J26" s="15" t="inlineStr">
        <is>
          <t>1. POST /api/courses/photo/members/&lt;id newbie&gt;/report
2. POST /api/courses/photo/members/id-linh-tinh/report</t>
        </is>
      </c>
      <c r="K26" s="15" t="inlineStr">
        <is>
          <t>Body {"reason":"spam"}</t>
        </is>
      </c>
      <c r="L26" s="15" t="inlineStr">
        <is>
          <t>Cả hai: 404 NOT_FOUND, message "Không tìm thấy thành viên".</t>
        </is>
      </c>
      <c r="M26" s="15" t="inlineStr"/>
      <c r="N26" s="18" t="inlineStr">
        <is>
          <t>Chưa test</t>
        </is>
      </c>
      <c r="O26" s="15" t="inlineStr"/>
      <c r="P26" s="15" t="inlineStr"/>
      <c r="Q26" s="18" t="inlineStr">
        <is>
          <t>Chưa test</t>
        </is>
      </c>
      <c r="R26" s="15" t="inlineStr"/>
    </row>
    <row r="27" ht="45" customHeight="1">
      <c r="A27" s="14" t="inlineStr">
        <is>
          <t>TC-ADMIN-026</t>
        </is>
      </c>
      <c r="B27" s="15" t="inlineStr">
        <is>
          <t>Quản trị &amp; Vận hành hệ thống</t>
        </is>
      </c>
      <c r="C27" s="15" t="inlineStr">
        <is>
          <t>Báo cáo vi phạm</t>
        </is>
      </c>
      <c r="D27" s="15" t="inlineStr">
        <is>
          <t>Ảnh chụp nội dung (targetExcerpt) được rút gọn tối đa 120 ký tự và kết thúc bằng dấu …</t>
        </is>
      </c>
      <c r="E27" s="15" t="inlineStr">
        <is>
          <t>Chức năng</t>
        </is>
      </c>
      <c r="F27" s="17" t="inlineStr">
        <is>
          <t>Thấp</t>
        </is>
      </c>
      <c r="G27" s="17" t="inlineStr">
        <is>
          <t>Đã hoàn thiện</t>
        </is>
      </c>
      <c r="H27" s="17" t="inlineStr">
        <is>
          <t>Có</t>
        </is>
      </c>
      <c r="I27" s="15" t="inlineStr">
        <is>
          <t>Đã chạy `npm run db:reset` (Postgres :5435 + seed), BE :4000, FE :5173. member1 tạo bài 300 ký tự ('x' lặp) ở photo; member2 báo cáo bài đó.</t>
        </is>
      </c>
      <c r="J27" s="15" t="inlineStr">
        <is>
          <t>1. member1: POST /api/courses/photo/posts với content dài 300 ký tự
2. member2: POST /api/posts/&lt;id&gt;/report
3. Đọc targetExcerpt</t>
        </is>
      </c>
      <c r="K27" s="15" t="inlineStr">
        <is>
          <t>content = 'Lorem ' × 50</t>
        </is>
      </c>
      <c r="L27" s="15" t="inlineStr">
        <is>
          <t>targetExcerpt dài đúng 120 ký tự, ký tự cuối là "…" (cắt 119 ký tự rồi trimEnd + …).</t>
        </is>
      </c>
      <c r="M27" s="15" t="inlineStr"/>
      <c r="N27" s="18" t="inlineStr">
        <is>
          <t>Chưa test</t>
        </is>
      </c>
      <c r="O27" s="15" t="inlineStr"/>
      <c r="P27" s="15" t="inlineStr"/>
      <c r="Q27" s="18" t="inlineStr">
        <is>
          <t>Chưa test</t>
        </is>
      </c>
      <c r="R27" s="15" t="inlineStr"/>
    </row>
    <row r="28" ht="30" customHeight="1">
      <c r="A28" s="14" t="inlineStr">
        <is>
          <t>TC-ADMIN-027</t>
        </is>
      </c>
      <c r="B28" s="15" t="inlineStr">
        <is>
          <t>Quản trị &amp; Vận hành hệ thống</t>
        </is>
      </c>
      <c r="C28" s="15" t="inlineStr">
        <is>
          <t>Báo cáo vi phạm</t>
        </is>
      </c>
      <c r="D28" s="15" t="inlineStr">
        <is>
          <t>Ảnh chụp nội dung không đổi khi tác giả sửa bài sau khi bị báo cáo</t>
        </is>
      </c>
      <c r="E28" s="15" t="inlineStr">
        <is>
          <t>Chức năng</t>
        </is>
      </c>
      <c r="F28" s="20" t="inlineStr">
        <is>
          <t>Trung bình</t>
        </is>
      </c>
      <c r="G28" s="17" t="inlineStr">
        <is>
          <t>Đã hoàn thiện</t>
        </is>
      </c>
      <c r="H28" s="17" t="inlineStr">
        <is>
          <t>Có</t>
        </is>
      </c>
      <c r="I28" s="15" t="inlineStr">
        <is>
          <t>Đã chạy `npm run db:reset` (Postgres :5435 + seed), BE :4000, FE :5173. member1 tạo bài mới 'Nội dung gốc'; member2 báo cáo; sau đó member1 sửa bài.</t>
        </is>
      </c>
      <c r="J28" s="15" t="inlineStr">
        <is>
          <t>1. member1: PATCH /api/posts/&lt;id&gt; {content:'Đã sửa hoàn toàn'}
2. mod: GET /api/courses/photo/reports?status=open, tìm báo cáo của bài</t>
        </is>
      </c>
      <c r="K28" s="15" t="inlineStr">
        <is>
          <t>content gốc 'Nội dung gốc', content sửa 'Đã sửa hoàn toàn'</t>
        </is>
      </c>
      <c r="L28" s="15" t="inlineStr">
        <is>
          <t>targetExcerpt của báo cáo vẫn là "Nội dung gốc" (ảnh chụp lúc báo cáo), mod thấy được bằng chứng ban đầu dù bài đã bị sửa.</t>
        </is>
      </c>
      <c r="M28" s="15" t="inlineStr"/>
      <c r="N28" s="18" t="inlineStr">
        <is>
          <t>Chưa test</t>
        </is>
      </c>
      <c r="O28" s="15" t="inlineStr"/>
      <c r="P28" s="15" t="inlineStr"/>
      <c r="Q28" s="18" t="inlineStr">
        <is>
          <t>Chưa test</t>
        </is>
      </c>
      <c r="R28" s="15" t="inlineStr"/>
    </row>
    <row r="29" ht="30" customHeight="1">
      <c r="A29" s="14" t="inlineStr">
        <is>
          <t>TC-ADMIN-028</t>
        </is>
      </c>
      <c r="B29" s="15" t="inlineStr">
        <is>
          <t>Quản trị &amp; Vận hành hệ thống</t>
        </is>
      </c>
      <c r="C29" s="15" t="inlineStr">
        <is>
          <t>Báo cáo vi phạm</t>
        </is>
      </c>
      <c r="D29" s="15" t="inlineStr">
        <is>
          <t>Hai request báo cáo song song cùng người/cùng đối tượng: chỉ 1 cái được tạo</t>
        </is>
      </c>
      <c r="E29" s="15" t="inlineStr">
        <is>
          <t>Tích hợp</t>
        </is>
      </c>
      <c r="F29" s="16" t="inlineStr">
        <is>
          <t>Cao</t>
        </is>
      </c>
      <c r="G29" s="17" t="inlineStr">
        <is>
          <t>Đã hoàn thiện</t>
        </is>
      </c>
      <c r="H29" s="17" t="inlineStr">
        <is>
          <t>Có</t>
        </is>
      </c>
      <c r="I29" s="15" t="inlineStr">
        <is>
          <t>Đã chạy `npm run db:reset` (Postgres :5435 + seed), BE :4000, FE :5173. member2 đăng nhập, bài `seed-post-photo-owner-pinned` chưa được member2 báo cáo.</t>
        </is>
      </c>
      <c r="J29" s="15" t="inlineStr">
        <is>
          <t>1. Gửi đồng thời 2 request POST /api/posts/seed-post-photo-owner-pinned/report (Promise.all)
2. GET hàng đợi mod đếm số báo cáo của member2 với bài này</t>
        </is>
      </c>
      <c r="K29" s="15" t="inlineStr">
        <is>
          <t>Body {"reason":"spam"}</t>
        </is>
      </c>
      <c r="L29" s="15" t="inlineStr">
        <is>
          <t>Một request 201, một request 409 CONFLICT "Bạn đã báo cáo mục này rồi" (unique index ở DB, kể cả song song); hàng đợi có đúng 1 báo cáo; không có lỗi 500.</t>
        </is>
      </c>
      <c r="M29" s="15" t="inlineStr"/>
      <c r="N29" s="18" t="inlineStr">
        <is>
          <t>Chưa test</t>
        </is>
      </c>
      <c r="O29" s="15" t="inlineStr"/>
      <c r="P29" s="15" t="inlineStr"/>
      <c r="Q29" s="18" t="inlineStr">
        <is>
          <t>Chưa test</t>
        </is>
      </c>
      <c r="R29" s="15" t="inlineStr"/>
    </row>
    <row r="30" ht="30" customHeight="1">
      <c r="A30" s="14" t="inlineStr">
        <is>
          <t>TC-ADMIN-029</t>
        </is>
      </c>
      <c r="B30" s="15" t="inlineStr">
        <is>
          <t>Quản trị &amp; Vận hành hệ thống</t>
        </is>
      </c>
      <c r="C30" s="15" t="inlineStr">
        <is>
          <t>Hàng đợi báo cáo</t>
        </is>
      </c>
      <c r="D30" s="15" t="inlineStr">
        <is>
          <t>Mod xem hàng đợi báo cáo photo: có đủ 2 báo cáo seed (1 open, 1 resolved)</t>
        </is>
      </c>
      <c r="E30" s="15" t="inlineStr">
        <is>
          <t>Chức năng</t>
        </is>
      </c>
      <c r="F30" s="16" t="inlineStr">
        <is>
          <t>Cao</t>
        </is>
      </c>
      <c r="G30" s="17" t="inlineStr">
        <is>
          <t>Đã hoàn thiện</t>
        </is>
      </c>
      <c r="H30" s="17" t="inlineStr">
        <is>
          <t>Có</t>
        </is>
      </c>
      <c r="I3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30" s="15" t="inlineStr">
        <is>
          <t>1. GET /api/courses/photo/reports
2. Đọc data và meta</t>
        </is>
      </c>
      <c r="K30" s="15" t="inlineStr">
        <is>
          <t>-</t>
        </is>
      </c>
      <c r="L30" s="15" t="inlineStr">
        <is>
          <t>200; meta.total &gt;= 2, meta.page=1, meta.limit=20; data chứa seed-report-photo-open (status open) và seed-report-photo-resolved (status resolved, action hide_content); sắp xếp mới nhất trước.</t>
        </is>
      </c>
      <c r="M30" s="15" t="inlineStr"/>
      <c r="N30" s="18" t="inlineStr">
        <is>
          <t>Chưa test</t>
        </is>
      </c>
      <c r="O30" s="15" t="inlineStr"/>
      <c r="P30" s="15" t="inlineStr"/>
      <c r="Q30" s="18" t="inlineStr">
        <is>
          <t>Chưa test</t>
        </is>
      </c>
      <c r="R30" s="15" t="inlineStr"/>
    </row>
    <row r="31" ht="30" customHeight="1">
      <c r="A31" s="14" t="inlineStr">
        <is>
          <t>TC-ADMIN-030</t>
        </is>
      </c>
      <c r="B31" s="15" t="inlineStr">
        <is>
          <t>Quản trị &amp; Vận hành hệ thống</t>
        </is>
      </c>
      <c r="C31" s="15" t="inlineStr">
        <is>
          <t>Hàng đợi báo cáo</t>
        </is>
      </c>
      <c r="D31" s="15" t="inlineStr">
        <is>
          <t>Lọc theo trạng thái: báo cáo đã xử lý seed có ghi chú và người xử lý là mod</t>
        </is>
      </c>
      <c r="E31" s="15" t="inlineStr">
        <is>
          <t>Chức năng</t>
        </is>
      </c>
      <c r="F31" s="20" t="inlineStr">
        <is>
          <t>Trung bình</t>
        </is>
      </c>
      <c r="G31" s="17" t="inlineStr">
        <is>
          <t>Đã hoàn thiện</t>
        </is>
      </c>
      <c r="H31" s="17" t="inlineStr">
        <is>
          <t>Có</t>
        </is>
      </c>
      <c r="I31" s="15" t="inlineStr">
        <is>
          <t>Đã chạy `npm run db:reset` (Postgres :5435 + seed), BE :4000, FE :5173. mod đăng nhập.</t>
        </is>
      </c>
      <c r="J31" s="15" t="inlineStr">
        <is>
          <t>1. GET /api/courses/photo/reports?status=resolved
2. Tìm seed-report-photo-resolved</t>
        </is>
      </c>
      <c r="K31" s="15" t="inlineStr">
        <is>
          <t>status=resolved</t>
        </is>
      </c>
      <c r="L31" s="15" t="inlineStr">
        <is>
          <t>Chỉ báo cáo status=resolved; báo cáo seed có action="hide_content", note="Đã ẩn bài quảng cáo.", resolvedBy=id mod, resolvedAt có giá trị, targetExcerpt bắt đầu "Mua ngay khóa học chụp ảnh giá rẻ".</t>
        </is>
      </c>
      <c r="M31" s="15" t="inlineStr"/>
      <c r="N31" s="18" t="inlineStr">
        <is>
          <t>Chưa test</t>
        </is>
      </c>
      <c r="O31" s="15" t="inlineStr"/>
      <c r="P31" s="15" t="inlineStr"/>
      <c r="Q31" s="18" t="inlineStr">
        <is>
          <t>Chưa test</t>
        </is>
      </c>
      <c r="R31" s="15" t="inlineStr"/>
    </row>
    <row r="32" ht="60" customHeight="1">
      <c r="A32" s="14" t="inlineStr">
        <is>
          <t>TC-ADMIN-031</t>
        </is>
      </c>
      <c r="B32" s="15" t="inlineStr">
        <is>
          <t>Quản trị &amp; Vận hành hệ thống</t>
        </is>
      </c>
      <c r="C32" s="15" t="inlineStr">
        <is>
          <t>Hàng đợi báo cáo</t>
        </is>
      </c>
      <c r="D32" s="15" t="inlineStr">
        <is>
          <t>Tham số truy vấn không hợp lệ bị 400: status lạ, limit &gt; 50, page = 0</t>
        </is>
      </c>
      <c r="E32" s="15" t="inlineStr">
        <is>
          <t>Chức năng</t>
        </is>
      </c>
      <c r="F32" s="17" t="inlineStr">
        <is>
          <t>Thấp</t>
        </is>
      </c>
      <c r="G32" s="17" t="inlineStr">
        <is>
          <t>Đã hoàn thiện</t>
        </is>
      </c>
      <c r="H32" s="17" t="inlineStr">
        <is>
          <t>Có</t>
        </is>
      </c>
      <c r="I32" s="15" t="inlineStr">
        <is>
          <t>Đã chạy `npm run db:reset` (Postgres :5435 + seed), BE :4000, FE :5173. mod đăng nhập.</t>
        </is>
      </c>
      <c r="J32" s="15" t="inlineStr">
        <is>
          <t>1. GET .../reports?status=abc
2. GET .../reports?limit=51
3. GET .../reports?page=0
4. GET .../reports?limit=50 (biên hợp lệ)</t>
        </is>
      </c>
      <c r="K32" s="15" t="inlineStr">
        <is>
          <t>status=abc; limit=51; page=0; limit=50</t>
        </is>
      </c>
      <c r="L32" s="15" t="inlineStr">
        <is>
          <t>Ba lần đầu: 400 VALIDATION_ERROR "Tham số không hợp lệ"; limit=50 → 200 với meta.limit=50.</t>
        </is>
      </c>
      <c r="M32" s="15" t="inlineStr"/>
      <c r="N32" s="18" t="inlineStr">
        <is>
          <t>Chưa test</t>
        </is>
      </c>
      <c r="O32" s="15" t="inlineStr"/>
      <c r="P32" s="15" t="inlineStr"/>
      <c r="Q32" s="18" t="inlineStr">
        <is>
          <t>Chưa test</t>
        </is>
      </c>
      <c r="R32" s="15" t="inlineStr"/>
    </row>
    <row r="33" ht="30" customHeight="1">
      <c r="A33" s="14" t="inlineStr">
        <is>
          <t>TC-ADMIN-032</t>
        </is>
      </c>
      <c r="B33" s="15" t="inlineStr">
        <is>
          <t>Quản trị &amp; Vận hành hệ thống</t>
        </is>
      </c>
      <c r="C33" s="15" t="inlineStr">
        <is>
          <t>Hàng đợi báo cáo</t>
        </is>
      </c>
      <c r="D33" s="15" t="inlineStr">
        <is>
          <t>Chỉ mod trở lên xem được hàng đợi của cộng đồng: member 403, cadmin/owner 200</t>
        </is>
      </c>
      <c r="E33" s="15" t="inlineStr">
        <is>
          <t>Bảo mật</t>
        </is>
      </c>
      <c r="F33" s="16" t="inlineStr">
        <is>
          <t>Cao</t>
        </is>
      </c>
      <c r="G33" s="17" t="inlineStr">
        <is>
          <t>Đã hoàn thiện</t>
        </is>
      </c>
      <c r="H33" s="17" t="inlineStr">
        <is>
          <t>Có</t>
        </is>
      </c>
      <c r="I33" s="15" t="inlineStr">
        <is>
          <t>Đã chạy `npm run db:reset` (Postgres :5435 + seed), BE :4000, FE :5173. Tài khoản member1, mod, cadmin, owner.</t>
        </is>
      </c>
      <c r="J33" s="15" t="inlineStr">
        <is>
          <t>1. GET /api/courses/photo/reports lần lượt với 4 token
2. Gọi thêm không token</t>
        </is>
      </c>
      <c r="K33" s="15" t="inlineStr">
        <is>
          <t>-</t>
        </is>
      </c>
      <c r="L33" s="15" t="inlineStr">
        <is>
          <t>member1: 403 FORBIDDEN ("Bạn không có quyền thực hiện thao tác này trong cộng đồng"); mod, cadmin, owner: 200 cùng dữ liệu; khách: 401 UNAUTHORIZED ("Vui lòng đăng nhập để tiếp tục").</t>
        </is>
      </c>
      <c r="M33" s="15" t="inlineStr"/>
      <c r="N33" s="18" t="inlineStr">
        <is>
          <t>Chưa test</t>
        </is>
      </c>
      <c r="O33" s="15" t="inlineStr"/>
      <c r="P33" s="15" t="inlineStr"/>
      <c r="Q33" s="18" t="inlineStr">
        <is>
          <t>Chưa test</t>
        </is>
      </c>
      <c r="R33" s="15" t="inlineStr"/>
    </row>
    <row r="34" ht="30" customHeight="1">
      <c r="A34" s="14" t="inlineStr">
        <is>
          <t>TC-ADMIN-033</t>
        </is>
      </c>
      <c r="B34" s="15" t="inlineStr">
        <is>
          <t>Quản trị &amp; Vận hành hệ thống</t>
        </is>
      </c>
      <c r="C34" s="15" t="inlineStr">
        <is>
          <t>Hàng đợi báo cáo</t>
        </is>
      </c>
      <c r="D34" s="15" t="inlineStr">
        <is>
          <t>Platform Admin xem được hàng đợi photo dù không phải thành viên (requireRole cho qua)</t>
        </is>
      </c>
      <c r="E34" s="15" t="inlineStr">
        <is>
          <t>Bảo mật</t>
        </is>
      </c>
      <c r="F34" s="20" t="inlineStr">
        <is>
          <t>Trung bình</t>
        </is>
      </c>
      <c r="G34" s="17" t="inlineStr">
        <is>
          <t>Đã hoàn thiện</t>
        </is>
      </c>
      <c r="H34" s="17" t="inlineStr">
        <is>
          <t>Có</t>
        </is>
      </c>
      <c r="I34" s="15" t="inlineStr">
        <is>
          <t>Đã chạy `npm run db:reset` (Postgres :5435 + seed), BE :4000, FE :5173. admin@sofinhub.test không ghi danh cộng đồng nào.</t>
        </is>
      </c>
      <c r="J34" s="15" t="inlineStr">
        <is>
          <t>1. GET /api/courses/photo/reports với token admin
2. GET /api/courses/khong-ton-tai/reports</t>
        </is>
      </c>
      <c r="K34" s="15" t="inlineStr">
        <is>
          <t>-</t>
        </is>
      </c>
      <c r="L34" s="15" t="inlineStr">
        <is>
          <t>Lần 1: 200 (getRole trả platform_admin). Lần 2: 404 NOT_FOUND (cộng đồng không tồn tại, kiểm trước khi kiểm quyền).</t>
        </is>
      </c>
      <c r="M34" s="15" t="inlineStr"/>
      <c r="N34" s="18" t="inlineStr">
        <is>
          <t>Chưa test</t>
        </is>
      </c>
      <c r="O34" s="15" t="inlineStr"/>
      <c r="P34" s="15" t="inlineStr"/>
      <c r="Q34" s="18" t="inlineStr">
        <is>
          <t>Chưa test</t>
        </is>
      </c>
      <c r="R34" s="15" t="inlineStr"/>
    </row>
    <row r="35" ht="45" customHeight="1">
      <c r="A35" s="14" t="inlineStr">
        <is>
          <t>TC-ADMIN-034</t>
        </is>
      </c>
      <c r="B35" s="15" t="inlineStr">
        <is>
          <t>Quản trị &amp; Vận hành hệ thống</t>
        </is>
      </c>
      <c r="C35" s="15" t="inlineStr">
        <is>
          <t>Hàng đợi báo cáo</t>
        </is>
      </c>
      <c r="D35" s="15" t="inlineStr">
        <is>
          <t>GET /api/admin/reports gom báo cáo mọi cộng đồng — chỉ Platform Admin</t>
        </is>
      </c>
      <c r="E35" s="15" t="inlineStr">
        <is>
          <t>Bảo mật</t>
        </is>
      </c>
      <c r="F35" s="16" t="inlineStr">
        <is>
          <t>Cao</t>
        </is>
      </c>
      <c r="G35" s="17" t="inlineStr">
        <is>
          <t>Đã hoàn thiện</t>
        </is>
      </c>
      <c r="H35" s="17" t="inlineStr">
        <is>
          <t>Có</t>
        </is>
      </c>
      <c r="I35" s="15" t="inlineStr">
        <is>
          <t>Đã chạy `npm run db:reset` (Postgres :5435 + seed), BE :4000, FE :5173. admin, owner, mod đăng nhập.</t>
        </is>
      </c>
      <c r="J35" s="15" t="inlineStr">
        <is>
          <t>1. GET /api/admin/reports với token admin
2. Lặp lại với owner, mod
3. Không token</t>
        </is>
      </c>
      <c r="K35" s="15" t="inlineStr">
        <is>
          <t>status=open rồi status=resolved</t>
        </is>
      </c>
      <c r="L3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35" s="15" t="inlineStr"/>
      <c r="N35" s="18" t="inlineStr">
        <is>
          <t>Chưa test</t>
        </is>
      </c>
      <c r="O35" s="15" t="inlineStr"/>
      <c r="P35" s="15" t="inlineStr"/>
      <c r="Q35" s="18" t="inlineStr">
        <is>
          <t>Chưa test</t>
        </is>
      </c>
      <c r="R35" s="15" t="inlineStr"/>
    </row>
    <row r="36" ht="45" customHeight="1">
      <c r="A36" s="14" t="inlineStr">
        <is>
          <t>TC-ADMIN-035</t>
        </is>
      </c>
      <c r="B36" s="15" t="inlineStr">
        <is>
          <t>Quản trị &amp; Vận hành hệ thống</t>
        </is>
      </c>
      <c r="C36" s="15" t="inlineStr">
        <is>
          <t>Hàng đợi báo cáo</t>
        </is>
      </c>
      <c r="D36" s="15" t="inlineStr">
        <is>
          <t>Phân trang hàng đợi không chồng lấn: mới nhất trước, total/totalPages đúng</t>
        </is>
      </c>
      <c r="E36" s="15" t="inlineStr">
        <is>
          <t>Chức năng</t>
        </is>
      </c>
      <c r="F36" s="17" t="inlineStr">
        <is>
          <t>Thấp</t>
        </is>
      </c>
      <c r="G36" s="17" t="inlineStr">
        <is>
          <t>Đã hoàn thiện</t>
        </is>
      </c>
      <c r="H36" s="17" t="inlineStr">
        <is>
          <t>Có</t>
        </is>
      </c>
      <c r="I36" s="15" t="inlineStr">
        <is>
          <t>Đã chạy `npm run db:reset` (Postgres :5435 + seed), BE :4000, FE :5173. Tạo thêm &gt;= 3 báo cáo mới bằng các user đã đăng ký thêm; mod đăng nhập.</t>
        </is>
      </c>
      <c r="J36" s="15" t="inlineStr">
        <is>
          <t>1. GET .../reports?limit=2&amp;page=1
2. GET .../reports?limit=2&amp;page=2
3. So sánh id các trang</t>
        </is>
      </c>
      <c r="K36" s="15" t="inlineStr">
        <is>
          <t>limit=2</t>
        </is>
      </c>
      <c r="L36" s="15" t="inlineStr">
        <is>
          <t>Không id nào xuất hiện ở cả 2 trang; meta.totalPages = ceil(total/2); trang 1 có báo cáo tạo sau cùng ở đầu.</t>
        </is>
      </c>
      <c r="M36" s="15" t="inlineStr"/>
      <c r="N36" s="18" t="inlineStr">
        <is>
          <t>Chưa test</t>
        </is>
      </c>
      <c r="O36" s="15" t="inlineStr"/>
      <c r="P36" s="15" t="inlineStr"/>
      <c r="Q36" s="18" t="inlineStr">
        <is>
          <t>Chưa test</t>
        </is>
      </c>
      <c r="R36" s="15" t="inlineStr"/>
    </row>
    <row r="37" ht="45" customHeight="1">
      <c r="A37" s="14" t="inlineStr">
        <is>
          <t>TC-ADMIN-036</t>
        </is>
      </c>
      <c r="B37" s="15" t="inlineStr">
        <is>
          <t>Quản trị &amp; Vận hành hệ thống</t>
        </is>
      </c>
      <c r="C37" s="15" t="inlineStr">
        <is>
          <t>Hàng đợi báo cáo</t>
        </is>
      </c>
      <c r="D37" s="15" t="inlineStr">
        <is>
          <t>UI /courses/photo/community/kiem-duyet: mod thấy mục sidebar "Kiểm duyệt" và 4 tab trạng thái</t>
        </is>
      </c>
      <c r="E37" s="15" t="inlineStr">
        <is>
          <t>Giao diện</t>
        </is>
      </c>
      <c r="F37" s="16" t="inlineStr">
        <is>
          <t>Cao</t>
        </is>
      </c>
      <c r="G37" s="17" t="inlineStr">
        <is>
          <t>Đã hoàn thiện</t>
        </is>
      </c>
      <c r="H37" s="17" t="inlineStr">
        <is>
          <t>Có</t>
        </is>
      </c>
      <c r="I37" s="15" t="inlineStr">
        <is>
          <t>Đã chạy `npm run db:reset` (Postgres :5435 + seed), BE :4000, FE :5173. Đăng nhập mod@sofinhub.test.</t>
        </is>
      </c>
      <c r="J37" s="15" t="inlineStr">
        <is>
          <t>1. Mở /courses/photo/community
2. Bấm mục "Kiểm duyệt" ở sidebar trái
3. Lần lượt bấm tab Đang chờ, Đã xử lý, Đã bỏ qua, Tất cả</t>
        </is>
      </c>
      <c r="K37" s="15" t="inlineStr">
        <is>
          <t>-</t>
        </is>
      </c>
      <c r="L3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37" s="15" t="inlineStr"/>
      <c r="N37" s="18" t="inlineStr">
        <is>
          <t>Chưa test</t>
        </is>
      </c>
      <c r="O37" s="15" t="inlineStr"/>
      <c r="P37" s="15" t="inlineStr"/>
      <c r="Q37" s="18" t="inlineStr">
        <is>
          <t>Chưa test</t>
        </is>
      </c>
      <c r="R37" s="15" t="inlineStr"/>
    </row>
    <row r="38" ht="30" customHeight="1">
      <c r="A38" s="14" t="inlineStr">
        <is>
          <t>TC-ADMIN-037</t>
        </is>
      </c>
      <c r="B38" s="15" t="inlineStr">
        <is>
          <t>Quản trị &amp; Vận hành hệ thống</t>
        </is>
      </c>
      <c r="C38" s="15" t="inlineStr">
        <is>
          <t>Hàng đợi báo cáo</t>
        </is>
      </c>
      <c r="D38" s="15" t="inlineStr">
        <is>
          <t>UI: member thường không thấy mục Kiểm duyệt và vào thẳng URL bị chặn</t>
        </is>
      </c>
      <c r="E38" s="15" t="inlineStr">
        <is>
          <t>Bảo mật</t>
        </is>
      </c>
      <c r="F38" s="16" t="inlineStr">
        <is>
          <t>Cao</t>
        </is>
      </c>
      <c r="G38" s="17" t="inlineStr">
        <is>
          <t>Đã hoàn thiện</t>
        </is>
      </c>
      <c r="H38" s="17" t="inlineStr">
        <is>
          <t>Có</t>
        </is>
      </c>
      <c r="I38" s="15" t="inlineStr">
        <is>
          <t>Đã chạy `npm run db:reset` (Postgres :5435 + seed), BE :4000, FE :5173. Đăng nhập member1@sofinhub.test.</t>
        </is>
      </c>
      <c r="J38" s="15" t="inlineStr">
        <is>
          <t>1. Mở /courses/photo/community, kiểm sidebar
2. Mở thẳng /courses/photo/community/kiem-duyet</t>
        </is>
      </c>
      <c r="K38" s="15" t="inlineStr">
        <is>
          <t>-</t>
        </is>
      </c>
      <c r="L38" s="15" t="inlineStr">
        <is>
          <t>Sidebar không có "Kiểm duyệt"; trang trực tiếp hiển thị "Chỉ dành cho quản trị viên" (không gọi/không lộ dữ liệu báo cáo; API cũng trả 403 nếu gọi tay).</t>
        </is>
      </c>
      <c r="M38" s="15" t="inlineStr"/>
      <c r="N38" s="18" t="inlineStr">
        <is>
          <t>Chưa test</t>
        </is>
      </c>
      <c r="O38" s="15" t="inlineStr"/>
      <c r="P38" s="15" t="inlineStr"/>
      <c r="Q38" s="18" t="inlineStr">
        <is>
          <t>Chưa test</t>
        </is>
      </c>
      <c r="R38" s="15" t="inlineStr"/>
    </row>
    <row r="39" ht="45" customHeight="1">
      <c r="A39" s="14" t="inlineStr">
        <is>
          <t>TC-ADMIN-038</t>
        </is>
      </c>
      <c r="B39" s="15" t="inlineStr">
        <is>
          <t>Quản trị &amp; Vận hành hệ thống</t>
        </is>
      </c>
      <c r="C39" s="15" t="inlineStr">
        <is>
          <t>Xử lý báo cáo</t>
        </is>
      </c>
      <c r="D39" s="15" t="inlineStr">
        <is>
          <t>Mod chọn Bỏ qua: báo cáo thành dismissed, nội dung giữ nguyên, người báo cáo nhận thông báo</t>
        </is>
      </c>
      <c r="E39" s="15" t="inlineStr">
        <is>
          <t>Chức năng</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note:'Không vi phạm'}
2. member2: GET /api/notifications
3. member2/member1: GET /api/posts/&lt;id&gt;</t>
        </is>
      </c>
      <c r="K39" s="15" t="inlineStr">
        <is>
          <t>Body {"action":"dismiss","note":"Không vi phạm"}</t>
        </is>
      </c>
      <c r="L3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39" s="15" t="inlineStr"/>
      <c r="N39" s="18" t="inlineStr">
        <is>
          <t>Chưa test</t>
        </is>
      </c>
      <c r="O39" s="15" t="inlineStr"/>
      <c r="P39" s="15" t="inlineStr"/>
      <c r="Q39" s="18" t="inlineStr">
        <is>
          <t>Chưa test</t>
        </is>
      </c>
      <c r="R39" s="15" t="inlineStr"/>
    </row>
    <row r="40" ht="45" customHeight="1">
      <c r="A40" s="14" t="inlineStr">
        <is>
          <t>TC-ADMIN-039</t>
        </is>
      </c>
      <c r="B40" s="15" t="inlineStr">
        <is>
          <t>Quản trị &amp; Vận hành hệ thống</t>
        </is>
      </c>
      <c r="C40" s="15" t="inlineStr">
        <is>
          <t>Xử lý báo cáo</t>
        </is>
      </c>
      <c r="D40" s="15" t="inlineStr">
        <is>
          <t>Mod ẩn bài bị báo cáo (hide_content): bài biến mất với member, tác giả và mod vẫn thấy</t>
        </is>
      </c>
      <c r="E40" s="15" t="inlineStr">
        <is>
          <t>Chức năng</t>
        </is>
      </c>
      <c r="F40" s="16" t="inlineStr">
        <is>
          <t>Cao</t>
        </is>
      </c>
      <c r="G40" s="17" t="inlineStr">
        <is>
          <t>Đã hoàn thiện</t>
        </is>
      </c>
      <c r="H40" s="17" t="inlineStr">
        <is>
          <t>Có</t>
        </is>
      </c>
      <c r="I40" s="15" t="inlineStr">
        <is>
          <t xml:space="preserve">Đã chạy `npm run db:reset` (Postgres :5435 + seed), BE :4000, FE :5173. Chuẩn bị: member2 tạo báo cáo mới (spam) cho một bài của member1 để không dùng lại báo cáo seed; mod đăng nhập. </t>
        </is>
      </c>
      <c r="J40" s="15" t="inlineStr">
        <is>
          <t>1. PATCH /api/reports/&lt;id&gt; {action:'hide_content'}
2. member3: GET /api/posts/&lt;id&gt;; GET /api/courses/photo/posts
3. member1 (tác giả) và mod: GET /api/posts/&lt;id&gt;</t>
        </is>
      </c>
      <c r="K40" s="15" t="inlineStr">
        <is>
          <t>Body {"action":"hide_content"}</t>
        </is>
      </c>
      <c r="L4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40" s="15" t="inlineStr"/>
      <c r="N40" s="18" t="inlineStr">
        <is>
          <t>Chưa test</t>
        </is>
      </c>
      <c r="O40" s="15" t="inlineStr"/>
      <c r="P40" s="15" t="inlineStr"/>
      <c r="Q40" s="18" t="inlineStr">
        <is>
          <t>Chưa test</t>
        </is>
      </c>
      <c r="R40" s="15" t="inlineStr"/>
    </row>
    <row r="41" ht="45" customHeight="1">
      <c r="A41" s="14" t="inlineStr">
        <is>
          <t>TC-ADMIN-040</t>
        </is>
      </c>
      <c r="B41" s="15" t="inlineStr">
        <is>
          <t>Quản trị &amp; Vận hành hệ thống</t>
        </is>
      </c>
      <c r="C41" s="15" t="inlineStr">
        <is>
          <t>Xử lý báo cáo</t>
        </is>
      </c>
      <c r="D41" s="15" t="inlineStr">
        <is>
          <t>Mod ẩn bình luận bị báo cáo: member thường không còn thấy trong danh sách bình luận</t>
        </is>
      </c>
      <c r="E41" s="15" t="inlineStr">
        <is>
          <t>Chức năng</t>
        </is>
      </c>
      <c r="F41" s="20" t="inlineStr">
        <is>
          <t>Trung bình</t>
        </is>
      </c>
      <c r="G41" s="17" t="inlineStr">
        <is>
          <t>Đã hoàn thiện</t>
        </is>
      </c>
      <c r="H41" s="17" t="inlineStr">
        <is>
          <t>Có</t>
        </is>
      </c>
      <c r="I41" s="15" t="inlineStr">
        <is>
          <t>Đã chạy `npm run db:reset` (Postgres :5435 + seed), BE :4000, FE :5173. member3 báo cáo bình luận `seed-comment-photo-m2-on-m1-image` (lưu id báo cáo); mod đăng nhập.</t>
        </is>
      </c>
      <c r="J41" s="15" t="inlineStr">
        <is>
          <t>1. PATCH /api/reports/&lt;id&gt; {action:'hide_content'}
2. member1: GET /api/posts/seed-post-photo-m1-image/comments
3. mod: GET cùng endpoint</t>
        </is>
      </c>
      <c r="K41" s="15" t="inlineStr">
        <is>
          <t>Body {"action":"hide_content"}</t>
        </is>
      </c>
      <c r="L41" s="15" t="inlineStr">
        <is>
          <t>200 resolved; member1 không thấy bình luận đó; mod và tác giả bình luận (member2) vẫn thấy.</t>
        </is>
      </c>
      <c r="M41" s="15" t="inlineStr"/>
      <c r="N41" s="18" t="inlineStr">
        <is>
          <t>Chưa test</t>
        </is>
      </c>
      <c r="O41" s="15" t="inlineStr"/>
      <c r="P41" s="15" t="inlineStr"/>
      <c r="Q41" s="18" t="inlineStr">
        <is>
          <t>Chưa test</t>
        </is>
      </c>
      <c r="R41" s="15" t="inlineStr"/>
    </row>
    <row r="42" ht="30" customHeight="1">
      <c r="A42" s="14" t="inlineStr">
        <is>
          <t>TC-ADMIN-041</t>
        </is>
      </c>
      <c r="B42" s="15" t="inlineStr">
        <is>
          <t>Quản trị &amp; Vận hành hệ thống</t>
        </is>
      </c>
      <c r="C42" s="15" t="inlineStr">
        <is>
          <t>Xử lý báo cáo</t>
        </is>
      </c>
      <c r="D42" s="15" t="inlineStr">
        <is>
          <t>Ẩn nội dung với báo cáo thành viên bị từ chối 400</t>
        </is>
      </c>
      <c r="E42" s="15" t="inlineStr">
        <is>
          <t>Chức năng</t>
        </is>
      </c>
      <c r="F42" s="20" t="inlineStr">
        <is>
          <t>Trung bình</t>
        </is>
      </c>
      <c r="G42" s="17" t="inlineStr">
        <is>
          <t>Đã hoàn thiện</t>
        </is>
      </c>
      <c r="H42" s="17" t="inlineStr">
        <is>
          <t>Có</t>
        </is>
      </c>
      <c r="I42" s="15" t="inlineStr">
        <is>
          <t>Đã chạy `npm run db:reset` (Postgres :5435 + seed), BE :4000, FE :5173. member2 báo cáo member3 (targetType=member); mod đăng nhập.</t>
        </is>
      </c>
      <c r="J42" s="15" t="inlineStr">
        <is>
          <t>1. PATCH /api/reports/&lt;id&gt; {action:'hide_content'}
2. GET lại báo cáo qua hàng đợi</t>
        </is>
      </c>
      <c r="K42" s="15" t="inlineStr">
        <is>
          <t>Body {"action":"hide_content"}</t>
        </is>
      </c>
      <c r="L42" s="15" t="inlineStr">
        <is>
          <t>400 BAD_REQUEST, message "Chỉ ẩn được bài viết hoặc bình luận"; báo cáo vẫn status="open" (không bị chốt).</t>
        </is>
      </c>
      <c r="M42" s="15" t="inlineStr"/>
      <c r="N42" s="18" t="inlineStr">
        <is>
          <t>Chưa test</t>
        </is>
      </c>
      <c r="O42" s="15" t="inlineStr"/>
      <c r="P42" s="15" t="inlineStr"/>
      <c r="Q42" s="18" t="inlineStr">
        <is>
          <t>Chưa test</t>
        </is>
      </c>
      <c r="R42" s="15" t="inlineStr"/>
    </row>
    <row r="43" ht="45" customHeight="1">
      <c r="A43" s="14" t="inlineStr">
        <is>
          <t>TC-ADMIN-042</t>
        </is>
      </c>
      <c r="B43" s="15" t="inlineStr">
        <is>
          <t>Quản trị &amp; Vận hành hệ thống</t>
        </is>
      </c>
      <c r="C43" s="15" t="inlineStr">
        <is>
          <t>Xử lý báo cáo</t>
        </is>
      </c>
      <c r="D43" s="15" t="inlineStr">
        <is>
          <t>Ban qua báo cáo (ban_member): người bị báo cáo bị cấm và bị xóa khỏi cộng đồng, ghi lý do + người cấm</t>
        </is>
      </c>
      <c r="E43" s="15" t="inlineStr">
        <is>
          <t>Chức năng</t>
        </is>
      </c>
      <c r="F43" s="16" t="inlineStr">
        <is>
          <t>Cao</t>
        </is>
      </c>
      <c r="G43" s="17" t="inlineStr">
        <is>
          <t>Đã hoàn thiện</t>
        </is>
      </c>
      <c r="H43" s="17" t="inlineStr">
        <is>
          <t>Có</t>
        </is>
      </c>
      <c r="I43" s="15" t="inlineStr">
        <is>
          <t>Đã chạy `npm run db:reset` (Postgres :5435 + seed), BE :4000, FE :5173. Đăng ký user X mới (vd. victim1@sofinhub.test), POST /api/courses/photo/enroll; member2 báo cáo bài của X (reason spam); mod đăng nhập.</t>
        </is>
      </c>
      <c r="J43" s="15" t="inlineStr">
        <is>
          <t>1. PATCH /api/reports/&lt;id&gt; {action:'ban_member', note:'Spam lặp lại'}
2. X: GET /api/courses/photo/posts
3. owner: GET /api/courses/photo/bans</t>
        </is>
      </c>
      <c r="K43" s="15" t="inlineStr">
        <is>
          <t>Body {"action":"ban_member","note":"Spam lặp lại"}</t>
        </is>
      </c>
      <c r="L4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43" s="15" t="inlineStr"/>
      <c r="N43" s="18" t="inlineStr">
        <is>
          <t>Chưa test</t>
        </is>
      </c>
      <c r="O43" s="15" t="inlineStr"/>
      <c r="P43" s="15" t="inlineStr"/>
      <c r="Q43" s="18" t="inlineStr">
        <is>
          <t>Chưa test</t>
        </is>
      </c>
      <c r="R43" s="15" t="inlineStr"/>
    </row>
    <row r="44" ht="45" customHeight="1">
      <c r="A44" s="14" t="inlineStr">
        <is>
          <t>TC-ADMIN-043</t>
        </is>
      </c>
      <c r="B44" s="15" t="inlineStr">
        <is>
          <t>Quản trị &amp; Vận hành hệ thống</t>
        </is>
      </c>
      <c r="C44" s="15" t="inlineStr">
        <is>
          <t>Xử lý báo cáo</t>
        </is>
      </c>
      <c r="D44" s="15" t="inlineStr">
        <is>
          <t>Mod không cấm được mod khác hay admin: 403 và báo cáo giữ nguyên trạng thái open</t>
        </is>
      </c>
      <c r="E44" s="15" t="inlineStr">
        <is>
          <t>Bảo mật</t>
        </is>
      </c>
      <c r="F44" s="16" t="inlineStr">
        <is>
          <t>Cao</t>
        </is>
      </c>
      <c r="G44" s="17" t="inlineStr">
        <is>
          <t>Đã hoàn thiện</t>
        </is>
      </c>
      <c r="H44" s="17" t="inlineStr">
        <is>
          <t>Có</t>
        </is>
      </c>
      <c r="I4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44" s="15" t="inlineStr">
        <is>
          <t>1. PATCH /api/reports/&lt;báo cáo về mod&gt; {action:'ban_member'}
2. PATCH /api/reports/&lt;báo cáo về cadmin&gt; {action:'ban_member'}
3. GET hàng đợi status=open</t>
        </is>
      </c>
      <c r="K44" s="15" t="inlineStr">
        <is>
          <t>Body {"action":"ban_member"}</t>
        </is>
      </c>
      <c r="L44" s="15" t="inlineStr">
        <is>
          <t>Cả hai: 403 FORBIDDEN, message "Bạn không thể cấm người có vai trò ngang hoặc cao hơn mình"; cả hai báo cáo vẫn open; không có CommunityBan mới.</t>
        </is>
      </c>
      <c r="M44" s="15" t="inlineStr"/>
      <c r="N44" s="18" t="inlineStr">
        <is>
          <t>Chưa test</t>
        </is>
      </c>
      <c r="O44" s="15" t="inlineStr"/>
      <c r="P44" s="15" t="inlineStr"/>
      <c r="Q44" s="18" t="inlineStr">
        <is>
          <t>Chưa test</t>
        </is>
      </c>
      <c r="R44" s="15" t="inlineStr"/>
    </row>
    <row r="45" ht="30" customHeight="1">
      <c r="A45" s="14" t="inlineStr">
        <is>
          <t>TC-ADMIN-044</t>
        </is>
      </c>
      <c r="B45" s="15" t="inlineStr">
        <is>
          <t>Quản trị &amp; Vận hành hệ thống</t>
        </is>
      </c>
      <c r="C45" s="15" t="inlineStr">
        <is>
          <t>Xử lý báo cáo</t>
        </is>
      </c>
      <c r="D45" s="15" t="inlineStr">
        <is>
          <t>Admin cộng đồng (cadmin) cấm được mod nhưng không cấm được owner</t>
        </is>
      </c>
      <c r="E45" s="15" t="inlineStr">
        <is>
          <t>Bảo mật</t>
        </is>
      </c>
      <c r="F45" s="16" t="inlineStr">
        <is>
          <t>Cao</t>
        </is>
      </c>
      <c r="G45" s="17" t="inlineStr">
        <is>
          <t>Đã hoàn thiện</t>
        </is>
      </c>
      <c r="H45" s="17" t="inlineStr">
        <is>
          <t>Có</t>
        </is>
      </c>
      <c r="I45" s="15" t="inlineStr">
        <is>
          <t>Đã chạy `npm run db:reset` (Postgres :5435 + seed), BE :4000, FE :5173. member2 báo cáo thành viên mod (báo cáo A) và thành viên owner (báo cáo B). cadmin@sofinhub.test đăng nhập. Sau test cần db:reset để khôi phục.</t>
        </is>
      </c>
      <c r="J45" s="15" t="inlineStr">
        <is>
          <t>1. PATCH /api/reports/&lt;A&gt; {action:'ban_member'}
2. PATCH /api/reports/&lt;B&gt; {action:'ban_member'}</t>
        </is>
      </c>
      <c r="K45" s="15" t="inlineStr">
        <is>
          <t>Body {"action":"ban_member"}</t>
        </is>
      </c>
      <c r="L45" s="15" t="inlineStr">
        <is>
          <t>A: 200 resolved (admin có bậc cao hơn mod; mod bị cấm khỏi photo). B: 403 FORBIDDEN "Không thể cấm chủ cộng đồng"; báo cáo B vẫn open.</t>
        </is>
      </c>
      <c r="M45" s="15" t="inlineStr"/>
      <c r="N45" s="18" t="inlineStr">
        <is>
          <t>Chưa test</t>
        </is>
      </c>
      <c r="O45" s="15" t="inlineStr"/>
      <c r="P45" s="15" t="inlineStr"/>
      <c r="Q45" s="18" t="inlineStr">
        <is>
          <t>Chưa test</t>
        </is>
      </c>
      <c r="R45" s="15" t="inlineStr"/>
    </row>
    <row r="46" ht="30" customHeight="1">
      <c r="A46" s="14" t="inlineStr">
        <is>
          <t>TC-ADMIN-045</t>
        </is>
      </c>
      <c r="B46" s="15" t="inlineStr">
        <is>
          <t>Quản trị &amp; Vận hành hệ thống</t>
        </is>
      </c>
      <c r="C46" s="15" t="inlineStr">
        <is>
          <t>Xử lý báo cáo</t>
        </is>
      </c>
      <c r="D46" s="15" t="inlineStr">
        <is>
          <t>Không cấm thành viên minh họa (isDemo) qua báo cáo</t>
        </is>
      </c>
      <c r="E46" s="15" t="inlineStr">
        <is>
          <t>Chức năng</t>
        </is>
      </c>
      <c r="F46" s="17" t="inlineStr">
        <is>
          <t>Thấp</t>
        </is>
      </c>
      <c r="G46" s="17" t="inlineStr">
        <is>
          <t>Đã hoàn thiện</t>
        </is>
      </c>
      <c r="H46" s="17" t="inlineStr">
        <is>
          <t>Có</t>
        </is>
      </c>
      <c r="I46" s="15" t="inlineStr">
        <is>
          <t>Đã chạy `npm run db:reset` (Postgres :5435 + seed), BE :4000, FE :5173. Lấy id thành viên minh họa `demo-photo-1` từ GET /api/courses/photo/members; member2 báo cáo thành viên đó (201); mod đăng nhập.</t>
        </is>
      </c>
      <c r="J46" s="15" t="inlineStr">
        <is>
          <t>1. PATCH /api/reports/&lt;id&gt; {action:'ban_member'}</t>
        </is>
      </c>
      <c r="K46" s="15" t="inlineStr">
        <is>
          <t>Body {"action":"ban_member"}</t>
        </is>
      </c>
      <c r="L46" s="15" t="inlineStr">
        <is>
          <t>400 BAD_REQUEST, message "Không thể cấm nội dung minh họa"; báo cáo vẫn open. Với action=dismiss báo cáo này xử lý bình thường 200.</t>
        </is>
      </c>
      <c r="M46" s="15" t="inlineStr"/>
      <c r="N46" s="18" t="inlineStr">
        <is>
          <t>Chưa test</t>
        </is>
      </c>
      <c r="O46" s="15" t="inlineStr"/>
      <c r="P46" s="15" t="inlineStr"/>
      <c r="Q46" s="18" t="inlineStr">
        <is>
          <t>Chưa test</t>
        </is>
      </c>
      <c r="R46" s="15" t="inlineStr"/>
    </row>
    <row r="47" ht="30" customHeight="1">
      <c r="A47" s="14" t="inlineStr">
        <is>
          <t>TC-ADMIN-046</t>
        </is>
      </c>
      <c r="B47" s="15" t="inlineStr">
        <is>
          <t>Quản trị &amp; Vận hành hệ thống</t>
        </is>
      </c>
      <c r="C47" s="15" t="inlineStr">
        <is>
          <t>Xử lý báo cáo</t>
        </is>
      </c>
      <c r="D47" s="15" t="inlineStr">
        <is>
          <t>Xử lý lại báo cáo đã xử lý bị chặn 409</t>
        </is>
      </c>
      <c r="E47" s="15" t="inlineStr">
        <is>
          <t>Chức năng</t>
        </is>
      </c>
      <c r="F47" s="16" t="inlineStr">
        <is>
          <t>Cao</t>
        </is>
      </c>
      <c r="G47" s="17" t="inlineStr">
        <is>
          <t>Đã hoàn thiện</t>
        </is>
      </c>
      <c r="H47" s="17" t="inlineStr">
        <is>
          <t>Có</t>
        </is>
      </c>
      <c r="I47" s="15" t="inlineStr">
        <is>
          <t>Đã chạy `npm run db:reset` (Postgres :5435 + seed), BE :4000, FE :5173. Báo cáo seed-report-photo-resolved (đã resolved). mod đăng nhập.</t>
        </is>
      </c>
      <c r="J47" s="15" t="inlineStr">
        <is>
          <t>1. PATCH /api/reports/seed-report-photo-resolved {action:'dismiss'}</t>
        </is>
      </c>
      <c r="K47" s="15" t="inlineStr">
        <is>
          <t>Body {"action":"dismiss"}</t>
        </is>
      </c>
      <c r="L47" s="15" t="inlineStr">
        <is>
          <t>409 CONFLICT, message "Báo cáo này đã được xử lý"; trạng thái resolved/hide_content ban đầu không đổi.</t>
        </is>
      </c>
      <c r="M47" s="15" t="inlineStr"/>
      <c r="N47" s="18" t="inlineStr">
        <is>
          <t>Chưa test</t>
        </is>
      </c>
      <c r="O47" s="15" t="inlineStr"/>
      <c r="P47" s="15" t="inlineStr"/>
      <c r="Q47" s="18" t="inlineStr">
        <is>
          <t>Chưa test</t>
        </is>
      </c>
      <c r="R47" s="15" t="inlineStr"/>
    </row>
    <row r="48" ht="60" customHeight="1">
      <c r="A48" s="14" t="inlineStr">
        <is>
          <t>TC-ADMIN-047</t>
        </is>
      </c>
      <c r="B48" s="15" t="inlineStr">
        <is>
          <t>Quản trị &amp; Vận hành hệ thống</t>
        </is>
      </c>
      <c r="C48" s="15" t="inlineStr">
        <is>
          <t>Xử lý báo cáo</t>
        </is>
      </c>
      <c r="D48" s="15" t="inlineStr">
        <is>
          <t>Validate xử lý: action lạ, note dài 501 ký tự, báo cáo không tồn tại</t>
        </is>
      </c>
      <c r="E48" s="15" t="inlineStr">
        <is>
          <t>Chức năng</t>
        </is>
      </c>
      <c r="F48" s="20" t="inlineStr">
        <is>
          <t>Trung bình</t>
        </is>
      </c>
      <c r="G48" s="17" t="inlineStr">
        <is>
          <t>Đã hoàn thiện</t>
        </is>
      </c>
      <c r="H48" s="17" t="inlineStr">
        <is>
          <t>Có</t>
        </is>
      </c>
      <c r="I48" s="15" t="inlineStr">
        <is>
          <t xml:space="preserve">Đã chạy `npm run db:reset` (Postgres :5435 + seed), BE :4000, FE :5173. Chuẩn bị: member2 tạo báo cáo mới (spam) cho một bài của member1 để không dùng lại báo cáo seed; mod đăng nhập. </t>
        </is>
      </c>
      <c r="J48" s="15" t="inlineStr">
        <is>
          <t>1. PATCH {action:'delete'}
2. PATCH {action:'dismiss', note: 501 ký tự}
3. PATCH {action:'dismiss', note: 500 ký tự}
4. PATCH /api/reports/khong-co {action:'dismiss'}</t>
        </is>
      </c>
      <c r="K48" s="15" t="inlineStr">
        <is>
          <t>action=delete; note 'a'×501; note 'a'×500</t>
        </is>
      </c>
      <c r="L48" s="15" t="inlineStr">
        <is>
          <t>Lần 1: 400 VALIDATION_ERROR ("Hành động không hợp lệ"). Lần 2: 400 VALIDATION_ERROR. Lần 3: 200 (biên hợp lệ). Lần 4: 404 NOT_FOUND "Không tìm thấy báo cáo".</t>
        </is>
      </c>
      <c r="M48" s="15" t="inlineStr"/>
      <c r="N48" s="18" t="inlineStr">
        <is>
          <t>Chưa test</t>
        </is>
      </c>
      <c r="O48" s="15" t="inlineStr"/>
      <c r="P48" s="15" t="inlineStr"/>
      <c r="Q48" s="18" t="inlineStr">
        <is>
          <t>Chưa test</t>
        </is>
      </c>
      <c r="R48" s="15" t="inlineStr"/>
    </row>
    <row r="49" ht="45" customHeight="1">
      <c r="A49" s="14" t="inlineStr">
        <is>
          <t>TC-ADMIN-048</t>
        </is>
      </c>
      <c r="B49" s="15" t="inlineStr">
        <is>
          <t>Quản trị &amp; Vận hành hệ thống</t>
        </is>
      </c>
      <c r="C49" s="15" t="inlineStr">
        <is>
          <t>Xử lý báo cáo</t>
        </is>
      </c>
      <c r="D49" s="15" t="inlineStr">
        <is>
          <t>Member thường và khách không xử lý được báo cáo</t>
        </is>
      </c>
      <c r="E49" s="15" t="inlineStr">
        <is>
          <t>Bảo mật</t>
        </is>
      </c>
      <c r="F49" s="16" t="inlineStr">
        <is>
          <t>Cao</t>
        </is>
      </c>
      <c r="G49" s="17" t="inlineStr">
        <is>
          <t>Đã hoàn thiện</t>
        </is>
      </c>
      <c r="H49" s="17" t="inlineStr">
        <is>
          <t>Có</t>
        </is>
      </c>
      <c r="I49" s="15" t="inlineStr">
        <is>
          <t xml:space="preserve">Đã chạy `npm run db:reset` (Postgres :5435 + seed), BE :4000, FE :5173. Chuẩn bị: member2 tạo báo cáo mới (spam) cho một bài của member1 để không dùng lại báo cáo seed; mod đăng nhập. </t>
        </is>
      </c>
      <c r="J49" s="15" t="inlineStr">
        <is>
          <t>1. PATCH /api/reports/&lt;id&gt; {action:'dismiss'} bằng token member1
2. Bằng token member2 (chính người báo cáo)
3. Không token</t>
        </is>
      </c>
      <c r="K49" s="15" t="inlineStr">
        <is>
          <t>Body {"action":"dismiss"}</t>
        </is>
      </c>
      <c r="L49" s="15" t="inlineStr">
        <is>
          <t>member1 và member2: 403 FORBIDDEN ("Bạn không có quyền thực hiện thao tác này trong cộng đồng"); khách: 401 UNAUTHORIZED ("Vui lòng đăng nhập để tiếp tục"); báo cáo vẫn open.</t>
        </is>
      </c>
      <c r="M49" s="15" t="inlineStr"/>
      <c r="N49" s="18" t="inlineStr">
        <is>
          <t>Chưa test</t>
        </is>
      </c>
      <c r="O49" s="15" t="inlineStr"/>
      <c r="P49" s="15" t="inlineStr"/>
      <c r="Q49" s="18" t="inlineStr">
        <is>
          <t>Chưa test</t>
        </is>
      </c>
      <c r="R49" s="15" t="inlineStr"/>
    </row>
    <row r="50" ht="30" customHeight="1">
      <c r="A50" s="14" t="inlineStr">
        <is>
          <t>TC-ADMIN-049</t>
        </is>
      </c>
      <c r="B50" s="15" t="inlineStr">
        <is>
          <t>Quản trị &amp; Vận hành hệ thống</t>
        </is>
      </c>
      <c r="C50" s="15" t="inlineStr">
        <is>
          <t>Xử lý báo cáo</t>
        </is>
      </c>
      <c r="D50" s="15" t="inlineStr">
        <is>
          <t>Mod/admin của cộng đồng khác không xử lý được báo cáo của photo</t>
        </is>
      </c>
      <c r="E50" s="15" t="inlineStr">
        <is>
          <t>Bảo mật</t>
        </is>
      </c>
      <c r="F50" s="16" t="inlineStr">
        <is>
          <t>Cao</t>
        </is>
      </c>
      <c r="G50" s="17" t="inlineStr">
        <is>
          <t>Đã hoàn thiện</t>
        </is>
      </c>
      <c r="H50" s="17" t="inlineStr">
        <is>
          <t>Có</t>
        </is>
      </c>
      <c r="I5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50" s="15" t="inlineStr">
        <is>
          <t>1. Z: PATCH /api/reports/&lt;id báo cáo photo&gt; {action:'dismiss'}
2. Z: GET /api/courses/photo/reports</t>
        </is>
      </c>
      <c r="K50" s="15" t="inlineStr">
        <is>
          <t>Body {"action":"dismiss"}</t>
        </is>
      </c>
      <c r="L50" s="15" t="inlineStr">
        <is>
          <t>Cả hai: 403 FORBIDDEN ("Bạn không có quyền thực hiện thao tác này trong cộng đồng") (quyền tính theo cộng đồng của báo cáo, owner cộng đồng khác không có quyền); báo cáo vẫn open.</t>
        </is>
      </c>
      <c r="M50" s="15" t="inlineStr"/>
      <c r="N50" s="18" t="inlineStr">
        <is>
          <t>Chưa test</t>
        </is>
      </c>
      <c r="O50" s="15" t="inlineStr"/>
      <c r="P50" s="15" t="inlineStr"/>
      <c r="Q50" s="18" t="inlineStr">
        <is>
          <t>Chưa test</t>
        </is>
      </c>
      <c r="R50" s="15" t="inlineStr"/>
    </row>
    <row r="51" ht="30" customHeight="1">
      <c r="A51" s="14" t="inlineStr">
        <is>
          <t>TC-ADMIN-050</t>
        </is>
      </c>
      <c r="B51" s="15" t="inlineStr">
        <is>
          <t>Quản trị &amp; Vận hành hệ thống</t>
        </is>
      </c>
      <c r="C51" s="15" t="inlineStr">
        <is>
          <t>Xử lý báo cáo</t>
        </is>
      </c>
      <c r="D51" s="15" t="inlineStr">
        <is>
          <t>Platform Admin xử lý báo cáo của cộng đồng mình không tham gia</t>
        </is>
      </c>
      <c r="E51" s="15" t="inlineStr">
        <is>
          <t>Chức năng</t>
        </is>
      </c>
      <c r="F51" s="20" t="inlineStr">
        <is>
          <t>Trung bình</t>
        </is>
      </c>
      <c r="G51" s="17" t="inlineStr">
        <is>
          <t>Đã hoàn thiện</t>
        </is>
      </c>
      <c r="H51" s="17" t="inlineStr">
        <is>
          <t>Có</t>
        </is>
      </c>
      <c r="I51" s="15" t="inlineStr">
        <is>
          <t xml:space="preserve">Đã chạy `npm run db:reset` (Postgres :5435 + seed), BE :4000, FE :5173. Chuẩn bị: member2 tạo báo cáo mới (spam) cho một bài của member1 để không dùng lại báo cáo seed; admin@sofinhub.test đăng nhập. </t>
        </is>
      </c>
      <c r="J51" s="15" t="inlineStr">
        <is>
          <t>1. GET /api/admin/reports?status=open, tìm báo cáo
2. PATCH /api/reports/&lt;id&gt; {action:'hide_content'}</t>
        </is>
      </c>
      <c r="K51" s="15" t="inlineStr">
        <is>
          <t>Body {"action":"hide_content"}</t>
        </is>
      </c>
      <c r="L51" s="15" t="inlineStr">
        <is>
          <t>200; status=resolved, resolvedBy = id admin nền tảng; người báo cáo nhận thông báo report_resolved.</t>
        </is>
      </c>
      <c r="M51" s="15" t="inlineStr"/>
      <c r="N51" s="18" t="inlineStr">
        <is>
          <t>Chưa test</t>
        </is>
      </c>
      <c r="O51" s="15" t="inlineStr"/>
      <c r="P51" s="15" t="inlineStr"/>
      <c r="Q51" s="18" t="inlineStr">
        <is>
          <t>Chưa test</t>
        </is>
      </c>
      <c r="R51" s="15" t="inlineStr"/>
    </row>
    <row r="52" ht="45" customHeight="1">
      <c r="A52" s="14" t="inlineStr">
        <is>
          <t>TC-ADMIN-051</t>
        </is>
      </c>
      <c r="B52" s="15" t="inlineStr">
        <is>
          <t>Quản trị &amp; Vận hành hệ thống</t>
        </is>
      </c>
      <c r="C52" s="15" t="inlineStr">
        <is>
          <t>Xử lý báo cáo</t>
        </is>
      </c>
      <c r="D52" s="15" t="inlineStr">
        <is>
          <t>Hai mod xử lý song song cùng một báo cáo: chỉ một người thành công</t>
        </is>
      </c>
      <c r="E52" s="15" t="inlineStr">
        <is>
          <t>Tích hợp</t>
        </is>
      </c>
      <c r="F52" s="16" t="inlineStr">
        <is>
          <t>Cao</t>
        </is>
      </c>
      <c r="G52" s="17" t="inlineStr">
        <is>
          <t>Đã hoàn thiện</t>
        </is>
      </c>
      <c r="H52" s="17" t="inlineStr">
        <is>
          <t>Có</t>
        </is>
      </c>
      <c r="I52" s="15" t="inlineStr">
        <is>
          <t>Đã chạy `npm run db:reset` (Postgres :5435 + seed), BE :4000, FE :5173. Chuẩn bị: member2 tạo báo cáo mới (spam) cho một bài của member1 để không dùng lại báo cáo seed; mod đăng nhập. mod và cadmin đều đăng nhập.</t>
        </is>
      </c>
      <c r="J52" s="15" t="inlineStr">
        <is>
          <t>1. Gửi đồng thời PATCH /api/reports/&lt;id&gt; với token mod {action:'dismiss'} và token cadmin {action:'hide_content'}
2. GET báo cáo
3. Đếm thông báo report_resolved của người báo cáo</t>
        </is>
      </c>
      <c r="K52" s="15" t="inlineStr">
        <is>
          <t>2 request song song</t>
        </is>
      </c>
      <c r="L52" s="15" t="inlineStr">
        <is>
          <t>Một request 200, một request 409 "Báo cáo này đã được xử lý"; trạng thái cuối trùng đúng với request thắng; người báo cáo chỉ nhận đúng 1 thông báo report_resolved.</t>
        </is>
      </c>
      <c r="M52" s="15" t="inlineStr"/>
      <c r="N52" s="18" t="inlineStr">
        <is>
          <t>Chưa test</t>
        </is>
      </c>
      <c r="O52" s="15" t="inlineStr"/>
      <c r="P52" s="15" t="inlineStr"/>
      <c r="Q52" s="18" t="inlineStr">
        <is>
          <t>Chưa test</t>
        </is>
      </c>
      <c r="R52" s="15" t="inlineStr"/>
    </row>
    <row r="53" ht="45" customHeight="1">
      <c r="A53" s="14" t="inlineStr">
        <is>
          <t>TC-ADMIN-052</t>
        </is>
      </c>
      <c r="B53" s="15" t="inlineStr">
        <is>
          <t>Quản trị &amp; Vận hành hệ thống</t>
        </is>
      </c>
      <c r="C53" s="15" t="inlineStr">
        <is>
          <t>Xử lý báo cáo</t>
        </is>
      </c>
      <c r="D53" s="15" t="inlineStr">
        <is>
          <t>Sau khi ẩn nội dung, mod bỏ ẩn bằng /unhide: bài hiện lại, báo cáo vẫn ở trạng thái resolved</t>
        </is>
      </c>
      <c r="E53" s="15" t="inlineStr">
        <is>
          <t>Chức năng</t>
        </is>
      </c>
      <c r="F53" s="17" t="inlineStr">
        <is>
          <t>Thấp</t>
        </is>
      </c>
      <c r="G53" s="17" t="inlineStr">
        <is>
          <t>Đã hoàn thiện</t>
        </is>
      </c>
      <c r="H53" s="17" t="inlineStr">
        <is>
          <t>Có</t>
        </is>
      </c>
      <c r="I53" s="15" t="inlineStr">
        <is>
          <t>Đã chạy `npm run db:reset` (Postgres :5435 + seed), BE :4000, FE :5173. Bài `seed-post-photo-m1-hidden` (ẩn bởi báo cáo seed-report-photo-resolved). mod đăng nhập.</t>
        </is>
      </c>
      <c r="J53" s="15" t="inlineStr">
        <is>
          <t>1. POST /api/posts/seed-post-photo-m1-hidden/unhide
2. member3: GET /api/posts/seed-post-photo-m1-hidden
3. GET reports?status=resolved</t>
        </is>
      </c>
      <c r="K53" s="15" t="inlineStr">
        <is>
          <t>-</t>
        </is>
      </c>
      <c r="L53" s="15" t="inlineStr">
        <is>
          <t>200 {hidden:false}; member3 xem được bài; báo cáo seed vẫn resolved/hide_content (chưa có cơ chế hoàn tác báo cáo — mô tả docs 'Chưa làm').</t>
        </is>
      </c>
      <c r="M53" s="15" t="inlineStr"/>
      <c r="N53" s="18" t="inlineStr">
        <is>
          <t>Chưa test</t>
        </is>
      </c>
      <c r="O53" s="15" t="inlineStr"/>
      <c r="P53" s="15" t="inlineStr"/>
      <c r="Q53" s="18" t="inlineStr">
        <is>
          <t>Chưa test</t>
        </is>
      </c>
      <c r="R53" s="15" t="inlineStr"/>
    </row>
    <row r="54" ht="45" customHeight="1">
      <c r="A54" s="14" t="inlineStr">
        <is>
          <t>TC-ADMIN-053</t>
        </is>
      </c>
      <c r="B54" s="15" t="inlineStr">
        <is>
          <t>Quản trị &amp; Vận hành hệ thống</t>
        </is>
      </c>
      <c r="C54" s="15" t="inlineStr">
        <is>
          <t>Xử lý báo cáo</t>
        </is>
      </c>
      <c r="D54" s="15" t="inlineStr">
        <is>
          <t>Người bị ban qua báo cáo không tham gia lại được; sau khi cadmin bỏ ban thì tham gia lại được</t>
        </is>
      </c>
      <c r="E54" s="15" t="inlineStr">
        <is>
          <t>Chức năng</t>
        </is>
      </c>
      <c r="F54" s="16" t="inlineStr">
        <is>
          <t>Cao</t>
        </is>
      </c>
      <c r="G54" s="17" t="inlineStr">
        <is>
          <t>Đã hoàn thiện</t>
        </is>
      </c>
      <c r="H54" s="17" t="inlineStr">
        <is>
          <t>Có</t>
        </is>
      </c>
      <c r="I54" s="15" t="inlineStr">
        <is>
          <t>Đã chạy `npm run db:reset` (Postgres :5435 + seed), BE :4000, FE :5173. User X đã bị ban khỏi photo qua báo cáo (case ban_member). cadmin đăng nhập.</t>
        </is>
      </c>
      <c r="J54" s="15" t="inlineStr">
        <is>
          <t>1. X: POST /api/courses/photo/enroll
2. cadmin: DELETE /api/courses/photo/members/&lt;X&gt;/ban
3. X: POST /api/courses/photo/enroll</t>
        </is>
      </c>
      <c r="K54" s="15" t="inlineStr">
        <is>
          <t>-</t>
        </is>
      </c>
      <c r="L54" s="15" t="inlineStr">
        <is>
          <t>Lần 1: 403 FORBIDDEN "Bạn đã bị cấm khỏi cộng đồng này". Bỏ ban: 200 {banned:false}. Lần 3: 200 {enrolled:true}.</t>
        </is>
      </c>
      <c r="M54" s="15" t="inlineStr"/>
      <c r="N54" s="18" t="inlineStr">
        <is>
          <t>Chưa test</t>
        </is>
      </c>
      <c r="O54" s="15" t="inlineStr"/>
      <c r="P54" s="15" t="inlineStr"/>
      <c r="Q54" s="18" t="inlineStr">
        <is>
          <t>Chưa test</t>
        </is>
      </c>
      <c r="R54" s="15" t="inlineStr"/>
    </row>
    <row r="55" ht="45" customHeight="1">
      <c r="A55" s="14" t="inlineStr">
        <is>
          <t>TC-ADMIN-054</t>
        </is>
      </c>
      <c r="B55" s="15" t="inlineStr">
        <is>
          <t>Quản trị &amp; Vận hành hệ thống</t>
        </is>
      </c>
      <c r="C55" s="15" t="inlineStr">
        <is>
          <t>Xử lý báo cáo</t>
        </is>
      </c>
      <c r="D55" s="15" t="inlineStr">
        <is>
          <t>UI: mod bấm Cấm thành viên phải xác nhận trong hộp thoại "Cấm thành viên?"</t>
        </is>
      </c>
      <c r="E55" s="15" t="inlineStr">
        <is>
          <t>Giao diện</t>
        </is>
      </c>
      <c r="F55" s="20" t="inlineStr">
        <is>
          <t>Trung bình</t>
        </is>
      </c>
      <c r="G55" s="17" t="inlineStr">
        <is>
          <t>Đã hoàn thiện</t>
        </is>
      </c>
      <c r="H55" s="17" t="inlineStr">
        <is>
          <t>Có</t>
        </is>
      </c>
      <c r="I55" s="15" t="inlineStr">
        <is>
          <t>Đã chạy `npm run db:reset` (Postgres :5435 + seed), BE :4000, FE :5173. Đăng nhập cadmin; có báo cáo open về user X (thành viên thường).</t>
        </is>
      </c>
      <c r="J55" s="15" t="inlineStr">
        <is>
          <t>1. Mở /courses/photo/community/kiem-duyet, tab Đang chờ
2. Bấm "Cấm thành viên"
3. Bấm hủy rồi lặp lại và xác nhận</t>
        </is>
      </c>
      <c r="K55" s="15" t="inlineStr">
        <is>
          <t>-</t>
        </is>
      </c>
      <c r="L55" s="15" t="inlineStr">
        <is>
          <t>Hộp thoại xác nhận tiêu đề "Cấm thành viên?" nút "Cấm thành viên"; bấm hủy → báo cáo vẫn Đang chờ; xác nhận → báo cáo chuyển sang tab "Đã xử lý" với nhãn "Đã cấm thành viên".</t>
        </is>
      </c>
      <c r="M55" s="15" t="inlineStr"/>
      <c r="N55" s="18" t="inlineStr">
        <is>
          <t>Chưa test</t>
        </is>
      </c>
      <c r="O55" s="15" t="inlineStr"/>
      <c r="P55" s="15" t="inlineStr"/>
      <c r="Q55" s="18" t="inlineStr">
        <is>
          <t>Chưa test</t>
        </is>
      </c>
      <c r="R55" s="15" t="inlineStr"/>
    </row>
    <row r="56" ht="45" customHeight="1">
      <c r="A56" s="14" t="inlineStr">
        <is>
          <t>TC-ADMIN-055</t>
        </is>
      </c>
      <c r="B56" s="15" t="inlineStr">
        <is>
          <t>Quản trị &amp; Vận hành hệ thống</t>
        </is>
      </c>
      <c r="C56" s="15" t="inlineStr">
        <is>
          <t>Khu quản trị nền tảng</t>
        </is>
      </c>
      <c r="D56" s="15" t="inlineStr">
        <is>
          <t>Platform Admin thấy mục "Quản trị" trong menu avatar và trang /admin có 4 tab</t>
        </is>
      </c>
      <c r="E56" s="15" t="inlineStr">
        <is>
          <t>Giao diện</t>
        </is>
      </c>
      <c r="F56" s="16" t="inlineStr">
        <is>
          <t>Cao</t>
        </is>
      </c>
      <c r="G56" s="17" t="inlineStr">
        <is>
          <t>Đã hoàn thiện</t>
        </is>
      </c>
      <c r="H56" s="17" t="inlineStr">
        <is>
          <t>Có</t>
        </is>
      </c>
      <c r="I56" s="15" t="inlineStr">
        <is>
          <t>Đã chạy `npm run db:reset` (Postgres :5435 + seed), BE :4000, FE :5173. Đăng nhập admin@sofinhub.test / Passw0rd!x (PLATFORM_ADMIN_EMAILS chứa email này).</t>
        </is>
      </c>
      <c r="J56" s="15" t="inlineStr">
        <is>
          <t>1. Bấm avatar ở Header
2. Chọn "Quản trị"
3. Kiểm các tab</t>
        </is>
      </c>
      <c r="K56" s="15" t="inlineStr">
        <is>
          <t>-</t>
        </is>
      </c>
      <c r="L56" s="15" t="inlineStr">
        <is>
          <t>Menu có "Quản trị" → /admin, tiêu đề "Quản trị nền tảng", 4 tab: "Hoàn tiền", "Rút tiền", "Báo cáo vi phạm", "Khóa cộng đồng" (mặc định Hoàn tiền). Trong lúc kiểm quyền hiện "Đang kiểm tra quyền…".</t>
        </is>
      </c>
      <c r="M56" s="15" t="inlineStr"/>
      <c r="N56" s="18" t="inlineStr">
        <is>
          <t>Chưa test</t>
        </is>
      </c>
      <c r="O56" s="15" t="inlineStr"/>
      <c r="P56" s="15" t="inlineStr"/>
      <c r="Q56" s="18" t="inlineStr">
        <is>
          <t>Chưa test</t>
        </is>
      </c>
      <c r="R56" s="15" t="inlineStr"/>
    </row>
    <row r="57" ht="30" customHeight="1">
      <c r="A57" s="14" t="inlineStr">
        <is>
          <t>TC-ADMIN-056</t>
        </is>
      </c>
      <c r="B57" s="15" t="inlineStr">
        <is>
          <t>Quản trị &amp; Vận hành hệ thống</t>
        </is>
      </c>
      <c r="C57" s="15" t="inlineStr">
        <is>
          <t>Khu quản trị nền tảng</t>
        </is>
      </c>
      <c r="D57" s="15" t="inlineStr">
        <is>
          <t>Owner/member mở /admin thấy thông báo không có quyền và không có mục "Quản trị" trong menu</t>
        </is>
      </c>
      <c r="E57" s="15" t="inlineStr">
        <is>
          <t>Bảo mật</t>
        </is>
      </c>
      <c r="F57" s="16" t="inlineStr">
        <is>
          <t>Cao</t>
        </is>
      </c>
      <c r="G57" s="17" t="inlineStr">
        <is>
          <t>Đã hoàn thiện</t>
        </is>
      </c>
      <c r="H57" s="17" t="inlineStr">
        <is>
          <t>Có</t>
        </is>
      </c>
      <c r="I57" s="15" t="inlineStr">
        <is>
          <t>Đã chạy `npm run db:reset` (Postgres :5435 + seed), BE :4000, FE :5173. Lần lượt đăng nhập owner@ và member1@.</t>
        </is>
      </c>
      <c r="J57" s="15" t="inlineStr">
        <is>
          <t>1. Bấm avatar, kiểm menu
2. Mở thẳng /admin</t>
        </is>
      </c>
      <c r="K57" s="15" t="inlineStr">
        <is>
          <t>-</t>
        </is>
      </c>
      <c r="L57" s="15" t="inlineStr">
        <is>
          <t>Không có mục "Quản trị"; /admin hiển thị "Bạn không có quyền truy cập khu vực quản trị." và không hiện tab nào. Chưa đăng nhập → màn hình yêu cầu đăng nhập (RequireLogin).</t>
        </is>
      </c>
      <c r="M57" s="15" t="inlineStr"/>
      <c r="N57" s="18" t="inlineStr">
        <is>
          <t>Chưa test</t>
        </is>
      </c>
      <c r="O57" s="15" t="inlineStr"/>
      <c r="P57" s="15" t="inlineStr"/>
      <c r="Q57" s="18" t="inlineStr">
        <is>
          <t>Chưa test</t>
        </is>
      </c>
      <c r="R57" s="15" t="inlineStr"/>
    </row>
    <row r="58" ht="30" customHeight="1">
      <c r="A58" s="14" t="inlineStr">
        <is>
          <t>TC-ADMIN-057</t>
        </is>
      </c>
      <c r="B58" s="15" t="inlineStr">
        <is>
          <t>Quản trị &amp; Vận hành hệ thống</t>
        </is>
      </c>
      <c r="C58" s="15" t="inlineStr">
        <is>
          <t>Khu quản trị nền tảng</t>
        </is>
      </c>
      <c r="D58" s="15" t="inlineStr">
        <is>
          <t>FE xác định admin bằng GET /api/admin/refunds?page=1&amp;limit=1: 200 với admin, 403 với người khác</t>
        </is>
      </c>
      <c r="E58" s="15" t="inlineStr">
        <is>
          <t>Bảo mật</t>
        </is>
      </c>
      <c r="F58" s="20" t="inlineStr">
        <is>
          <t>Trung bình</t>
        </is>
      </c>
      <c r="G58" s="17" t="inlineStr">
        <is>
          <t>Đã hoàn thiện</t>
        </is>
      </c>
      <c r="H58" s="17" t="inlineStr">
        <is>
          <t>Có</t>
        </is>
      </c>
      <c r="I58" s="15" t="inlineStr">
        <is>
          <t>Đã chạy `npm run db:reset` (Postgres :5435 + seed), BE :4000, FE :5173. Token admin, owner, khách.</t>
        </is>
      </c>
      <c r="J58" s="15" t="inlineStr">
        <is>
          <t>1. GET /api/admin/refunds?page=1&amp;limit=1 với từng token</t>
        </is>
      </c>
      <c r="K58" s="15" t="inlineStr">
        <is>
          <t>-</t>
        </is>
      </c>
      <c r="L58" s="15" t="inlineStr">
        <is>
          <t>admin: 200 {data,meta}; owner: 403 FORBIDDEN ("Chỉ Platform Admin mới có quyền này"); khách: 401 UNAUTHORIZED ("Vui lòng đăng nhập để tiếp tục"). (Chưa có cờ admin trong /auth/me — ghi chú BE thiếu.)</t>
        </is>
      </c>
      <c r="M58" s="15" t="inlineStr"/>
      <c r="N58" s="18" t="inlineStr">
        <is>
          <t>Chưa test</t>
        </is>
      </c>
      <c r="O58" s="15" t="inlineStr"/>
      <c r="P58" s="15" t="inlineStr"/>
      <c r="Q58" s="18" t="inlineStr">
        <is>
          <t>Chưa test</t>
        </is>
      </c>
      <c r="R58" s="15" t="inlineStr"/>
    </row>
    <row r="59" ht="30" customHeight="1">
      <c r="A59" s="14" t="inlineStr">
        <is>
          <t>TC-ADMIN-058</t>
        </is>
      </c>
      <c r="B59" s="15" t="inlineStr">
        <is>
          <t>Quản trị &amp; Vận hành hệ thống</t>
        </is>
      </c>
      <c r="C59" s="15" t="inlineStr">
        <is>
          <t>Khu quản trị nền tảng</t>
        </is>
      </c>
      <c r="D59" s="15" t="inlineStr">
        <is>
          <t>Platform Admin khóa cộng đồng: 200, owner nhận thông báo kèm lý do</t>
        </is>
      </c>
      <c r="E59" s="15" t="inlineStr">
        <is>
          <t>Chức năng</t>
        </is>
      </c>
      <c r="F59" s="16" t="inlineStr">
        <is>
          <t>Cao</t>
        </is>
      </c>
      <c r="G59" s="17" t="inlineStr">
        <is>
          <t>Đã hoàn thiện</t>
        </is>
      </c>
      <c r="H59" s="17" t="inlineStr">
        <is>
          <t>Có</t>
        </is>
      </c>
      <c r="I59" s="15" t="inlineStr">
        <is>
          <t>Đã chạy `npm run db:reset` (Postgres :5435 + seed), BE :4000, FE :5173. admin đăng nhập. Nên khóa cộng đồng thử do user Z tạo (POST /api/communities) để không ảnh hưởng seed; nếu khóa photo thì phải mở khóa sau test.</t>
        </is>
      </c>
      <c r="J59" s="15" t="inlineStr">
        <is>
          <t>1. POST /api/admin/courses/&lt;id&gt;/lock
2. Owner Z: GET /api/notifications</t>
        </is>
      </c>
      <c r="K59" s="15" t="inlineStr">
        <is>
          <t>Body {"reason":"Vi phạm chính sách nền tảng"}</t>
        </is>
      </c>
      <c r="L59" s="15" t="inlineStr">
        <is>
          <t>200 {data:{id, locked:true, reason:"Vi phạm chính sách nền tảng"}}; owner nhận thông báo system "Cộng đồng bị khóa", nội dung có "Lý do: Vi phạm chính sách nền tảng".</t>
        </is>
      </c>
      <c r="M59" s="15" t="inlineStr"/>
      <c r="N59" s="18" t="inlineStr">
        <is>
          <t>Chưa test</t>
        </is>
      </c>
      <c r="O59" s="15" t="inlineStr"/>
      <c r="P59" s="15" t="inlineStr"/>
      <c r="Q59" s="18" t="inlineStr">
        <is>
          <t>Chưa test</t>
        </is>
      </c>
      <c r="R59" s="15" t="inlineStr"/>
    </row>
    <row r="60" ht="60" customHeight="1">
      <c r="A60" s="14" t="inlineStr">
        <is>
          <t>TC-ADMIN-059</t>
        </is>
      </c>
      <c r="B60" s="15" t="inlineStr">
        <is>
          <t>Quản trị &amp; Vận hành hệ thống</t>
        </is>
      </c>
      <c r="C60" s="15" t="inlineStr">
        <is>
          <t>Khu quản trị nền tảng</t>
        </is>
      </c>
      <c r="D60" s="15" t="inlineStr">
        <is>
          <t>Cộng đồng bị khóa: member vào bị COMMUNITY_LOCKED, bị ẩn khỏi danh sách, chi tiết vẫn xem được</t>
        </is>
      </c>
      <c r="E60" s="15" t="inlineStr">
        <is>
          <t>Chức năng</t>
        </is>
      </c>
      <c r="F60" s="16" t="inlineStr">
        <is>
          <t>Cao</t>
        </is>
      </c>
      <c r="G60" s="17" t="inlineStr">
        <is>
          <t>Đã hoàn thiện</t>
        </is>
      </c>
      <c r="H60" s="17" t="inlineStr">
        <is>
          <t>Có</t>
        </is>
      </c>
      <c r="I60" s="15" t="inlineStr">
        <is>
          <t>Đã chạy `npm run db:reset` (Postgres :5435 + seed), BE :4000, FE :5173. Cộng đồng thử C (do Z tạo, Z là owner, thêm member M) đã bị admin khóa.</t>
        </is>
      </c>
      <c r="J60" s="15" t="inlineStr">
        <is>
          <t>1. M: GET /api/courses/C/posts
2. M: POST /api/courses/C/enroll (toggle)
3. Z (owner): GET /api/courses/C/posts
4. Khách: GET /api/courses (danh sách) và GET /api/courses/C</t>
        </is>
      </c>
      <c r="K60" s="15" t="inlineStr">
        <is>
          <t>-</t>
        </is>
      </c>
      <c r="L60"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60" s="15" t="inlineStr"/>
      <c r="N60" s="18" t="inlineStr">
        <is>
          <t>Chưa test</t>
        </is>
      </c>
      <c r="O60" s="15" t="inlineStr"/>
      <c r="P60" s="15" t="inlineStr"/>
      <c r="Q60" s="18" t="inlineStr">
        <is>
          <t>Chưa test</t>
        </is>
      </c>
      <c r="R60" s="15" t="inlineStr"/>
    </row>
    <row r="61" ht="60" customHeight="1">
      <c r="A61" s="14" t="inlineStr">
        <is>
          <t>TC-ADMIN-060</t>
        </is>
      </c>
      <c r="B61" s="15" t="inlineStr">
        <is>
          <t>Quản trị &amp; Vận hành hệ thống</t>
        </is>
      </c>
      <c r="C61" s="15" t="inlineStr">
        <is>
          <t>Khu quản trị nền tảng</t>
        </is>
      </c>
      <c r="D61" s="15" t="inlineStr">
        <is>
          <t>Validate lý do khóa: rỗng/khoảng trắng và &gt; 500 ký tự bị 400; id sai 404</t>
        </is>
      </c>
      <c r="E61" s="15" t="inlineStr">
        <is>
          <t>Chức năng</t>
        </is>
      </c>
      <c r="F61" s="20" t="inlineStr">
        <is>
          <t>Trung bình</t>
        </is>
      </c>
      <c r="G61" s="17" t="inlineStr">
        <is>
          <t>Đã hoàn thiện</t>
        </is>
      </c>
      <c r="H61" s="17" t="inlineStr">
        <is>
          <t>Có</t>
        </is>
      </c>
      <c r="I61" s="15" t="inlineStr">
        <is>
          <t>Đã chạy `npm run db:reset` (Postgres :5435 + seed), BE :4000, FE :5173. admin đăng nhập.</t>
        </is>
      </c>
      <c r="J61" s="15" t="inlineStr">
        <is>
          <t>1. POST lock với reason=""
2. reason="   "
3. reason dài 501 ký tự
4. POST /api/admin/courses/khong-co/lock {reason:'x'}</t>
        </is>
      </c>
      <c r="K61" s="15" t="inlineStr">
        <is>
          <t>reason ∈ {'', '   ', 'a'×501}</t>
        </is>
      </c>
      <c r="L61" s="15" t="inlineStr">
        <is>
          <t>Ba lần đầu: 400 VALIDATION_ERROR ("Vui lòng nhập lý do" / max 500); lần cuối: 404 NOT_FOUND. Không cộng đồng nào bị khóa. Ghi chú: BE min 1 ký tự nhưng UI yêu cầu &gt;= 3 ký tự.</t>
        </is>
      </c>
      <c r="M61" s="15" t="inlineStr"/>
      <c r="N61" s="18" t="inlineStr">
        <is>
          <t>Chưa test</t>
        </is>
      </c>
      <c r="O61" s="15" t="inlineStr"/>
      <c r="P61" s="15" t="inlineStr"/>
      <c r="Q61" s="18" t="inlineStr">
        <is>
          <t>Chưa test</t>
        </is>
      </c>
      <c r="R61" s="15" t="inlineStr"/>
    </row>
    <row r="62" ht="45" customHeight="1">
      <c r="A62" s="14" t="inlineStr">
        <is>
          <t>TC-ADMIN-061</t>
        </is>
      </c>
      <c r="B62" s="15" t="inlineStr">
        <is>
          <t>Quản trị &amp; Vận hành hệ thống</t>
        </is>
      </c>
      <c r="C62" s="15" t="inlineStr">
        <is>
          <t>Khu quản trị nền tảng</t>
        </is>
      </c>
      <c r="D62" s="15" t="inlineStr">
        <is>
          <t>Mở khóa cộng đồng: hoạt động trở lại, không cần lý do, gọi lại khi chưa khóa vẫn 200</t>
        </is>
      </c>
      <c r="E62" s="15" t="inlineStr">
        <is>
          <t>Chức năng</t>
        </is>
      </c>
      <c r="F62" s="20" t="inlineStr">
        <is>
          <t>Trung bình</t>
        </is>
      </c>
      <c r="G62" s="17" t="inlineStr">
        <is>
          <t>Đã hoàn thiện</t>
        </is>
      </c>
      <c r="H62" s="17" t="inlineStr">
        <is>
          <t>Có</t>
        </is>
      </c>
      <c r="I62" s="15" t="inlineStr">
        <is>
          <t>Đã chạy `npm run db:reset` (Postgres :5435 + seed), BE :4000, FE :5173. Cộng đồng C đang bị khóa; admin đăng nhập.</t>
        </is>
      </c>
      <c r="J62" s="15" t="inlineStr">
        <is>
          <t>1. POST /api/admin/courses/C/unlock
2. M: GET /api/courses/C/posts
3. POST unlock lần 2</t>
        </is>
      </c>
      <c r="K62" s="15" t="inlineStr">
        <is>
          <t>-</t>
        </is>
      </c>
      <c r="L62" s="15" t="inlineStr">
        <is>
          <t>200 {id, locked:false}; M vào bình thường (200); owner nhận thông báo "Cộng đồng đã được mở khóa"; unlock lần 2 vẫn 200 (idempotent).</t>
        </is>
      </c>
      <c r="M62" s="15" t="inlineStr"/>
      <c r="N62" s="18" t="inlineStr">
        <is>
          <t>Chưa test</t>
        </is>
      </c>
      <c r="O62" s="15" t="inlineStr"/>
      <c r="P62" s="15" t="inlineStr"/>
      <c r="Q62" s="18" t="inlineStr">
        <is>
          <t>Chưa test</t>
        </is>
      </c>
      <c r="R62" s="15" t="inlineStr"/>
    </row>
    <row r="63" ht="60" customHeight="1">
      <c r="A63" s="14" t="inlineStr">
        <is>
          <t>TC-ADMIN-062</t>
        </is>
      </c>
      <c r="B63" s="15" t="inlineStr">
        <is>
          <t>Quản trị &amp; Vận hành hệ thống</t>
        </is>
      </c>
      <c r="C63" s="15" t="inlineStr">
        <is>
          <t>Khu quản trị nền tảng</t>
        </is>
      </c>
      <c r="D63" s="15" t="inlineStr">
        <is>
          <t>Chỉ Platform Admin khóa/mở khóa: owner của chính cộng đồng cũng bị 403</t>
        </is>
      </c>
      <c r="E63" s="15" t="inlineStr">
        <is>
          <t>Bảo mật</t>
        </is>
      </c>
      <c r="F63" s="16" t="inlineStr">
        <is>
          <t>Cao</t>
        </is>
      </c>
      <c r="G63" s="17" t="inlineStr">
        <is>
          <t>Đã hoàn thiện</t>
        </is>
      </c>
      <c r="H63" s="17" t="inlineStr">
        <is>
          <t>Có</t>
        </is>
      </c>
      <c r="I63" s="15" t="inlineStr">
        <is>
          <t>Đã chạy `npm run db:reset` (Postgres :5435 + seed), BE :4000, FE :5173. owner@ (owner photo), cadmin, khách.</t>
        </is>
      </c>
      <c r="J63" s="15" t="inlineStr">
        <is>
          <t>1. POST /api/admin/courses/photo/lock {reason:'x'} bằng owner
2. Bằng cadmin
3. POST /api/admin/courses/photo/unlock bằng owner
4. Không token</t>
        </is>
      </c>
      <c r="K63" s="15" t="inlineStr">
        <is>
          <t>Body {"reason":"thử"}</t>
        </is>
      </c>
      <c r="L63" s="15" t="inlineStr">
        <is>
          <t>owner, cadmin: 403 FORBIDDEN ("Chỉ Platform Admin mới có quyền này"); khách: 401 UNAUTHORIZED ("Vui lòng đăng nhập để tiếp tục"); photo không bị khóa (GET /api/courses/photo/posts vẫn 200 với member1).</t>
        </is>
      </c>
      <c r="M63" s="15" t="inlineStr"/>
      <c r="N63" s="18" t="inlineStr">
        <is>
          <t>Chưa test</t>
        </is>
      </c>
      <c r="O63" s="15" t="inlineStr"/>
      <c r="P63" s="15" t="inlineStr"/>
      <c r="Q63" s="18" t="inlineStr">
        <is>
          <t>Chưa test</t>
        </is>
      </c>
      <c r="R63" s="15" t="inlineStr"/>
    </row>
    <row r="64" ht="75" customHeight="1">
      <c r="A64" s="14" t="inlineStr">
        <is>
          <t>TC-ADMIN-063</t>
        </is>
      </c>
      <c r="B64" s="15" t="inlineStr">
        <is>
          <t>Quản trị &amp; Vận hành hệ thống</t>
        </is>
      </c>
      <c r="C64" s="15" t="inlineStr">
        <is>
          <t>Khu quản trị nền tảng</t>
        </is>
      </c>
      <c r="D64" s="15" t="inlineStr">
        <is>
          <t>UI tab "Khóa cộng đồng": nhập id/slug + lý do rồi Khóa, sau đó Mở khóa</t>
        </is>
      </c>
      <c r="E64" s="15" t="inlineStr">
        <is>
          <t>Giao diện</t>
        </is>
      </c>
      <c r="F64" s="20" t="inlineStr">
        <is>
          <t>Trung bình</t>
        </is>
      </c>
      <c r="G64" s="17" t="inlineStr">
        <is>
          <t>Đã hoàn thiện</t>
        </is>
      </c>
      <c r="H64" s="17" t="inlineStr">
        <is>
          <t>Có</t>
        </is>
      </c>
      <c r="I64" s="15" t="inlineStr">
        <is>
          <t>Đã chạy `npm run db:reset` (Postgres :5435 + seed), BE :4000, FE :5173. admin đăng nhập; cộng đồng thử C tồn tại.</t>
        </is>
      </c>
      <c r="J64" s="15" t="inlineStr">
        <is>
          <t>1. Vào /admin → tab "Khóa cộng đồng"
2. Nhập id C và lý do 2 ký tự → thử Khóa
3. Nhập lý do &gt;= 3 ký tự → Khóa cộng đồng
4. Nhập id sai → Khóa
5. Bấm Mở khóa</t>
        </is>
      </c>
      <c r="K64" s="15" t="inlineStr">
        <is>
          <t>lý do 'ab' rồi 'Vi phạm nội quy'; id sai 'xyz-khong-co'</t>
        </is>
      </c>
      <c r="L64" s="15" t="inlineStr">
        <is>
          <t>Lý do quá ngắn bị chặn ở FE; khóa hợp lệ hiện thông báo thành công; id sai → hiện lỗi 404 ("Không tìm thấy..."); Mở khóa không đòi lý do.</t>
        </is>
      </c>
      <c r="M64" s="15" t="inlineStr"/>
      <c r="N64" s="18" t="inlineStr">
        <is>
          <t>Chưa test</t>
        </is>
      </c>
      <c r="O64" s="15" t="inlineStr"/>
      <c r="P64" s="15" t="inlineStr"/>
      <c r="Q64" s="18" t="inlineStr">
        <is>
          <t>Chưa test</t>
        </is>
      </c>
      <c r="R64" s="15" t="inlineStr"/>
    </row>
    <row r="65" ht="60" customHeight="1">
      <c r="A65" s="14" t="inlineStr">
        <is>
          <t>TC-ADMIN-064</t>
        </is>
      </c>
      <c r="B65" s="15" t="inlineStr">
        <is>
          <t>Quản trị &amp; Vận hành hệ thống</t>
        </is>
      </c>
      <c r="C65" s="15" t="inlineStr">
        <is>
          <t>Khu quản trị nền tảng</t>
        </is>
      </c>
      <c r="D65" s="15" t="inlineStr">
        <is>
          <t>Admin lọc và xem yêu cầu hoàn tiền: pending/approved/rejected khớp seed</t>
        </is>
      </c>
      <c r="E65" s="15" t="inlineStr">
        <is>
          <t>Chức năng</t>
        </is>
      </c>
      <c r="F65" s="20" t="inlineStr">
        <is>
          <t>Trung bình</t>
        </is>
      </c>
      <c r="G65" s="17" t="inlineStr">
        <is>
          <t>Đã hoàn thiện</t>
        </is>
      </c>
      <c r="H65" s="17" t="inlineStr">
        <is>
          <t>Có</t>
        </is>
      </c>
      <c r="I65" s="15" t="inlineStr">
        <is>
          <t>Đã chạy `npm run db:reset` (Postgres :5435 + seed), BE :4000, FE :5173. admin đăng nhập. Seed paid-demo: seed-refund-pending (chờ duyệt, member minh họa #2) và seed-refund-approved (đã duyệt).</t>
        </is>
      </c>
      <c r="J65" s="15" t="inlineStr">
        <is>
          <t>1. GET /api/admin/refunds?status=pending
2. GET /api/admin/refunds?status=approved
3. GET /api/admin/refunds?status=xyz
4. UI /admin tab Hoàn tiền: đổi bộ lọc Chờ duyệt/Đã duyệt/Từ chối/Tất cả</t>
        </is>
      </c>
      <c r="K65" s="15" t="inlineStr">
        <is>
          <t>-</t>
        </is>
      </c>
      <c r="L65" s="15" t="inlineStr">
        <is>
          <t>pending chứa seed-refund-pending; approved chứa seed-refund-approved; status=xyz → 400 VALIDATION_ERROR; UI hiển thị đúng theo bộ lọc, mỗi yêu cầu chờ duyệt có nút "Duyệt hoàn tiền" và "Từ chối".</t>
        </is>
      </c>
      <c r="M65" s="15" t="inlineStr"/>
      <c r="N65" s="18" t="inlineStr">
        <is>
          <t>Chưa test</t>
        </is>
      </c>
      <c r="O65" s="15" t="inlineStr"/>
      <c r="P65" s="15" t="inlineStr"/>
      <c r="Q65" s="18" t="inlineStr">
        <is>
          <t>Chưa test</t>
        </is>
      </c>
      <c r="R65" s="15" t="inlineStr"/>
    </row>
    <row r="66" ht="30" customHeight="1">
      <c r="A66" s="14" t="inlineStr">
        <is>
          <t>TC-ADMIN-065</t>
        </is>
      </c>
      <c r="B66" s="15" t="inlineStr">
        <is>
          <t>Quản trị &amp; Vận hành hệ thống</t>
        </is>
      </c>
      <c r="C66" s="15" t="inlineStr">
        <is>
          <t>Khu quản trị nền tảng</t>
        </is>
      </c>
      <c r="D66" s="15" t="inlineStr">
        <is>
          <t>Admin duyệt hoàn tiền yêu cầu chờ: giao dịch thành Đã hoàn tiền, gói bị hủy, người mua nhận thông báo</t>
        </is>
      </c>
      <c r="E66" s="15" t="inlineStr">
        <is>
          <t>Chức năng</t>
        </is>
      </c>
      <c r="F66" s="16" t="inlineStr">
        <is>
          <t>Cao</t>
        </is>
      </c>
      <c r="G66" s="17" t="inlineStr">
        <is>
          <t>Đã hoàn thiện</t>
        </is>
      </c>
      <c r="H66" s="17" t="inlineStr">
        <is>
          <t>Có</t>
        </is>
      </c>
      <c r="I66" s="15" t="inlineStr">
        <is>
          <t>Đã chạy `npm run db:reset` (Postgres :5435 + seed), BE :4000, FE :5173. admin đăng nhập; yêu cầu seed-refund-pending thuộc giao dịch seed-pay-pendref (cổng MockGateway luôn chấp nhận).</t>
        </is>
      </c>
      <c r="J66" s="15" t="inlineStr">
        <is>
          <t>1. PATCH /api/admin/refunds/seed-refund-pending {action:'approve', note:'Đồng ý'}
2. GET /api/admin/refunds?status=approved</t>
        </is>
      </c>
      <c r="K66" s="15" t="inlineStr">
        <is>
          <t>Body {"action":"approve","note":"Đồng ý"}</t>
        </is>
      </c>
      <c r="L66"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66" s="15" t="inlineStr"/>
      <c r="N66" s="18" t="inlineStr">
        <is>
          <t>Chưa test</t>
        </is>
      </c>
      <c r="O66" s="15" t="inlineStr"/>
      <c r="P66" s="15" t="inlineStr"/>
      <c r="Q66" s="18" t="inlineStr">
        <is>
          <t>Chưa test</t>
        </is>
      </c>
      <c r="R66" s="15" t="inlineStr"/>
    </row>
    <row r="67" ht="30" customHeight="1">
      <c r="A67" s="14" t="inlineStr">
        <is>
          <t>TC-ADMIN-066</t>
        </is>
      </c>
      <c r="B67" s="15" t="inlineStr">
        <is>
          <t>Quản trị &amp; Vận hành hệ thống</t>
        </is>
      </c>
      <c r="C67" s="15" t="inlineStr">
        <is>
          <t>Khu quản trị nền tảng</t>
        </is>
      </c>
      <c r="D67" s="15" t="inlineStr">
        <is>
          <t>Admin từ chối hoàn tiền kèm ghi chú: giao dịch giữ nguyên, người mua nhận lý do</t>
        </is>
      </c>
      <c r="E67" s="15" t="inlineStr">
        <is>
          <t>Chức năng</t>
        </is>
      </c>
      <c r="F67" s="20" t="inlineStr">
        <is>
          <t>Trung bình</t>
        </is>
      </c>
      <c r="G67" s="17" t="inlineStr">
        <is>
          <t>Đã hoàn thiện</t>
        </is>
      </c>
      <c r="H67" s="17" t="inlineStr">
        <is>
          <t>Có</t>
        </is>
      </c>
      <c r="I67"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67" s="15" t="inlineStr">
        <is>
          <t>1. PATCH /api/admin/refunds/&lt;id&gt; {action:'reject', note:'Quá hạn'}
2. member1: GET /api/notifications</t>
        </is>
      </c>
      <c r="K67" s="15" t="inlineStr">
        <is>
          <t>Body {"action":"reject","note":"Quá hạn"}</t>
        </is>
      </c>
      <c r="L67" s="15" t="inlineStr">
        <is>
          <t>200; status="rejected"; giao dịch vẫn succeeded; member1 nhận thông báo system "Yêu cầu hoàn tiền bị từ chối", nội dung "Lý do: Quá hạn".</t>
        </is>
      </c>
      <c r="M67" s="15" t="inlineStr"/>
      <c r="N67" s="18" t="inlineStr">
        <is>
          <t>Chưa test</t>
        </is>
      </c>
      <c r="O67" s="15" t="inlineStr"/>
      <c r="P67" s="15" t="inlineStr"/>
      <c r="Q67" s="18" t="inlineStr">
        <is>
          <t>Chưa test</t>
        </is>
      </c>
      <c r="R67" s="15" t="inlineStr"/>
    </row>
    <row r="68" ht="60" customHeight="1">
      <c r="A68" s="14" t="inlineStr">
        <is>
          <t>TC-ADMIN-067</t>
        </is>
      </c>
      <c r="B68" s="15" t="inlineStr">
        <is>
          <t>Quản trị &amp; Vận hành hệ thống</t>
        </is>
      </c>
      <c r="C68" s="15" t="inlineStr">
        <is>
          <t>Khu quản trị nền tảng</t>
        </is>
      </c>
      <c r="D68" s="15" t="inlineStr">
        <is>
          <t>Xử lý lại yêu cầu hoàn tiền đã xử lý → 409; id sai → 404; action sai → 400; owner → 403</t>
        </is>
      </c>
      <c r="E68" s="15" t="inlineStr">
        <is>
          <t>Chức năng</t>
        </is>
      </c>
      <c r="F68" s="20" t="inlineStr">
        <is>
          <t>Trung bình</t>
        </is>
      </c>
      <c r="G68" s="17" t="inlineStr">
        <is>
          <t>Đã hoàn thiện</t>
        </is>
      </c>
      <c r="H68" s="17" t="inlineStr">
        <is>
          <t>Có</t>
        </is>
      </c>
      <c r="I68" s="15" t="inlineStr">
        <is>
          <t>Đã chạy `npm run db:reset` (Postgres :5435 + seed), BE :4000, FE :5173. Yêu cầu seed-refund-approved (đã duyệt). admin và owner đăng nhập.</t>
        </is>
      </c>
      <c r="J68" s="15" t="inlineStr">
        <is>
          <t>1. admin: PATCH /api/admin/refunds/seed-refund-approved {action:'approve'}
2. admin: PATCH /api/admin/refunds/khong-co {action:'approve'}
3. admin: PATCH ... {action:'xoa'}
4. owner: PATCH /api/admin/refunds/seed-refund-pending {action:'approve'}</t>
        </is>
      </c>
      <c r="K68" s="15" t="inlineStr">
        <is>
          <t>-</t>
        </is>
      </c>
      <c r="L68" s="15" t="inlineStr">
        <is>
          <t>409 CONFLICT "Yêu cầu này đã được xử lý"; 404 "Không tìm thấy yêu cầu hoàn tiền"; 400 VALIDATION_ERROR; owner: 403 FORBIDDEN ("Chỉ Platform Admin mới có quyền này").</t>
        </is>
      </c>
      <c r="M68" s="15" t="inlineStr"/>
      <c r="N68" s="18" t="inlineStr">
        <is>
          <t>Chưa test</t>
        </is>
      </c>
      <c r="O68" s="15" t="inlineStr"/>
      <c r="P68" s="15" t="inlineStr"/>
      <c r="Q68" s="18" t="inlineStr">
        <is>
          <t>Chưa test</t>
        </is>
      </c>
      <c r="R68" s="15" t="inlineStr"/>
    </row>
    <row r="69" ht="60" customHeight="1">
      <c r="A69" s="14" t="inlineStr">
        <is>
          <t>TC-ADMIN-068</t>
        </is>
      </c>
      <c r="B69" s="15" t="inlineStr">
        <is>
          <t>Quản trị &amp; Vận hành hệ thống</t>
        </is>
      </c>
      <c r="C69" s="15" t="inlineStr">
        <is>
          <t>Khu quản trị nền tảng</t>
        </is>
      </c>
      <c r="D69" s="15" t="inlineStr">
        <is>
          <t>Admin duyệt yêu cầu rút tiền: requested → approved → paid, owner nhận thông báo mỗi bước</t>
        </is>
      </c>
      <c r="E69" s="15" t="inlineStr">
        <is>
          <t>Chức năng</t>
        </is>
      </c>
      <c r="F69" s="16" t="inlineStr">
        <is>
          <t>Cao</t>
        </is>
      </c>
      <c r="G69" s="17" t="inlineStr">
        <is>
          <t>Đã hoàn thiện</t>
        </is>
      </c>
      <c r="H69" s="17" t="inlineStr">
        <is>
          <t>Có</t>
        </is>
      </c>
      <c r="I69" s="15" t="inlineStr">
        <is>
          <t>Đã chạy `npm run db:reset` (Postgres :5435 + seed), BE :4000, FE :5173. Payout seed-payout-pending ($50.00, requested, owner paid-demo, số TK ****4 số cuối). admin và owner đăng nhập.</t>
        </is>
      </c>
      <c r="J69" s="15" t="inlineStr">
        <is>
          <t>1. admin: PATCH /api/admin/payouts/seed-payout-pending {action:'approve'}
2. PATCH ... {action:'mark_paid', note:'Đã chuyển khoản'}
3. owner: GET /api/notifications
4. UI /admin tab Rút tiền: đổi bộ lọc</t>
        </is>
      </c>
      <c r="K69" s="15" t="inlineStr">
        <is>
          <t>-</t>
        </is>
      </c>
      <c r="L69" s="15" t="inlineStr">
        <is>
          <t>Bước 1: status="approved", owner nhận "Yêu cầu rút tiền đã được duyệt". Bước 2: status="paid", owner nhận "Đã chuyển tiền" với ****&lt;4 số cuối&gt;; UI hiện nút Duyệt/Từ chối chỉ ở trạng thái Đã yêu cầu.</t>
        </is>
      </c>
      <c r="M69" s="15" t="inlineStr"/>
      <c r="N69" s="18" t="inlineStr">
        <is>
          <t>Chưa test</t>
        </is>
      </c>
      <c r="O69" s="15" t="inlineStr"/>
      <c r="P69" s="15" t="inlineStr"/>
      <c r="Q69" s="18" t="inlineStr">
        <is>
          <t>Chưa test</t>
        </is>
      </c>
      <c r="R69" s="15" t="inlineStr"/>
    </row>
    <row r="70" ht="30" customHeight="1">
      <c r="A70" s="14" t="inlineStr">
        <is>
          <t>TC-ADMIN-069</t>
        </is>
      </c>
      <c r="B70" s="15" t="inlineStr">
        <is>
          <t>Quản trị &amp; Vận hành hệ thống</t>
        </is>
      </c>
      <c r="C70" s="15" t="inlineStr">
        <is>
          <t>Khu quản trị nền tảng</t>
        </is>
      </c>
      <c r="D70" s="15" t="inlineStr">
        <is>
          <t>Admin từ chối payout: số dư khả dụng của owner được hoàn lại</t>
        </is>
      </c>
      <c r="E70" s="15" t="inlineStr">
        <is>
          <t>Chức năng</t>
        </is>
      </c>
      <c r="F70" s="20" t="inlineStr">
        <is>
          <t>Trung bình</t>
        </is>
      </c>
      <c r="G70" s="17" t="inlineStr">
        <is>
          <t>Đã hoàn thiện</t>
        </is>
      </c>
      <c r="H70" s="17" t="inlineStr">
        <is>
          <t>Có</t>
        </is>
      </c>
      <c r="I70" s="15" t="inlineStr">
        <is>
          <t>Đã chạy `npm run db:reset` (Postgres :5435 + seed), BE :4000, FE :5173. Ghi lại availableBalanceCents từ GET /api/courses/paid-demo/revenue (owner). Payout seed-payout-pending đang requested ($50).</t>
        </is>
      </c>
      <c r="J70" s="15" t="inlineStr">
        <is>
          <t>1. admin: PATCH /api/admin/payouts/seed-payout-pending {action:'reject', note:'Sai thông tin TK'}
2. owner: GET /api/courses/paid-demo/revenue</t>
        </is>
      </c>
      <c r="K70" s="15" t="inlineStr">
        <is>
          <t>Body {"action":"reject","note":"Sai thông tin TK"}</t>
        </is>
      </c>
      <c r="L70" s="15" t="inlineStr">
        <is>
          <t>status="rejected"; availableBalanceCents tăng đúng 5000 cent so với trước; payoutRequestedCents giảm 5000; owner nhận thông báo "Yêu cầu rút tiền bị từ chối" với "Lý do: Sai thông tin TK".</t>
        </is>
      </c>
      <c r="M70" s="15" t="inlineStr"/>
      <c r="N70" s="18" t="inlineStr">
        <is>
          <t>Chưa test</t>
        </is>
      </c>
      <c r="O70" s="15" t="inlineStr"/>
      <c r="P70" s="15" t="inlineStr"/>
      <c r="Q70" s="18" t="inlineStr">
        <is>
          <t>Chưa test</t>
        </is>
      </c>
      <c r="R70" s="15" t="inlineStr"/>
    </row>
    <row r="71" ht="75" customHeight="1">
      <c r="A71" s="14" t="inlineStr">
        <is>
          <t>TC-ADMIN-070</t>
        </is>
      </c>
      <c r="B71" s="15" t="inlineStr">
        <is>
          <t>Quản trị &amp; Vận hành hệ thống</t>
        </is>
      </c>
      <c r="C71" s="15" t="inlineStr">
        <is>
          <t>Khu quản trị nền tảng</t>
        </is>
      </c>
      <c r="D71" s="15" t="inlineStr">
        <is>
          <t>Chuyển trạng thái payout sai thứ tự bị 409; owner/khách bị chặn</t>
        </is>
      </c>
      <c r="E71" s="15" t="inlineStr">
        <is>
          <t>Bảo mật</t>
        </is>
      </c>
      <c r="F71" s="20" t="inlineStr">
        <is>
          <t>Trung bình</t>
        </is>
      </c>
      <c r="G71" s="17" t="inlineStr">
        <is>
          <t>Đã hoàn thiện</t>
        </is>
      </c>
      <c r="H71" s="17" t="inlineStr">
        <is>
          <t>Có</t>
        </is>
      </c>
      <c r="I71" s="15" t="inlineStr">
        <is>
          <t>Đã chạy `npm run db:reset` (Postgres :5435 + seed), BE :4000, FE :5173. Payout seed-payout-paid (đã paid). admin, owner đăng nhập.</t>
        </is>
      </c>
      <c r="J71" s="15" t="inlineStr">
        <is>
          <t>1. admin: PATCH /api/admin/payouts/seed-payout-paid {action:'approve'}
2. admin: {action:'reject'}
3. admin: PATCH /api/admin/payouts/khong-co {action:'approve'}
4. owner: PATCH /api/admin/payouts/seed-payout-pending {action:'approve'}
5. owner: GET /api/admin/payouts</t>
        </is>
      </c>
      <c r="K71" s="15" t="inlineStr">
        <is>
          <t>-</t>
        </is>
      </c>
      <c r="L71" s="15" t="inlineStr">
        <is>
          <t>approve → 409 "Chỉ duyệt được yêu cầu đang chờ"; reject → 409 "Yêu cầu đã được xử lý xong"; id lạ → 404 "Không tìm thấy yêu cầu rút tiền"; owner: 403 FORBIDDEN ("Chỉ Platform Admin mới có quyền này").</t>
        </is>
      </c>
      <c r="M71" s="15" t="inlineStr"/>
      <c r="N71" s="18" t="inlineStr">
        <is>
          <t>Chưa test</t>
        </is>
      </c>
      <c r="O71" s="15" t="inlineStr"/>
      <c r="P71" s="15" t="inlineStr"/>
      <c r="Q71" s="18" t="inlineStr">
        <is>
          <t>Chưa test</t>
        </is>
      </c>
      <c r="R71" s="15" t="inlineStr"/>
    </row>
    <row r="72" ht="60" customHeight="1">
      <c r="A72" s="14" t="inlineStr">
        <is>
          <t>TC-ADMIN-071</t>
        </is>
      </c>
      <c r="B72" s="15" t="inlineStr">
        <is>
          <t>Quản trị &amp; Vận hành hệ thống</t>
        </is>
      </c>
      <c r="C72" s="15" t="inlineStr">
        <is>
          <t>Khu quản trị nền tảng</t>
        </is>
      </c>
      <c r="D72" s="15" t="inlineStr">
        <is>
          <t>PLATFORM_ADMIN_EMAILS: thêm owner@ vào biến môi trường và restart thì owner có quyền admin nền tảng</t>
        </is>
      </c>
      <c r="E72" s="15" t="inlineStr">
        <is>
          <t>Bảo mật</t>
        </is>
      </c>
      <c r="F72" s="16" t="inlineStr">
        <is>
          <t>Cao</t>
        </is>
      </c>
      <c r="G72" s="17" t="inlineStr">
        <is>
          <t>Đã hoàn thiện</t>
        </is>
      </c>
      <c r="H72" s="16" t="inlineStr">
        <is>
          <t>Không</t>
        </is>
      </c>
      <c r="I72" s="15" t="inlineStr">
        <is>
          <t>Có quyền sửa `backend/.env`. Ban đầu PLATFORM_ADMIN_EMAILS=admin@sofinhub.test.</t>
        </is>
      </c>
      <c r="J72" s="15" t="inlineStr">
        <is>
          <t>1. Sửa PLATFORM_ADMIN_EMAILS=admin@sofinhub.test,owner@sofinhub.test rồi restart BE
2. owner: GET /api/admin/refunds
3. Ghi chú: thử biến viết hoa 'Admin@SofinHub.test' và có khoảng trắng quanh dấu phẩy
4. Khôi phục .env</t>
        </is>
      </c>
      <c r="K72" s="15" t="inlineStr">
        <is>
          <t>Danh sách email phân cách bằng dấu phẩy</t>
        </is>
      </c>
      <c r="L72" s="15" t="inlineStr">
        <is>
          <t>owner: 200 và thấy mục "Quản trị"; chuẩn hóa lowercase + trim nên email viết hoa/khoảng trắng vẫn khớp; sau khi khôi phục và restart, owner lại 403.</t>
        </is>
      </c>
      <c r="M72" s="15" t="inlineStr"/>
      <c r="N72" s="18" t="inlineStr">
        <is>
          <t>Chưa test</t>
        </is>
      </c>
      <c r="O72" s="15" t="inlineStr"/>
      <c r="P72" s="15" t="inlineStr"/>
      <c r="Q72" s="18" t="inlineStr">
        <is>
          <t>Chưa test</t>
        </is>
      </c>
      <c r="R72" s="15" t="inlineStr"/>
    </row>
    <row r="73" ht="45" customHeight="1">
      <c r="A73" s="14" t="inlineStr">
        <is>
          <t>TC-ADMIN-072</t>
        </is>
      </c>
      <c r="B73" s="15" t="inlineStr">
        <is>
          <t>Quản trị &amp; Vận hành hệ thống</t>
        </is>
      </c>
      <c r="C73" s="15" t="inlineStr">
        <is>
          <t>Khu quản trị nền tảng</t>
        </is>
      </c>
      <c r="D73" s="15" t="inlineStr">
        <is>
          <t>PLATFORM_ADMIN_EMAILS rỗng: không ai là Platform Admin kể cả admin@sofinhub.test</t>
        </is>
      </c>
      <c r="E73" s="15" t="inlineStr">
        <is>
          <t>Bảo mật</t>
        </is>
      </c>
      <c r="F73" s="20" t="inlineStr">
        <is>
          <t>Trung bình</t>
        </is>
      </c>
      <c r="G73" s="17" t="inlineStr">
        <is>
          <t>Đã hoàn thiện</t>
        </is>
      </c>
      <c r="H73" s="16" t="inlineStr">
        <is>
          <t>Không</t>
        </is>
      </c>
      <c r="I73" s="15" t="inlineStr">
        <is>
          <t>Có quyền sửa backend/.env.</t>
        </is>
      </c>
      <c r="J73" s="15" t="inlineStr">
        <is>
          <t>1. Đặt PLATFORM_ADMIN_EMAILS= (rỗng) và restart
2. admin: GET /api/admin/refunds
3. admin: POST /api/admin/courses/photo/lock</t>
        </is>
      </c>
      <c r="K73" s="15" t="inlineStr">
        <is>
          <t>-</t>
        </is>
      </c>
      <c r="L73" s="15" t="inlineStr">
        <is>
          <t>Cả hai: 403 FORBIDDEN ("Chỉ Platform Admin mới có quyền này"); /admin hiện "Bạn không có quyền truy cập khu vực quản trị."; token cũ vẫn hợp lệ nhưng không còn đặc quyền (quyền tính từ env mỗi request).</t>
        </is>
      </c>
      <c r="M73" s="15" t="inlineStr"/>
      <c r="N73" s="18" t="inlineStr">
        <is>
          <t>Chưa test</t>
        </is>
      </c>
      <c r="O73" s="15" t="inlineStr"/>
      <c r="P73" s="15" t="inlineStr"/>
      <c r="Q73" s="18" t="inlineStr">
        <is>
          <t>Chưa test</t>
        </is>
      </c>
      <c r="R73" s="15" t="inlineStr"/>
    </row>
    <row r="74" ht="45" customHeight="1">
      <c r="A74" s="14" t="inlineStr">
        <is>
          <t>TC-ADMIN-073</t>
        </is>
      </c>
      <c r="B74" s="15" t="inlineStr">
        <is>
          <t>Quản trị &amp; Vận hành hệ thống</t>
        </is>
      </c>
      <c r="C74" s="15" t="inlineStr">
        <is>
          <t>Khu quản trị nền tảng</t>
        </is>
      </c>
      <c r="D74" s="15" t="inlineStr">
        <is>
          <t>Rủi ro chiếm quyền: email trong PLATFORM_ADMIN_EMAILS chưa có tài khoản — ai đăng ký trước sẽ thành Platform Admin</t>
        </is>
      </c>
      <c r="E74" s="15" t="inlineStr">
        <is>
          <t>Bảo mật</t>
        </is>
      </c>
      <c r="F74" s="16" t="inlineStr">
        <is>
          <t>Cao</t>
        </is>
      </c>
      <c r="G74" s="17" t="inlineStr">
        <is>
          <t>Đã hoàn thiện</t>
        </is>
      </c>
      <c r="H74" s="17" t="inlineStr">
        <is>
          <t>Có</t>
        </is>
      </c>
      <c r="I74" s="15" t="inlineStr">
        <is>
          <t>Môi trường thử: đặt PLATFORM_ADMIN_EMAILS=chiemquyen@sofinhub.test (chưa có tài khoản) rồi restart BE.</t>
        </is>
      </c>
      <c r="J74" s="15" t="inlineStr">
        <is>
          <t>1. POST /api/auth/register với email chiemquyen@sofinhub.test, mật khẩu hợp lệ
2. GET /api/admin/refunds với access token vừa nhận
3. GET /api/dev/outbox?to=... chưa xác thực email</t>
        </is>
      </c>
      <c r="K74" s="15" t="inlineStr">
        <is>
          <t>Body {"firstName":"Kẻ","lastName":"Lạ","email":"chiemquyen@sofinhub.test","password":"Passw0rd!x"}</t>
        </is>
      </c>
      <c r="L74"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74" s="15" t="inlineStr"/>
      <c r="N74" s="18" t="inlineStr">
        <is>
          <t>Chưa test</t>
        </is>
      </c>
      <c r="O74" s="15" t="inlineStr"/>
      <c r="P74" s="15" t="inlineStr"/>
      <c r="Q74" s="18" t="inlineStr">
        <is>
          <t>Chưa test</t>
        </is>
      </c>
      <c r="R74" s="15" t="inlineStr"/>
    </row>
    <row r="75" ht="30" customHeight="1">
      <c r="A75" s="14" t="inlineStr">
        <is>
          <t>TC-ADMIN-074</t>
        </is>
      </c>
      <c r="B75" s="15" t="inlineStr">
        <is>
          <t>Quản trị &amp; Vận hành hệ thống</t>
        </is>
      </c>
      <c r="C75" s="15" t="inlineStr">
        <is>
          <t>Khu quản trị nền tảng</t>
        </is>
      </c>
      <c r="D75" s="15" t="inlineStr">
        <is>
          <t>Tổng quan số liệu toàn nền tảng (người dùng, cộng đồng, giao dịch, báo cáo) trên /admin</t>
        </is>
      </c>
      <c r="E75" s="15" t="inlineStr">
        <is>
          <t>Chức năng</t>
        </is>
      </c>
      <c r="F75" s="20" t="inlineStr">
        <is>
          <t>Trung bình</t>
        </is>
      </c>
      <c r="G75" s="20" t="inlineStr">
        <is>
          <t>Kế hoạch</t>
        </is>
      </c>
      <c r="H75" s="17" t="inlineStr">
        <is>
          <t>Có</t>
        </is>
      </c>
      <c r="I75" s="15" t="inlineStr">
        <is>
          <t>Chưa làm: /admin hiện chỉ có 4 tab (Hoàn tiền, Rút tiền, Báo cáo vi phạm, Khóa cộng đồng); chưa có endpoint thống kê tổng quan.</t>
        </is>
      </c>
      <c r="J75" s="15" t="inlineStr">
        <is>
          <t>1. Đăng nhập admin, mở /admin
2. Tìm thẻ thống kê tổng quan</t>
        </is>
      </c>
      <c r="K75" s="15" t="inlineStr">
        <is>
          <t>-</t>
        </is>
      </c>
      <c r="L75" s="15" t="inlineStr">
        <is>
          <t>Khi làm xong: hiển thị tổng người dùng, cộng đồng, giao dịch, báo cáo đang chờ, khớp COUNT trong DB.</t>
        </is>
      </c>
      <c r="M75" s="15" t="inlineStr"/>
      <c r="N75" s="18" t="inlineStr">
        <is>
          <t>Chưa test</t>
        </is>
      </c>
      <c r="O75" s="15" t="inlineStr"/>
      <c r="P75" s="15" t="inlineStr"/>
      <c r="Q75" s="18" t="inlineStr">
        <is>
          <t>Chưa test</t>
        </is>
      </c>
      <c r="R75" s="15" t="inlineStr"/>
    </row>
    <row r="76" ht="30" customHeight="1">
      <c r="A76" s="14" t="inlineStr">
        <is>
          <t>TC-ADMIN-075</t>
        </is>
      </c>
      <c r="B76" s="15" t="inlineStr">
        <is>
          <t>Quản trị &amp; Vận hành hệ thống</t>
        </is>
      </c>
      <c r="C76" s="15" t="inlineStr">
        <is>
          <t>Khu quản trị nền tảng</t>
        </is>
      </c>
      <c r="D76" s="15" t="inlineStr">
        <is>
          <t>Danh sách và tìm kiếm người dùng/cộng đồng toàn nền tảng cho Platform Admin</t>
        </is>
      </c>
      <c r="E76" s="15" t="inlineStr">
        <is>
          <t>Chức năng</t>
        </is>
      </c>
      <c r="F76" s="20" t="inlineStr">
        <is>
          <t>Trung bình</t>
        </is>
      </c>
      <c r="G76" s="20" t="inlineStr">
        <is>
          <t>Kế hoạch</t>
        </is>
      </c>
      <c r="H76" s="17" t="inlineStr">
        <is>
          <t>Có</t>
        </is>
      </c>
      <c r="I76" s="15" t="inlineStr">
        <is>
          <t>Chưa làm: không có endpoint admin liệt kê người dùng/cộng đồng (chỉ lock/unlock theo id và hàng đợi báo cáo/hoàn tiền/rút tiền).</t>
        </is>
      </c>
      <c r="J76" s="15" t="inlineStr">
        <is>
          <t>1. Đăng nhập admin
2. Vào tab Người dùng / Cộng đồng, tìm theo tên, email, id</t>
        </is>
      </c>
      <c r="K76" s="15" t="inlineStr">
        <is>
          <t>-</t>
        </is>
      </c>
      <c r="L76" s="15" t="inlineStr">
        <is>
          <t>Khi làm xong: danh sách phân trang, tìm được theo email, hiển thị trạng thái khóa; chỉ Platform Admin gọi được (403 với người khác).</t>
        </is>
      </c>
      <c r="M76" s="15" t="inlineStr"/>
      <c r="N76" s="18" t="inlineStr">
        <is>
          <t>Chưa test</t>
        </is>
      </c>
      <c r="O76" s="15" t="inlineStr"/>
      <c r="P76" s="15" t="inlineStr"/>
      <c r="Q76" s="18" t="inlineStr">
        <is>
          <t>Chưa test</t>
        </is>
      </c>
      <c r="R76" s="15" t="inlineStr"/>
    </row>
    <row r="77" ht="30" customHeight="1">
      <c r="A77" s="14" t="inlineStr">
        <is>
          <t>TC-ADMIN-076</t>
        </is>
      </c>
      <c r="B77" s="15" t="inlineStr">
        <is>
          <t>Quản trị &amp; Vận hành hệ thống</t>
        </is>
      </c>
      <c r="C77" s="15" t="inlineStr">
        <is>
          <t>Khu quản trị nền tảng</t>
        </is>
      </c>
      <c r="D77" s="15" t="inlineStr">
        <is>
          <t>Ban tài khoản trên toàn nền tảng (khác với ban trong một cộng đồng)</t>
        </is>
      </c>
      <c r="E77" s="15" t="inlineStr">
        <is>
          <t>Bảo mật</t>
        </is>
      </c>
      <c r="F77" s="16" t="inlineStr">
        <is>
          <t>Cao</t>
        </is>
      </c>
      <c r="G77" s="20" t="inlineStr">
        <is>
          <t>Kế hoạch</t>
        </is>
      </c>
      <c r="H77" s="17" t="inlineStr">
        <is>
          <t>Có</t>
        </is>
      </c>
      <c r="I77" s="15" t="inlineStr">
        <is>
          <t>Chưa làm: chỉ có ban theo cộng đồng (CommunityBan). Chưa có cờ ban toàn cục nên tài khoản vi phạm nặng vẫn đăng nhập được.</t>
        </is>
      </c>
      <c r="J77" s="15" t="inlineStr">
        <is>
          <t>1. Admin ban user X toàn nền tảng
2. X đăng nhập; X dùng access token cũ</t>
        </is>
      </c>
      <c r="K77" s="15" t="inlineStr">
        <is>
          <t>-</t>
        </is>
      </c>
      <c r="L77" s="15" t="inlineStr">
        <is>
          <t>Khi làm xong: đăng nhập bị từ chối với thông báo rõ ràng; access token/refresh token đang có bị thu hồi ngay (401); X không tham gia lại được cộng đồng nào.</t>
        </is>
      </c>
      <c r="M77" s="15" t="inlineStr"/>
      <c r="N77" s="18" t="inlineStr">
        <is>
          <t>Chưa test</t>
        </is>
      </c>
      <c r="O77" s="15" t="inlineStr"/>
      <c r="P77" s="15" t="inlineStr"/>
      <c r="Q77" s="18" t="inlineStr">
        <is>
          <t>Chưa test</t>
        </is>
      </c>
      <c r="R77" s="15" t="inlineStr"/>
    </row>
    <row r="78" ht="30" customHeight="1">
      <c r="A78" s="14" t="inlineStr">
        <is>
          <t>TC-ADMIN-077</t>
        </is>
      </c>
      <c r="B78" s="15" t="inlineStr">
        <is>
          <t>Quản trị &amp; Vận hành hệ thống</t>
        </is>
      </c>
      <c r="C78" s="15" t="inlineStr">
        <is>
          <t>Đa ngôn ngữ</t>
        </is>
      </c>
      <c r="D78" s="15" t="inlineStr">
        <is>
          <t>Nút ngôn ngữ trên topbar cộng đồng hiện là nhãn tĩnh "VI", chưa chuyển được ngôn ngữ</t>
        </is>
      </c>
      <c r="E78" s="15" t="inlineStr">
        <is>
          <t>Giao diện</t>
        </is>
      </c>
      <c r="F78" s="17" t="inlineStr">
        <is>
          <t>Thấp</t>
        </is>
      </c>
      <c r="G78" s="20" t="inlineStr">
        <is>
          <t>Kế hoạch</t>
        </is>
      </c>
      <c r="H78" s="17" t="inlineStr">
        <is>
          <t>Có</t>
        </is>
      </c>
      <c r="I78" s="15" t="inlineStr">
        <is>
          <t>Chưa làm: FE chưa có thư viện i18n; CommunityTopbar chỉ hiển thị biểu tượng ngôn ngữ và chữ "VI" (ẩn dưới màn hình md). index.html lang="vi".</t>
        </is>
      </c>
      <c r="J78" s="15" t="inlineStr">
        <is>
          <t>1. Mở /courses/photo/community bằng màn hình &gt;= 768px
2. Bấm vào cụm biểu tượng ngôn ngữ "VI"</t>
        </is>
      </c>
      <c r="K78" s="15" t="inlineStr">
        <is>
          <t>-</t>
        </is>
      </c>
      <c r="L78" s="15" t="inlineStr">
        <is>
          <t>Hiện tại: bấm không có tác dụng, không có menu chọn ngôn ngữ. Khi làm xong: đổi toàn bộ giao diện sang English, lưu lựa chọn (localStorage/tài khoản) và giữ sau khi đăng xuất/đăng nhập lại.</t>
        </is>
      </c>
      <c r="M78" s="15" t="inlineStr"/>
      <c r="N78" s="18" t="inlineStr">
        <is>
          <t>Chưa test</t>
        </is>
      </c>
      <c r="O78" s="15" t="inlineStr"/>
      <c r="P78" s="15" t="inlineStr"/>
      <c r="Q78" s="18" t="inlineStr">
        <is>
          <t>Chưa test</t>
        </is>
      </c>
      <c r="R78" s="15" t="inlineStr"/>
    </row>
    <row r="79" ht="45" customHeight="1">
      <c r="A79" s="14" t="inlineStr">
        <is>
          <t>TC-ADMIN-078</t>
        </is>
      </c>
      <c r="B79" s="15" t="inlineStr">
        <is>
          <t>Quản trị &amp; Vận hành hệ thống</t>
        </is>
      </c>
      <c r="C79" s="15" t="inlineStr">
        <is>
          <t>Đa ngôn ngữ</t>
        </is>
      </c>
      <c r="D79" s="15" t="inlineStr">
        <is>
          <t>Ngôn ngữ cộng đồng (language vi/en của cộng đồng) khác với ngôn ngữ giao diện</t>
        </is>
      </c>
      <c r="E79" s="15" t="inlineStr">
        <is>
          <t>Chức năng</t>
        </is>
      </c>
      <c r="F79" s="17" t="inlineStr">
        <is>
          <t>Thấp</t>
        </is>
      </c>
      <c r="G79" s="17" t="inlineStr">
        <is>
          <t>Đã hoàn thiện</t>
        </is>
      </c>
      <c r="H79" s="17" t="inlineStr">
        <is>
          <t>Có</t>
        </is>
      </c>
      <c r="I79" s="15" t="inlineStr">
        <is>
          <t>Đã chạy `npm run db:reset` (Postgres :5435 + seed), BE :4000, FE :5173. owner đăng nhập; cộng đồng có trường language (LANGUAGES).</t>
        </is>
      </c>
      <c r="J79" s="15" t="inlineStr">
        <is>
          <t>1. PATCH /api/courses/photo {language:'en'} (bằng owner) rồi GET /api/courses/photo
2. Mở giao diện /courses/photo/community
3. Trả language về giá trị cũ</t>
        </is>
      </c>
      <c r="K79" s="15" t="inlineStr">
        <is>
          <t>Body {"language":"en"}</t>
        </is>
      </c>
      <c r="L79" s="15" t="inlineStr">
        <is>
          <t>API lưu language của cộng đồng (200, detail.language="en"); giao diện SofinHub vẫn tiếng Việt (language cộng đồng chỉ là metadata). Giá trị ngoài danh sách LANGUAGES → 400 VALIDATION_ERROR.</t>
        </is>
      </c>
      <c r="M79" s="15" t="inlineStr"/>
      <c r="N79" s="18" t="inlineStr">
        <is>
          <t>Chưa test</t>
        </is>
      </c>
      <c r="O79" s="15" t="inlineStr"/>
      <c r="P79" s="15" t="inlineStr"/>
      <c r="Q79" s="18" t="inlineStr">
        <is>
          <t>Chưa test</t>
        </is>
      </c>
      <c r="R79" s="15" t="inlineStr"/>
    </row>
  </sheetData>
  <autoFilter ref="A1:R79"/>
  <conditionalFormatting sqref="N2:N7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9" showDropDown="0" showInputMessage="0" showErrorMessage="0" allowBlank="1" type="list">
      <formula1>"Chưa test,Pass,Fail,Blocked,N/A"</formula1>
    </dataValidation>
    <dataValidation sqref="Q2:Q79" showDropDown="0" showInputMessage="0" showErrorMessage="0" allowBlank="1" type="list">
      <formula1>"Chưa test,Pass,Fail,Blocked,N/A"</formula1>
    </dataValidation>
    <dataValidation sqref="F2:F79" showDropDown="0" showInputMessage="0" showErrorMessage="0" allowBlank="1" type="list">
      <formula1>"Cao,Trung bình,Thấp"</formula1>
    </dataValidation>
    <dataValidation sqref="G2:G79" showDropDown="0" showInputMessage="0" showErrorMessage="0" allowBlank="1" type="list">
      <formula1>"Đã hoàn thiện,Kế hoạch"</formula1>
    </dataValidation>
    <dataValidation sqref="H2:H7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2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TC-ADM-012</t>
        </is>
      </c>
      <c r="B13" s="15" t="inlineStr">
        <is>
          <t>Admin Console (đợt 1)</t>
        </is>
      </c>
      <c r="C13" s="15" t="inlineStr">
        <is>
          <t>Phân quyền truy cập</t>
        </is>
      </c>
      <c r="D13" s="15" t="inlineStr">
        <is>
          <t>Giao diện: owner vào /admin thấy thông báo không có quyền</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owner@sofinhub.test / Passw0rd!x.</t>
        </is>
      </c>
      <c r="J13" s="15" t="inlineStr">
        <is>
          <t>1. Mở http://localhost:5173/admin
2. Thử tiếp /admin/users và /admin/moderation</t>
        </is>
      </c>
      <c r="K13" s="15" t="inlineStr">
        <is>
          <t>owner@sofinhub.test</t>
        </is>
      </c>
      <c r="L13" s="15" t="inlineStr">
        <is>
          <t>Mọi trang /admin/* hiện 'Bạn không có quyền truy cập khu vực quản trị.' (khung có thông báo, không có sidebar admin, không có số liệu).</t>
        </is>
      </c>
      <c r="M13" s="15" t="inlineStr"/>
      <c r="N13" s="18" t="inlineStr">
        <is>
          <t>Chưa test</t>
        </is>
      </c>
      <c r="O13" s="15" t="inlineStr"/>
      <c r="P13" s="15" t="inlineStr"/>
      <c r="Q13" s="18" t="inlineStr">
        <is>
          <t>Chưa test</t>
        </is>
      </c>
      <c r="R13" s="15" t="inlineStr"/>
    </row>
    <row r="14" ht="30" customHeight="1">
      <c r="A14" s="14" t="inlineStr">
        <is>
          <t>TC-ADM-013</t>
        </is>
      </c>
      <c r="B14" s="15" t="inlineStr">
        <is>
          <t>Admin Console (đợt 1)</t>
        </is>
      </c>
      <c r="C14" s="15" t="inlineStr">
        <is>
          <t>Phân quyền truy cập</t>
        </is>
      </c>
      <c r="D14" s="15" t="inlineStr">
        <is>
          <t>Giao diện: cadmin vào /admin thấy thông báo không có quyền</t>
        </is>
      </c>
      <c r="E14" s="15" t="inlineStr">
        <is>
          <t>Chức năng</t>
        </is>
      </c>
      <c r="F14" s="16" t="inlineStr">
        <is>
          <t>Cao</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cadmin@sofinhub.test / Passw0rd!x.</t>
        </is>
      </c>
      <c r="J14" s="15" t="inlineStr">
        <is>
          <t>1. Mở http://localhost:5173/admin
2. Thử tiếp /admin/users và /admin/moderation</t>
        </is>
      </c>
      <c r="K14" s="15" t="inlineStr">
        <is>
          <t>cadmin@sofinhub.test</t>
        </is>
      </c>
      <c r="L14" s="15" t="inlineStr">
        <is>
          <t>Mọi trang /admin/* hiện 'Bạn không có quyền truy cập khu vực quản trị.' (khung có thông báo, không có sidebar admin, không có số liệu).</t>
        </is>
      </c>
      <c r="M14" s="15" t="inlineStr"/>
      <c r="N14" s="18" t="inlineStr">
        <is>
          <t>Chưa test</t>
        </is>
      </c>
      <c r="O14" s="15" t="inlineStr"/>
      <c r="P14" s="15" t="inlineStr"/>
      <c r="Q14" s="18" t="inlineStr">
        <is>
          <t>Chưa test</t>
        </is>
      </c>
      <c r="R14" s="15" t="inlineStr"/>
    </row>
    <row r="15" ht="30" customHeight="1">
      <c r="A15" s="14" t="inlineStr">
        <is>
          <t>TC-ADM-014</t>
        </is>
      </c>
      <c r="B15" s="15" t="inlineStr">
        <is>
          <t>Admin Console (đợt 1)</t>
        </is>
      </c>
      <c r="C15" s="15" t="inlineStr">
        <is>
          <t>Phân quyền truy cập</t>
        </is>
      </c>
      <c r="D15" s="15" t="inlineStr">
        <is>
          <t>Giao diện: admin vào /admin hiển thị khung quản trị đầy đủ</t>
        </is>
      </c>
      <c r="E15" s="15" t="inlineStr">
        <is>
          <t>Chức năng</t>
        </is>
      </c>
      <c r="F15" s="16" t="inlineStr">
        <is>
          <t>Cao</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5" s="15" t="inlineStr">
        <is>
          <t>1. Mở /admin</t>
        </is>
      </c>
      <c r="K15" s="15" t="inlineStr">
        <is>
          <t>-</t>
        </is>
      </c>
      <c r="L15" s="15" t="inlineStr">
        <is>
          <t>Hiện sidebar + topbar + trang 'Bảng điều khiển'; tên 'Platform Admin' ở menu tài khoản góc phải.</t>
        </is>
      </c>
      <c r="M15" s="15" t="inlineStr"/>
      <c r="N15" s="18" t="inlineStr">
        <is>
          <t>Chưa test</t>
        </is>
      </c>
      <c r="O15" s="15" t="inlineStr"/>
      <c r="P15" s="15" t="inlineStr"/>
      <c r="Q15" s="18" t="inlineStr">
        <is>
          <t>Chưa test</t>
        </is>
      </c>
      <c r="R15" s="15" t="inlineStr"/>
    </row>
    <row r="16" ht="30" customHeight="1">
      <c r="A16" s="14" t="inlineStr">
        <is>
          <t>TC-ADM-015</t>
        </is>
      </c>
      <c r="B16" s="15" t="inlineStr">
        <is>
          <t>Admin Console (đợt 1)</t>
        </is>
      </c>
      <c r="C16" s="15" t="inlineStr">
        <is>
          <t>Phân quyền truy cập</t>
        </is>
      </c>
      <c r="D16" s="15" t="inlineStr">
        <is>
          <t>/admin/reports (đường dẫn cũ) chuyển hướng sang /admin/moderation</t>
        </is>
      </c>
      <c r="E16" s="15" t="inlineStr">
        <is>
          <t>Chức năng</t>
        </is>
      </c>
      <c r="F16" s="20" t="inlineStr">
        <is>
          <t>Trung bình</t>
        </is>
      </c>
      <c r="G16" s="17" t="inlineStr">
        <is>
          <t>Đã hoàn thiện</t>
        </is>
      </c>
      <c r="H16" s="17" t="inlineStr">
        <is>
          <t>Có</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6" s="15" t="inlineStr">
        <is>
          <t>1. Mở http://localhost:5173/admin/reports</t>
        </is>
      </c>
      <c r="K16" s="15" t="inlineStr">
        <is>
          <t>-</t>
        </is>
      </c>
      <c r="L16" s="15" t="inlineStr">
        <is>
          <t>Địa chỉ đổi thành /admin/moderation, hiện 'Hàng đợi báo cáo'.</t>
        </is>
      </c>
      <c r="M16" s="15" t="inlineStr"/>
      <c r="N16" s="18" t="inlineStr">
        <is>
          <t>Chưa test</t>
        </is>
      </c>
      <c r="O16" s="15" t="inlineStr"/>
      <c r="P16" s="15" t="inlineStr"/>
      <c r="Q16" s="18" t="inlineStr">
        <is>
          <t>Chưa test</t>
        </is>
      </c>
      <c r="R16" s="15" t="inlineStr"/>
    </row>
    <row r="17" ht="30" customHeight="1">
      <c r="A17" s="14" t="inlineStr">
        <is>
          <t>TC-ADM-016</t>
        </is>
      </c>
      <c r="B17" s="15" t="inlineStr">
        <is>
          <t>Admin Console (đợt 1)</t>
        </is>
      </c>
      <c r="C17" s="15" t="inlineStr">
        <is>
          <t>Phân quyền truy cập</t>
        </is>
      </c>
      <c r="D17" s="15" t="inlineStr">
        <is>
          <t>Đường dẫn /admin/khong-ton-tai chuyển về /admin</t>
        </is>
      </c>
      <c r="E17" s="15" t="inlineStr">
        <is>
          <t>Chức năng</t>
        </is>
      </c>
      <c r="F17" s="17" t="inlineStr">
        <is>
          <t>Thấp</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7" s="15" t="inlineStr">
        <is>
          <t>1. Mở /admin/khong-ton-tai-xyz</t>
        </is>
      </c>
      <c r="K17" s="15" t="inlineStr">
        <is>
          <t>-</t>
        </is>
      </c>
      <c r="L17" s="15" t="inlineStr">
        <is>
          <t>Chuyển về /admin (Bảng điều khiển), không trắng trang/không lỗi.</t>
        </is>
      </c>
      <c r="M17" s="15" t="inlineStr"/>
      <c r="N17" s="18" t="inlineStr">
        <is>
          <t>Chưa test</t>
        </is>
      </c>
      <c r="O17" s="15" t="inlineStr"/>
      <c r="P17" s="15" t="inlineStr"/>
      <c r="Q17" s="18" t="inlineStr">
        <is>
          <t>Chưa test</t>
        </is>
      </c>
      <c r="R17" s="15" t="inlineStr"/>
    </row>
    <row r="18" ht="30" customHeight="1">
      <c r="A18" s="14" t="inlineStr">
        <is>
          <t>TC-ADM-017</t>
        </is>
      </c>
      <c r="B18" s="15" t="inlineStr">
        <is>
          <t>Admin Console (đợt 1)</t>
        </is>
      </c>
      <c r="C18" s="15" t="inlineStr">
        <is>
          <t>Phân quyền truy cập</t>
        </is>
      </c>
      <c r="D18" s="15" t="inlineStr">
        <is>
          <t>Token admin bị thu hồi (logout) thì /admin/me trả 401 ngay</t>
        </is>
      </c>
      <c r="E18" s="15" t="inlineStr">
        <is>
          <t>Bảo mật</t>
        </is>
      </c>
      <c r="F18" s="20" t="inlineStr">
        <is>
          <t>Trung bình</t>
        </is>
      </c>
      <c r="G18" s="17" t="inlineStr">
        <is>
          <t>Đã hoàn thiện</t>
        </is>
      </c>
      <c r="H18" s="20" t="inlineStr">
        <is>
          <t>Một phần</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8" s="15" t="inlineStr">
        <is>
          <t>1. POST /api/auth/logout (hoặc logout-all) bằng token admin
2. GET /api/admin/me với token cũ</t>
        </is>
      </c>
      <c r="K18" s="15" t="inlineStr">
        <is>
          <t>-</t>
        </is>
      </c>
      <c r="L18" s="15" t="inlineStr">
        <is>
          <t>401 UNAUTHORIZED ngay (cơ chế sid/tokenVersion), không chờ hết 15 phút.</t>
        </is>
      </c>
      <c r="M18" s="15" t="inlineStr"/>
      <c r="N18" s="18" t="inlineStr">
        <is>
          <t>Chưa test</t>
        </is>
      </c>
      <c r="O18" s="15" t="inlineStr"/>
      <c r="P18" s="15" t="inlineStr"/>
      <c r="Q18" s="18" t="inlineStr">
        <is>
          <t>Chưa test</t>
        </is>
      </c>
      <c r="R18" s="15" t="inlineStr"/>
    </row>
    <row r="19" ht="30" customHeight="1">
      <c r="A19" s="14" t="inlineStr">
        <is>
          <t>TC-ADM-018</t>
        </is>
      </c>
      <c r="B19" s="15" t="inlineStr">
        <is>
          <t>Admin Console (đợt 1)</t>
        </is>
      </c>
      <c r="C19" s="15" t="inlineStr">
        <is>
          <t>Khung admin: Sidebar &amp; Topbar</t>
        </is>
      </c>
      <c r="D19" s="15" t="inlineStr">
        <is>
          <t>Sidebar hiển thị đúng 10 nhóm menu theo thứ tự</t>
        </is>
      </c>
      <c r="E19" s="15" t="inlineStr">
        <is>
          <t>Giao diện</t>
        </is>
      </c>
      <c r="F19" s="16" t="inlineStr">
        <is>
          <t>Cao</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9" s="15" t="inlineStr">
        <is>
          <t>1. Mở /admin ở màn hình ≥1024px
2. Đọc danh sách nhóm ở sidebar</t>
        </is>
      </c>
      <c r="K19" s="15" t="inlineStr">
        <is>
          <t>-</t>
        </is>
      </c>
      <c r="L19" s="15" t="inlineStr">
        <is>
          <t>10 nhóm theo thứ tự: Tổng quan, Cộng đồng, Người dùng, Nội dung, Kiểm duyệt, Thanh toán, Khám phá, Phân tích, Hỗ trợ, Hệ thống; mỗi nhóm có icon; nhãn 100% tiếng Việt.</t>
        </is>
      </c>
      <c r="M19" s="15" t="inlineStr"/>
      <c r="N19" s="18" t="inlineStr">
        <is>
          <t>Chưa test</t>
        </is>
      </c>
      <c r="O19" s="15" t="inlineStr"/>
      <c r="P19" s="15" t="inlineStr"/>
      <c r="Q19" s="18" t="inlineStr">
        <is>
          <t>Chưa test</t>
        </is>
      </c>
      <c r="R19" s="15" t="inlineStr"/>
    </row>
    <row r="20" ht="30" customHeight="1">
      <c r="A20" s="14" t="inlineStr">
        <is>
          <t>TC-ADM-019</t>
        </is>
      </c>
      <c r="B20" s="15" t="inlineStr">
        <is>
          <t>Admin Console (đợt 1)</t>
        </is>
      </c>
      <c r="C20" s="15" t="inlineStr">
        <is>
          <t>Khung admin: Sidebar &amp; Topbar</t>
        </is>
      </c>
      <c r="D20" s="15" t="inlineStr">
        <is>
          <t>Nhóm 'Cộng đồng'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0" s="15" t="inlineStr">
        <is>
          <t>1. Mở /admin, bấm nhóm 'Cộng đồng' ở sidebar</t>
        </is>
      </c>
      <c r="K20" s="15" t="inlineStr">
        <is>
          <t>Cộng đồng</t>
        </is>
      </c>
      <c r="L20" s="15" t="inlineStr">
        <is>
          <t>Nhóm mở/đóng; các mục con: Danh sách cộng đồng, Xét duyệt, Tạm ngưng, Xóa / Khôi phục.</t>
        </is>
      </c>
      <c r="M20" s="15" t="inlineStr"/>
      <c r="N20" s="18" t="inlineStr">
        <is>
          <t>Chưa test</t>
        </is>
      </c>
      <c r="O20" s="15" t="inlineStr"/>
      <c r="P20" s="15" t="inlineStr"/>
      <c r="Q20" s="18" t="inlineStr">
        <is>
          <t>Chưa test</t>
        </is>
      </c>
      <c r="R20" s="15" t="inlineStr"/>
    </row>
    <row r="21" ht="30" customHeight="1">
      <c r="A21" s="14" t="inlineStr">
        <is>
          <t>TC-ADM-020</t>
        </is>
      </c>
      <c r="B21" s="15" t="inlineStr">
        <is>
          <t>Admin Console (đợt 1)</t>
        </is>
      </c>
      <c r="C21" s="15" t="inlineStr">
        <is>
          <t>Khung admin: Sidebar &amp; Topbar</t>
        </is>
      </c>
      <c r="D21" s="15" t="inlineStr">
        <is>
          <t>Nhóm 'Người dùng'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1" s="15" t="inlineStr">
        <is>
          <t>1. Mở /admin, bấm nhóm 'Người dùng' ở sidebar</t>
        </is>
      </c>
      <c r="K21" s="15" t="inlineStr">
        <is>
          <t>Người dùng</t>
        </is>
      </c>
      <c r="L21" s="15" t="inlineStr">
        <is>
          <t>Nhóm mở/đóng; các mục con: Tất cả người dùng, Hạn chế / Tạm ngưng, Cấm.</t>
        </is>
      </c>
      <c r="M21" s="15" t="inlineStr"/>
      <c r="N21" s="18" t="inlineStr">
        <is>
          <t>Chưa test</t>
        </is>
      </c>
      <c r="O21" s="15" t="inlineStr"/>
      <c r="P21" s="15" t="inlineStr"/>
      <c r="Q21" s="18" t="inlineStr">
        <is>
          <t>Chưa test</t>
        </is>
      </c>
      <c r="R21" s="15" t="inlineStr"/>
    </row>
    <row r="22" ht="30" customHeight="1">
      <c r="A22" s="14" t="inlineStr">
        <is>
          <t>TC-ADM-021</t>
        </is>
      </c>
      <c r="B22" s="15" t="inlineStr">
        <is>
          <t>Admin Console (đợt 1)</t>
        </is>
      </c>
      <c r="C22" s="15" t="inlineStr">
        <is>
          <t>Khung admin: Sidebar &amp; Topbar</t>
        </is>
      </c>
      <c r="D22" s="15" t="inlineStr">
        <is>
          <t>Nhóm 'Kiểm duyệt'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2" s="15" t="inlineStr">
        <is>
          <t>1. Mở /admin, bấm nhóm 'Kiểm duyệt' ở sidebar</t>
        </is>
      </c>
      <c r="K22" s="15" t="inlineStr">
        <is>
          <t>Kiểm duyệt</t>
        </is>
      </c>
      <c r="L22" s="15" t="inlineStr">
        <is>
          <t>Nhóm mở/đóng; các mục con: Hàng đợi báo cáo, Cảnh cáo, Gỡ nội dung, Tạm ngưng, Cấm.</t>
        </is>
      </c>
      <c r="M22" s="15" t="inlineStr"/>
      <c r="N22" s="18" t="inlineStr">
        <is>
          <t>Chưa test</t>
        </is>
      </c>
      <c r="O22" s="15" t="inlineStr"/>
      <c r="P22" s="15" t="inlineStr"/>
      <c r="Q22" s="18" t="inlineStr">
        <is>
          <t>Chưa test</t>
        </is>
      </c>
      <c r="R22" s="15" t="inlineStr"/>
    </row>
    <row r="23" ht="30" customHeight="1">
      <c r="A23" s="14" t="inlineStr">
        <is>
          <t>TC-ADM-022</t>
        </is>
      </c>
      <c r="B23" s="15" t="inlineStr">
        <is>
          <t>Admin Console (đợt 1)</t>
        </is>
      </c>
      <c r="C23" s="15" t="inlineStr">
        <is>
          <t>Khung admin: Sidebar &amp; Topbar</t>
        </is>
      </c>
      <c r="D23" s="15" t="inlineStr">
        <is>
          <t>Nhóm 'Thanh toán' mở ra đúng các mục con</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3" s="15" t="inlineStr">
        <is>
          <t>1. Mở /admin, bấm nhóm 'Thanh toán' ở sidebar</t>
        </is>
      </c>
      <c r="K23" s="15" t="inlineStr">
        <is>
          <t>Thanh toán</t>
        </is>
      </c>
      <c r="L23" s="15" t="inlineStr">
        <is>
          <t>Nhóm mở/đóng; các mục con: Giao dịch, Gói đăng ký, Hoàn tiền, Tranh chấp thanh toán, Doanh thu creator, Chi trả.</t>
        </is>
      </c>
      <c r="M23" s="15" t="inlineStr"/>
      <c r="N23" s="18" t="inlineStr">
        <is>
          <t>Chưa test</t>
        </is>
      </c>
      <c r="O23" s="15" t="inlineStr"/>
      <c r="P23" s="15" t="inlineStr"/>
      <c r="Q23" s="18" t="inlineStr">
        <is>
          <t>Chưa test</t>
        </is>
      </c>
      <c r="R23" s="15" t="inlineStr"/>
    </row>
    <row r="24" ht="30" customHeight="1">
      <c r="A24" s="14" t="inlineStr">
        <is>
          <t>TC-ADM-023</t>
        </is>
      </c>
      <c r="B24" s="15" t="inlineStr">
        <is>
          <t>Admin Console (đợt 1)</t>
        </is>
      </c>
      <c r="C24" s="15" t="inlineStr">
        <is>
          <t>Khung admin: Sidebar &amp; Topbar</t>
        </is>
      </c>
      <c r="D24" s="15" t="inlineStr">
        <is>
          <t>Nhóm 'Hệ thống' mở ra đúng các mục con</t>
        </is>
      </c>
      <c r="E24" s="15" t="inlineStr">
        <is>
          <t>Giao diện</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4" s="15" t="inlineStr">
        <is>
          <t>1. Mở /admin, bấm nhóm 'Hệ thống' ở sidebar</t>
        </is>
      </c>
      <c r="K24" s="15" t="inlineStr">
        <is>
          <t>Hệ thống</t>
        </is>
      </c>
      <c r="L24" s="15" t="inlineStr">
        <is>
          <t>Nhóm mở/đóng; các mục con: Tài khoản quản trị, Vai trò &amp; Quyền, Danh mục, Tính năng thử nghiệm, Tích hợp, Thông báo, Mẫu email, Nhật ký hoạt động, Cài đặt chung.</t>
        </is>
      </c>
      <c r="M24" s="15" t="inlineStr"/>
      <c r="N24" s="18" t="inlineStr">
        <is>
          <t>Chưa test</t>
        </is>
      </c>
      <c r="O24" s="15" t="inlineStr"/>
      <c r="P24" s="15" t="inlineStr"/>
      <c r="Q24" s="18" t="inlineStr">
        <is>
          <t>Chưa test</t>
        </is>
      </c>
      <c r="R24" s="15" t="inlineStr"/>
    </row>
    <row r="25" ht="45" customHeight="1">
      <c r="A25" s="14" t="inlineStr">
        <is>
          <t>TC-ADM-024</t>
        </is>
      </c>
      <c r="B25" s="15" t="inlineStr">
        <is>
          <t>Admin Console (đợt 1)</t>
        </is>
      </c>
      <c r="C25" s="15" t="inlineStr">
        <is>
          <t>Khung admin: Sidebar &amp; Topbar</t>
        </is>
      </c>
      <c r="D25" s="15" t="inlineStr">
        <is>
          <t>Mục đang xem được tô sáng và nhóm tương ứng tự mở</t>
        </is>
      </c>
      <c r="E25" s="15" t="inlineStr">
        <is>
          <t>Giao diện</t>
        </is>
      </c>
      <c r="F25" s="20" t="inlineStr">
        <is>
          <t>Trung bình</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5" s="15" t="inlineStr">
        <is>
          <t>1. Mở /admin/users/banned
2. Quan sát sidebar
3. Mở /admin/moderation/cases/&lt;id bất kỳ&gt; rồi quan sát</t>
        </is>
      </c>
      <c r="K25" s="15" t="inlineStr">
        <is>
          <t>-</t>
        </is>
      </c>
      <c r="L25" s="15" t="inlineStr">
        <is>
          <t>Với /admin/users/banned: nhóm 'Người dùng' mở, mục 'Cấm' được tô sáng. Với trang chi tiết vụ việc: nhóm 'Kiểm duyệt' mở, mục con đầu (Hàng đợi báo cáo) sáng; breadcrumb đúng.</t>
        </is>
      </c>
      <c r="M25" s="15" t="inlineStr"/>
      <c r="N25" s="18" t="inlineStr">
        <is>
          <t>Chưa test</t>
        </is>
      </c>
      <c r="O25" s="15" t="inlineStr"/>
      <c r="P25" s="15" t="inlineStr"/>
      <c r="Q25" s="18" t="inlineStr">
        <is>
          <t>Chưa test</t>
        </is>
      </c>
      <c r="R25" s="15" t="inlineStr"/>
    </row>
    <row r="26" ht="30" customHeight="1">
      <c r="A26" s="14" t="inlineStr">
        <is>
          <t>TC-ADM-025</t>
        </is>
      </c>
      <c r="B26" s="15" t="inlineStr">
        <is>
          <t>Admin Console (đợt 1)</t>
        </is>
      </c>
      <c r="C26" s="15" t="inlineStr">
        <is>
          <t>Khung admin: Sidebar &amp; Topbar</t>
        </is>
      </c>
      <c r="D26" s="15" t="inlineStr">
        <is>
          <t>Mục chưa làm /admin/content/posts hiện trang 'Sắp có' trong khung admin</t>
        </is>
      </c>
      <c r="E26" s="15" t="inlineStr">
        <is>
          <t>Giao diện</t>
        </is>
      </c>
      <c r="F26" s="17" t="inlineStr">
        <is>
          <t>Thấp</t>
        </is>
      </c>
      <c r="G26" s="17" t="inlineStr">
        <is>
          <t>Đã hoàn thiện</t>
        </is>
      </c>
      <c r="H26" s="17" t="inlineStr">
        <is>
          <t>Có</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6" s="15" t="inlineStr">
        <is>
          <t>1. Mở /admin/content/posts (hoặc bấm trong sidebar)</t>
        </is>
      </c>
      <c r="K26" s="15" t="inlineStr">
        <is>
          <t>content/posts</t>
        </is>
      </c>
      <c r="L26" s="15" t="inlineStr">
        <is>
          <t>Tiêu đề trang theo mục (Bài viết), dòng phụ 'Mục Nội dung › Bài viết sẽ có trong đợt phát triển sau.', khối 'Sắp có', nút 'Về tổng quan' -&gt; /admin. Sidebar/topbar vẫn hiển thị.</t>
        </is>
      </c>
      <c r="M26" s="15" t="inlineStr"/>
      <c r="N26" s="18" t="inlineStr">
        <is>
          <t>Chưa test</t>
        </is>
      </c>
      <c r="O26" s="15" t="inlineStr"/>
      <c r="P26" s="15" t="inlineStr"/>
      <c r="Q26" s="18" t="inlineStr">
        <is>
          <t>Chưa test</t>
        </is>
      </c>
      <c r="R26" s="15" t="inlineStr"/>
    </row>
    <row r="27" ht="30" customHeight="1">
      <c r="A27" s="14" t="inlineStr">
        <is>
          <t>TC-ADM-026</t>
        </is>
      </c>
      <c r="B27" s="15" t="inlineStr">
        <is>
          <t>Admin Console (đợt 1)</t>
        </is>
      </c>
      <c r="C27" s="15" t="inlineStr">
        <is>
          <t>Khung admin: Sidebar &amp; Topbar</t>
        </is>
      </c>
      <c r="D27" s="15" t="inlineStr">
        <is>
          <t>Mục chưa làm /admin/payments/tx hiện trang 'Sắp có' trong khung admin</t>
        </is>
      </c>
      <c r="E27" s="15" t="inlineStr">
        <is>
          <t>Giao diện</t>
        </is>
      </c>
      <c r="F27" s="17" t="inlineStr">
        <is>
          <t>Thấp</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7" s="15" t="inlineStr">
        <is>
          <t>1. Mở /admin/payments/tx (hoặc bấm trong sidebar)</t>
        </is>
      </c>
      <c r="K27" s="15" t="inlineStr">
        <is>
          <t>payments/tx</t>
        </is>
      </c>
      <c r="L27" s="15" t="inlineStr">
        <is>
          <t>Tiêu đề trang theo mục (Giao dịch), dòng phụ 'Mục Thanh toán › Giao dịch sẽ có trong đợt phát triển sau.', khối 'Sắp có', nút 'Về tổng quan' -&gt; /admin. Sidebar/topbar vẫn hiển thị.</t>
        </is>
      </c>
      <c r="M27" s="15" t="inlineStr"/>
      <c r="N27" s="18" t="inlineStr">
        <is>
          <t>Chưa test</t>
        </is>
      </c>
      <c r="O27" s="15" t="inlineStr"/>
      <c r="P27" s="15" t="inlineStr"/>
      <c r="Q27" s="18" t="inlineStr">
        <is>
          <t>Chưa test</t>
        </is>
      </c>
      <c r="R27" s="15" t="inlineStr"/>
    </row>
    <row r="28" ht="30" customHeight="1">
      <c r="A28" s="14" t="inlineStr">
        <is>
          <t>TC-ADM-027</t>
        </is>
      </c>
      <c r="B28" s="15" t="inlineStr">
        <is>
          <t>Admin Console (đợt 1)</t>
        </is>
      </c>
      <c r="C28" s="15" t="inlineStr">
        <is>
          <t>Khung admin: Sidebar &amp; Topbar</t>
        </is>
      </c>
      <c r="D28" s="15" t="inlineStr">
        <is>
          <t>Mục chưa làm /admin/discovery/listed hiện trang 'Sắp có' trong khung admin</t>
        </is>
      </c>
      <c r="E28" s="15" t="inlineStr">
        <is>
          <t>Giao diện</t>
        </is>
      </c>
      <c r="F28" s="17" t="inlineStr">
        <is>
          <t>Thấp</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8" s="15" t="inlineStr">
        <is>
          <t>1. Mở /admin/discovery/listed (hoặc bấm trong sidebar)</t>
        </is>
      </c>
      <c r="K28" s="15" t="inlineStr">
        <is>
          <t>discovery/listed</t>
        </is>
      </c>
      <c r="L28" s="15" t="inlineStr">
        <is>
          <t>Tiêu đề trang theo mục (Cộng đồng hiển thị), dòng phụ 'Mục Khám phá › Cộng đồng hiển thị sẽ có trong đợt phát triển sau.', khối 'Sắp có', nút 'Về tổng quan' -&gt; /admin. Sidebar/topbar vẫn hiển thị.</t>
        </is>
      </c>
      <c r="M28" s="15" t="inlineStr"/>
      <c r="N28" s="18" t="inlineStr">
        <is>
          <t>Chưa test</t>
        </is>
      </c>
      <c r="O28" s="15" t="inlineStr"/>
      <c r="P28" s="15" t="inlineStr"/>
      <c r="Q28" s="18" t="inlineStr">
        <is>
          <t>Chưa test</t>
        </is>
      </c>
      <c r="R28" s="15" t="inlineStr"/>
    </row>
    <row r="29" ht="30" customHeight="1">
      <c r="A29" s="14" t="inlineStr">
        <is>
          <t>TC-ADM-028</t>
        </is>
      </c>
      <c r="B29" s="15" t="inlineStr">
        <is>
          <t>Admin Console (đợt 1)</t>
        </is>
      </c>
      <c r="C29" s="15" t="inlineStr">
        <is>
          <t>Khung admin: Sidebar &amp; Topbar</t>
        </is>
      </c>
      <c r="D29" s="15" t="inlineStr">
        <is>
          <t>Mục chưa làm /admin/analytics/users hiện trang 'Sắp có' trong khung admin</t>
        </is>
      </c>
      <c r="E29" s="15" t="inlineStr">
        <is>
          <t>Giao diện</t>
        </is>
      </c>
      <c r="F29" s="17" t="inlineStr">
        <is>
          <t>Thấp</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9" s="15" t="inlineStr">
        <is>
          <t>1. Mở /admin/analytics/users (hoặc bấm trong sidebar)</t>
        </is>
      </c>
      <c r="K29" s="15" t="inlineStr">
        <is>
          <t>analytics/users</t>
        </is>
      </c>
      <c r="L29" s="15" t="inlineStr">
        <is>
          <t>Tiêu đề trang theo mục (Người dùng), dòng phụ 'Mục Phân tích › Người dùng sẽ có trong đợt phát triển sau.', khối 'Sắp có', nút 'Về tổng quan' -&gt; /admin. Sidebar/topbar vẫn hiển thị.</t>
        </is>
      </c>
      <c r="M29" s="15" t="inlineStr"/>
      <c r="N29" s="18" t="inlineStr">
        <is>
          <t>Chưa test</t>
        </is>
      </c>
      <c r="O29" s="15" t="inlineStr"/>
      <c r="P29" s="15" t="inlineStr"/>
      <c r="Q29" s="18" t="inlineStr">
        <is>
          <t>Chưa test</t>
        </is>
      </c>
      <c r="R29" s="15" t="inlineStr"/>
    </row>
    <row r="30" ht="30" customHeight="1">
      <c r="A30" s="14" t="inlineStr">
        <is>
          <t>TC-ADM-029</t>
        </is>
      </c>
      <c r="B30" s="15" t="inlineStr">
        <is>
          <t>Admin Console (đợt 1)</t>
        </is>
      </c>
      <c r="C30" s="15" t="inlineStr">
        <is>
          <t>Khung admin: Sidebar &amp; Topbar</t>
        </is>
      </c>
      <c r="D30" s="15" t="inlineStr">
        <is>
          <t>Mục chưa làm /admin/support/tickets hiện trang 'Sắp có' trong khung admin</t>
        </is>
      </c>
      <c r="E30" s="15" t="inlineStr">
        <is>
          <t>Giao diện</t>
        </is>
      </c>
      <c r="F30" s="17" t="inlineStr">
        <is>
          <t>Thấp</t>
        </is>
      </c>
      <c r="G30" s="17" t="inlineStr">
        <is>
          <t>Đã hoàn thiện</t>
        </is>
      </c>
      <c r="H30" s="17" t="inlineStr">
        <is>
          <t>Có</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30" s="15" t="inlineStr">
        <is>
          <t>1. Mở /admin/support/tickets (hoặc bấm trong sidebar)</t>
        </is>
      </c>
      <c r="K30" s="15" t="inlineStr">
        <is>
          <t>support/tickets</t>
        </is>
      </c>
      <c r="L30" s="15" t="inlineStr">
        <is>
          <t>Tiêu đề trang theo mục (Ticket hỗ trợ), dòng phụ 'Mục Hỗ trợ › Ticket hỗ trợ sẽ có trong đợt phát triển sau.', khối 'Sắp có', nút 'Về tổng quan' -&gt; /admin. Sidebar/topbar vẫn hiển thị.</t>
        </is>
      </c>
      <c r="M30" s="15" t="inlineStr"/>
      <c r="N30" s="18" t="inlineStr">
        <is>
          <t>Chưa test</t>
        </is>
      </c>
      <c r="O30" s="15" t="inlineStr"/>
      <c r="P30" s="15" t="inlineStr"/>
      <c r="Q30" s="18" t="inlineStr">
        <is>
          <t>Chưa test</t>
        </is>
      </c>
      <c r="R30" s="15" t="inlineStr"/>
    </row>
    <row r="31" ht="30" customHeight="1">
      <c r="A31" s="14" t="inlineStr">
        <is>
          <t>TC-ADM-030</t>
        </is>
      </c>
      <c r="B31" s="15" t="inlineStr">
        <is>
          <t>Admin Console (đợt 1)</t>
        </is>
      </c>
      <c r="C31" s="15" t="inlineStr">
        <is>
          <t>Khung admin: Sidebar &amp; Topbar</t>
        </is>
      </c>
      <c r="D31" s="15" t="inlineStr">
        <is>
          <t>Mục chưa làm /admin/system/admins hiện trang 'Sắp có' trong khung admin</t>
        </is>
      </c>
      <c r="E31" s="15" t="inlineStr">
        <is>
          <t>Giao diện</t>
        </is>
      </c>
      <c r="F31" s="17" t="inlineStr">
        <is>
          <t>Thấp</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31" s="15" t="inlineStr">
        <is>
          <t>1. Mở /admin/system/admins (hoặc bấm trong sidebar)</t>
        </is>
      </c>
      <c r="K31" s="15" t="inlineStr">
        <is>
          <t>system/admins</t>
        </is>
      </c>
      <c r="L31" s="15" t="inlineStr">
        <is>
          <t>Tiêu đề trang theo mục (Tài khoản quản trị), dòng phụ 'Mục Hệ thống › Tài khoản quản trị sẽ có trong đợt phát triển sau.', khối 'Sắp có', nút 'Về tổng quan' -&gt; /admin. Sidebar/topbar vẫn hiển thị.</t>
        </is>
      </c>
      <c r="M31" s="15" t="inlineStr"/>
      <c r="N31" s="18" t="inlineStr">
        <is>
          <t>Chưa test</t>
        </is>
      </c>
      <c r="O31" s="15" t="inlineStr"/>
      <c r="P31" s="15" t="inlineStr"/>
      <c r="Q31" s="18" t="inlineStr">
        <is>
          <t>Chưa test</t>
        </is>
      </c>
      <c r="R31" s="15" t="inlineStr"/>
    </row>
    <row r="32" ht="60" customHeight="1">
      <c r="A32" s="14" t="inlineStr">
        <is>
          <t>TC-ADM-031</t>
        </is>
      </c>
      <c r="B32" s="15" t="inlineStr">
        <is>
          <t>Admin Console (đợt 1)</t>
        </is>
      </c>
      <c r="C32" s="15" t="inlineStr">
        <is>
          <t>Khung admin: Sidebar &amp; Topbar</t>
        </is>
      </c>
      <c r="D32" s="15" t="inlineStr">
        <is>
          <t>Ô tìm kiếm chung (Ctrl/⌘K): focus và gợi ý người dùng, cộng đồng, vụ việc</t>
        </is>
      </c>
      <c r="E32" s="15" t="inlineStr">
        <is>
          <t>Chức năng</t>
        </is>
      </c>
      <c r="F32" s="20" t="inlineStr">
        <is>
          <t>Trung bình</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32" s="15" t="inlineStr">
        <is>
          <t>1. Ở bất kỳ trang /admin bấm Ctrl+K (hoặc ⌘K)
2. Gõ 'sarah'
3. Gõ 'design'
4. Gõ 'CASE-00007'</t>
        </is>
      </c>
      <c r="K32" s="15" t="inlineStr">
        <is>
          <t>sarah / design / CASE-00007</t>
        </is>
      </c>
      <c r="L32"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32" s="15" t="inlineStr"/>
      <c r="N32" s="18" t="inlineStr">
        <is>
          <t>Chưa test</t>
        </is>
      </c>
      <c r="O32" s="15" t="inlineStr"/>
      <c r="P32" s="15" t="inlineStr"/>
      <c r="Q32" s="18" t="inlineStr">
        <is>
          <t>Chưa test</t>
        </is>
      </c>
      <c r="R32" s="15" t="inlineStr"/>
    </row>
    <row r="33" ht="30" customHeight="1">
      <c r="A33" s="14" t="inlineStr">
        <is>
          <t>TC-ADM-032</t>
        </is>
      </c>
      <c r="B33" s="15" t="inlineStr">
        <is>
          <t>Admin Console (đợt 1)</t>
        </is>
      </c>
      <c r="C33" s="15" t="inlineStr">
        <is>
          <t>Khung admin: Sidebar &amp; Topbar</t>
        </is>
      </c>
      <c r="D33" s="15" t="inlineStr">
        <is>
          <t>Ô tìm kiếm chung: từ khóa không có kết quả</t>
        </is>
      </c>
      <c r="E33" s="15" t="inlineStr">
        <is>
          <t>Chức năng</t>
        </is>
      </c>
      <c r="F33" s="17" t="inlineStr">
        <is>
          <t>Thấp</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33" s="15" t="inlineStr">
        <is>
          <t>1. Ctrl+K, gõ 'zzzxyz123'</t>
        </is>
      </c>
      <c r="K33" s="15" t="inlineStr">
        <is>
          <t>zzzxyz123</t>
        </is>
      </c>
      <c r="L33" s="15" t="inlineStr">
        <is>
          <t>Không có gợi ý; hiển thị trạng thái không có kết quả, không lỗi.</t>
        </is>
      </c>
      <c r="M33" s="15" t="inlineStr"/>
      <c r="N33" s="18" t="inlineStr">
        <is>
          <t>Chưa test</t>
        </is>
      </c>
      <c r="O33" s="15" t="inlineStr"/>
      <c r="P33" s="15" t="inlineStr"/>
      <c r="Q33" s="18" t="inlineStr">
        <is>
          <t>Chưa test</t>
        </is>
      </c>
      <c r="R33" s="15" t="inlineStr"/>
    </row>
    <row r="34" ht="45" customHeight="1">
      <c r="A34" s="14" t="inlineStr">
        <is>
          <t>TC-ADM-033</t>
        </is>
      </c>
      <c r="B34" s="15" t="inlineStr">
        <is>
          <t>Admin Console (đợt 1)</t>
        </is>
      </c>
      <c r="C34" s="15" t="inlineStr">
        <is>
          <t>Khung admin: Sidebar &amp; Topbar</t>
        </is>
      </c>
      <c r="D34" s="15" t="inlineStr">
        <is>
          <t>Menu 'Thao tác nhanh' và chuông/trợ giúp trên topbar</t>
        </is>
      </c>
      <c r="E34" s="15" t="inlineStr">
        <is>
          <t>Giao diện</t>
        </is>
      </c>
      <c r="F34" s="17" t="inlineStr">
        <is>
          <t>Thấp</t>
        </is>
      </c>
      <c r="G34" s="17" t="inlineStr">
        <is>
          <t>Đã hoàn thiện</t>
        </is>
      </c>
      <c r="H34" s="20" t="inlineStr">
        <is>
          <t>Một phần</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34" s="15" t="inlineStr">
        <is>
          <t>1. Bấm 'Thao tác nhanh'
2. Bấm biểu tượng Trợ giúp
3. Bấm chuông thông báo</t>
        </is>
      </c>
      <c r="K34" s="15" t="inlineStr">
        <is>
          <t>-</t>
        </is>
      </c>
      <c r="L34" s="15" t="inlineStr">
        <is>
          <t>Mỗi nút mở menu/popover không lỗi; mục trong 'Thao tác nhanh' điều hướng được; đóng khi bấm ra ngoài hoặc Esc.</t>
        </is>
      </c>
      <c r="M34" s="15" t="inlineStr"/>
      <c r="N34" s="18" t="inlineStr">
        <is>
          <t>Chưa test</t>
        </is>
      </c>
      <c r="O34" s="15" t="inlineStr"/>
      <c r="P34" s="15" t="inlineStr"/>
      <c r="Q34" s="18" t="inlineStr">
        <is>
          <t>Chưa test</t>
        </is>
      </c>
      <c r="R34" s="15" t="inlineStr"/>
    </row>
    <row r="35" ht="30" customHeight="1">
      <c r="A35" s="14" t="inlineStr">
        <is>
          <t>TC-ADM-034</t>
        </is>
      </c>
      <c r="B35" s="15" t="inlineStr">
        <is>
          <t>Admin Console (đợt 1)</t>
        </is>
      </c>
      <c r="C35" s="15" t="inlineStr">
        <is>
          <t>Khung admin: Sidebar &amp; Topbar</t>
        </is>
      </c>
      <c r="D35" s="15" t="inlineStr">
        <is>
          <t>Menu tài khoản: Đăng xuất</t>
        </is>
      </c>
      <c r="E35" s="15" t="inlineStr">
        <is>
          <t>Chức năng</t>
        </is>
      </c>
      <c r="F35" s="20" t="inlineStr">
        <is>
          <t>Trung bình</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35" s="15" t="inlineStr">
        <is>
          <t>1. Bấm menu tài khoản góc phải
2. Chọn 'Đăng xuất'</t>
        </is>
      </c>
      <c r="K35" s="15" t="inlineStr">
        <is>
          <t>-</t>
        </is>
      </c>
      <c r="L35" s="15" t="inlineStr">
        <is>
          <t>Phiên đăng xuất, chuyển /login; vào lại /admin phải đăng nhập lại; token cũ 401.</t>
        </is>
      </c>
      <c r="M35" s="15" t="inlineStr"/>
      <c r="N35" s="18" t="inlineStr">
        <is>
          <t>Chưa test</t>
        </is>
      </c>
      <c r="O35" s="15" t="inlineStr"/>
      <c r="P35" s="15" t="inlineStr"/>
      <c r="Q35" s="18" t="inlineStr">
        <is>
          <t>Chưa test</t>
        </is>
      </c>
      <c r="R35" s="15" t="inlineStr"/>
    </row>
    <row r="36" ht="60" customHeight="1">
      <c r="A36" s="14" t="inlineStr">
        <is>
          <t>TC-ADM-035</t>
        </is>
      </c>
      <c r="B36" s="15" t="inlineStr">
        <is>
          <t>Admin Console (đợt 1)</t>
        </is>
      </c>
      <c r="C36" s="15" t="inlineStr">
        <is>
          <t>Khung admin: Sidebar &amp; Topbar</t>
        </is>
      </c>
      <c r="D36" s="15" t="inlineStr">
        <is>
          <t>Responsive: màn hẹp (&lt;1024px) sidebar thu thành drawer mở bằng nút 'Mở menu'</t>
        </is>
      </c>
      <c r="E36" s="15" t="inlineStr">
        <is>
          <t>Giao diện</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36" s="15" t="inlineStr">
        <is>
          <t>1. Thu cửa sổ về 390x844 (hoặc 768px)
2. Quan sát topbar
3. Bấm nút 'Mở menu' (hamburger)
4. Chọn 'Người dùng' &gt; 'Tất cả người dùng'</t>
        </is>
      </c>
      <c r="K36" s="15" t="inlineStr">
        <is>
          <t>viewport 390x844</t>
        </is>
      </c>
      <c r="L36" s="15" t="inlineStr">
        <is>
          <t>Sidebar cố định biến mất; có nút hamburger; bấm mở drawer phủ bên trái + lớp nền mờ; chọn mục thì điều hướng và drawer đóng; bấm nền mờ cũng đóng drawer.</t>
        </is>
      </c>
      <c r="M36" s="15" t="inlineStr"/>
      <c r="N36" s="18" t="inlineStr">
        <is>
          <t>Chưa test</t>
        </is>
      </c>
      <c r="O36" s="15" t="inlineStr"/>
      <c r="P36" s="15" t="inlineStr"/>
      <c r="Q36" s="18" t="inlineStr">
        <is>
          <t>Chưa test</t>
        </is>
      </c>
      <c r="R36" s="15" t="inlineStr"/>
    </row>
    <row r="37" ht="30" customHeight="1">
      <c r="A37" s="14" t="inlineStr">
        <is>
          <t>TC-ADM-036</t>
        </is>
      </c>
      <c r="B37" s="15" t="inlineStr">
        <is>
          <t>Admin Console (đợt 1)</t>
        </is>
      </c>
      <c r="C37" s="15" t="inlineStr">
        <is>
          <t>Khung admin: Sidebar &amp; Topbar</t>
        </is>
      </c>
      <c r="D37" s="15" t="inlineStr">
        <is>
          <t>Responsive: màn rộng (≥1024px) sidebar cố định, nút hamburger ẩn</t>
        </is>
      </c>
      <c r="E37" s="15" t="inlineStr">
        <is>
          <t>Giao diện</t>
        </is>
      </c>
      <c r="F37" s="20" t="inlineStr">
        <is>
          <t>Trung bình</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37" s="15" t="inlineStr">
        <is>
          <t>1. Mở /admin ở 1440x900</t>
        </is>
      </c>
      <c r="K37" s="15" t="inlineStr">
        <is>
          <t>viewport 1440x900</t>
        </is>
      </c>
      <c r="L37" s="15" t="inlineStr">
        <is>
          <t>Sidebar luôn hiển thị (sticky, cao full màn hình), không có hamburger, nội dung chính cuộn độc lập; ô ⌘K hiện.</t>
        </is>
      </c>
      <c r="M37" s="15" t="inlineStr"/>
      <c r="N37" s="18" t="inlineStr">
        <is>
          <t>Chưa test</t>
        </is>
      </c>
      <c r="O37" s="15" t="inlineStr"/>
      <c r="P37" s="15" t="inlineStr"/>
      <c r="Q37" s="18" t="inlineStr">
        <is>
          <t>Chưa test</t>
        </is>
      </c>
      <c r="R37" s="15" t="inlineStr"/>
    </row>
    <row r="38" ht="45" customHeight="1">
      <c r="A38" s="14" t="inlineStr">
        <is>
          <t>TC-ADM-037</t>
        </is>
      </c>
      <c r="B38" s="15" t="inlineStr">
        <is>
          <t>Admin Console (đợt 1)</t>
        </is>
      </c>
      <c r="C38" s="15" t="inlineStr">
        <is>
          <t>Khung admin: Sidebar &amp; Topbar</t>
        </is>
      </c>
      <c r="D38" s="15" t="inlineStr">
        <is>
          <t>Responsive: bảng dữ liệu cuộn ngang, không vỡ layout ở màn hẹp</t>
        </is>
      </c>
      <c r="E38" s="15" t="inlineStr">
        <is>
          <t>Giao diện</t>
        </is>
      </c>
      <c r="F38" s="20" t="inlineStr">
        <is>
          <t>Trung bình</t>
        </is>
      </c>
      <c r="G38" s="17" t="inlineStr">
        <is>
          <t>Đã hoàn thiện</t>
        </is>
      </c>
      <c r="H38" s="20" t="inlineStr">
        <is>
          <t>Một phần</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38" s="15" t="inlineStr">
        <is>
          <t>1. Ở 390px mở /admin/users
2. Cuộn ngang bảng
3. Kiểm tra cột 'Thao tác' (nút đầu + menu …)</t>
        </is>
      </c>
      <c r="K38" s="15" t="inlineStr">
        <is>
          <t>viewport 390px</t>
        </is>
      </c>
      <c r="L38" s="15" t="inlineStr">
        <is>
          <t>Trang không có thanh cuộn ngang toàn trang; bảng cuộn ngang trong khung; cột thao tác sticky vẫn bấm được; KPI xếp thành 1-2 cột.</t>
        </is>
      </c>
      <c r="M38" s="15" t="inlineStr"/>
      <c r="N38" s="18" t="inlineStr">
        <is>
          <t>Chưa test</t>
        </is>
      </c>
      <c r="O38" s="15" t="inlineStr"/>
      <c r="P38" s="15" t="inlineStr"/>
      <c r="Q38" s="18" t="inlineStr">
        <is>
          <t>Chưa test</t>
        </is>
      </c>
      <c r="R38" s="15" t="inlineStr"/>
    </row>
    <row r="39" ht="30" customHeight="1">
      <c r="A39" s="14" t="inlineStr">
        <is>
          <t>TC-ADM-038</t>
        </is>
      </c>
      <c r="B39" s="15" t="inlineStr">
        <is>
          <t>Admin Console (đợt 1)</t>
        </is>
      </c>
      <c r="C39" s="15" t="inlineStr">
        <is>
          <t>Tổng quan (Dashboard)</t>
        </is>
      </c>
      <c r="D39" s="15" t="inlineStr">
        <is>
          <t>Trang Tổng quan: tiêu đề, 6 thẻ KPI, 4 biểu đồ và 3 khối phụ</t>
        </is>
      </c>
      <c r="E39" s="15" t="inlineStr">
        <is>
          <t>Giao diện</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39" s="15" t="inlineStr">
        <is>
          <t>1. Mở /admin</t>
        </is>
      </c>
      <c r="K39" s="15" t="inlineStr">
        <is>
          <t>-</t>
        </is>
      </c>
      <c r="L39"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9" s="15" t="inlineStr"/>
      <c r="N39" s="18" t="inlineStr">
        <is>
          <t>Chưa test</t>
        </is>
      </c>
      <c r="O39" s="15" t="inlineStr"/>
      <c r="P39" s="15" t="inlineStr"/>
      <c r="Q39" s="18" t="inlineStr">
        <is>
          <t>Chưa test</t>
        </is>
      </c>
      <c r="R39" s="15" t="inlineStr"/>
    </row>
    <row r="40" ht="45" customHeight="1">
      <c r="A40" s="14" t="inlineStr">
        <is>
          <t>TC-ADM-039</t>
        </is>
      </c>
      <c r="B40" s="15" t="inlineStr">
        <is>
          <t>Admin Console (đợt 1)</t>
        </is>
      </c>
      <c r="C40" s="15" t="inlineStr">
        <is>
          <t>Tổng quan (Dashboard)</t>
        </is>
      </c>
      <c r="D40" s="15" t="inlineStr">
        <is>
          <t>Chip khoảng thời gian 7/30/90 ngày: mặc định 30, đổi thì tải lại số liệu</t>
        </is>
      </c>
      <c r="E40" s="15" t="inlineStr">
        <is>
          <t>Chức năng</t>
        </is>
      </c>
      <c r="F40" s="16" t="inlineStr">
        <is>
          <t>Cao</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40" s="15" t="inlineStr">
        <is>
          <t>1. Mở /admin (mặc định chip 30 ngày được chọn)
2. Bấm chip 7 ngày, quan sát Network
3. Bấm chip 90 ngày</t>
        </is>
      </c>
      <c r="K40" s="15" t="inlineStr">
        <is>
          <t>range 7 / 30 / 90</t>
        </is>
      </c>
      <c r="L40" s="15" t="inlineStr">
        <is>
          <t>Chip đang chọn được tô nổi; mỗi lần đổi gọi GET /api/admin/dashboard?range=&lt;n&gt;; trục biểu đồ có đúng 7/30/90 điểm; KPI 'Người dùng hoạt động' ghi chú 'n ngày qua' khi không có deltaPct.</t>
        </is>
      </c>
      <c r="M40" s="15" t="inlineStr"/>
      <c r="N40" s="18" t="inlineStr">
        <is>
          <t>Chưa test</t>
        </is>
      </c>
      <c r="O40" s="15" t="inlineStr"/>
      <c r="P40" s="15" t="inlineStr"/>
      <c r="Q40" s="18" t="inlineStr">
        <is>
          <t>Chưa test</t>
        </is>
      </c>
      <c r="R40" s="15" t="inlineStr"/>
    </row>
    <row r="41" ht="45" customHeight="1">
      <c r="A41" s="14" t="inlineStr">
        <is>
          <t>TC-ADM-040</t>
        </is>
      </c>
      <c r="B41" s="15" t="inlineStr">
        <is>
          <t>Admin Console (đợt 1)</t>
        </is>
      </c>
      <c r="C41" s="15" t="inlineStr">
        <is>
          <t>Tổng quan (Dashboard)</t>
        </is>
      </c>
      <c r="D41" s="15" t="inlineStr">
        <is>
          <t>API dashboard: range mặc định 30, mỗi series đúng range điểm theo ngày UTC</t>
        </is>
      </c>
      <c r="E41" s="15" t="inlineStr">
        <is>
          <t>Chức năng</t>
        </is>
      </c>
      <c r="F41" s="16" t="inlineStr">
        <is>
          <t>Cao</t>
        </is>
      </c>
      <c r="G41" s="17" t="inlineStr">
        <is>
          <t>Đã hoàn thiện</t>
        </is>
      </c>
      <c r="H41" s="17" t="inlineStr">
        <is>
          <t>Có</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41" s="15" t="inlineStr">
        <is>
          <t>1. GET /api/admin/dashboard (không range)
2. GET /api/admin/dashboard?range=7
3. GET /api/admin/dashboard?range=90</t>
        </is>
      </c>
      <c r="K41" s="15" t="inlineStr">
        <is>
          <t>range ∈ {-,7,90}</t>
        </is>
      </c>
      <c r="L41" s="15" t="inlineStr">
        <is>
          <t>200; data.range = 30/7/90; mỗi mảng userGrowth/communityGrowth/revenue/engagement có đúng range phần tử, date tăng dần (cũ -&gt; mới), ngày không dữ liệu = 0.</t>
        </is>
      </c>
      <c r="M41" s="15" t="inlineStr"/>
      <c r="N41" s="18" t="inlineStr">
        <is>
          <t>Chưa test</t>
        </is>
      </c>
      <c r="O41" s="15" t="inlineStr"/>
      <c r="P41" s="15" t="inlineStr"/>
      <c r="Q41" s="18" t="inlineStr">
        <is>
          <t>Chưa test</t>
        </is>
      </c>
      <c r="R41" s="15" t="inlineStr"/>
    </row>
    <row r="42" ht="30" customHeight="1">
      <c r="A42" s="14" t="inlineStr">
        <is>
          <t>TC-ADM-041</t>
        </is>
      </c>
      <c r="B42" s="15" t="inlineStr">
        <is>
          <t>Admin Console (đợt 1)</t>
        </is>
      </c>
      <c r="C42" s="15" t="inlineStr">
        <is>
          <t>Tổng quan (Dashboard)</t>
        </is>
      </c>
      <c r="D42" s="15" t="inlineStr">
        <is>
          <t>API dashboard: range không hợp lệ trả 400</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42" s="15" t="inlineStr">
        <is>
          <t>1. GET /api/admin/dashboard?range=15
2. GET /api/admin/dashboard?range=abc</t>
        </is>
      </c>
      <c r="K42" s="15" t="inlineStr">
        <is>
          <t>range=15 / abc</t>
        </is>
      </c>
      <c r="L42" s="15" t="inlineStr">
        <is>
          <t>400 VALIDATION_ERROR cho cả hai (chỉ nhận 7|30|90).</t>
        </is>
      </c>
      <c r="M42" s="15" t="inlineStr"/>
      <c r="N42" s="18" t="inlineStr">
        <is>
          <t>Chưa test</t>
        </is>
      </c>
      <c r="O42" s="15" t="inlineStr"/>
      <c r="P42" s="15" t="inlineStr"/>
      <c r="Q42" s="18" t="inlineStr">
        <is>
          <t>Chưa test</t>
        </is>
      </c>
      <c r="R42" s="15" t="inlineStr"/>
    </row>
    <row r="43" ht="45" customHeight="1">
      <c r="A43" s="14" t="inlineStr">
        <is>
          <t>TC-ADM-042</t>
        </is>
      </c>
      <c r="B43" s="15" t="inlineStr">
        <is>
          <t>Admin Console (đợt 1)</t>
        </is>
      </c>
      <c r="C43" s="15" t="inlineStr">
        <is>
          <t>Tổng quan (Dashboard)</t>
        </is>
      </c>
      <c r="D43" s="15" t="inlineStr">
        <is>
          <t>KPI 'Tổng người dùng' khớp DB (không tính tài khoản minh họa và đã xóa)</t>
        </is>
      </c>
      <c r="E43" s="15" t="inlineStr">
        <is>
          <t>Chức năng</t>
        </is>
      </c>
      <c r="F43" s="16" t="inlineStr">
        <is>
          <t>Cao</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Có thể truy vấn DB (Prisma Studio).</t>
        </is>
      </c>
      <c r="J43" s="15" t="inlineStr">
        <is>
          <t>1. GET /api/admin/dashboard -&gt; kpis.totalUsers.value
2. Đếm bảng User với isDemo=false AND deletedAt IS NULL
3. So sánh với GET /api/admin/users/summary -&gt; total</t>
        </is>
      </c>
      <c r="K43" s="15" t="inlineStr">
        <is>
          <t>-</t>
        </is>
      </c>
      <c r="L43" s="15" t="inlineStr">
        <is>
          <t>Ba số bằng nhau (loại ~1.5K user minh họa isDemo); deltaPct = % so với kỳ trước, null nếu kỳ trước = 0.</t>
        </is>
      </c>
      <c r="M43" s="15" t="inlineStr"/>
      <c r="N43" s="18" t="inlineStr">
        <is>
          <t>Chưa test</t>
        </is>
      </c>
      <c r="O43" s="15" t="inlineStr"/>
      <c r="P43" s="15" t="inlineStr"/>
      <c r="Q43" s="18" t="inlineStr">
        <is>
          <t>Chưa test</t>
        </is>
      </c>
      <c r="R43" s="15" t="inlineStr"/>
    </row>
    <row r="44" ht="30" customHeight="1">
      <c r="A44" s="14" t="inlineStr">
        <is>
          <t>TC-ADM-043</t>
        </is>
      </c>
      <c r="B44" s="15" t="inlineStr">
        <is>
          <t>Admin Console (đợt 1)</t>
        </is>
      </c>
      <c r="C44" s="15" t="inlineStr">
        <is>
          <t>Tổng quan (Dashboard)</t>
        </is>
      </c>
      <c r="D44" s="15" t="inlineStr">
        <is>
          <t>KPI 'Cộng đồng' chỉ đếm cộng đồng active, chưa khóa, chưa xóa</t>
        </is>
      </c>
      <c r="E44" s="15" t="inlineStr">
        <is>
          <t>Chức năng</t>
        </is>
      </c>
      <c r="F44" s="16" t="inlineStr">
        <is>
          <t>Cao</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Có thể truy vấn DB.</t>
        </is>
      </c>
      <c r="J44" s="15" t="inlineStr">
        <is>
          <t>1. Đọc kpis.communities.value
2. Đếm Course với deletedAt IS NULL AND moderationStatus='active' AND locked=false</t>
        </is>
      </c>
      <c r="K44" s="15" t="inlineStr">
        <is>
          <t>-</t>
        </is>
      </c>
      <c r="L44" s="15" t="inlineStr">
        <is>
          <t>Số bằng nhau; không tính pending_review/changes_requested/rejected/suspended/deleted (6 cộng đồng seed admin ở trạng thái đó + 4 trong thùng rác).</t>
        </is>
      </c>
      <c r="M44" s="15" t="inlineStr"/>
      <c r="N44" s="18" t="inlineStr">
        <is>
          <t>Chưa test</t>
        </is>
      </c>
      <c r="O44" s="15" t="inlineStr"/>
      <c r="P44" s="15" t="inlineStr"/>
      <c r="Q44" s="18" t="inlineStr">
        <is>
          <t>Chưa test</t>
        </is>
      </c>
      <c r="R44" s="15" t="inlineStr"/>
    </row>
    <row r="45" ht="45" customHeight="1">
      <c r="A45" s="14" t="inlineStr">
        <is>
          <t>TC-ADM-044</t>
        </is>
      </c>
      <c r="B45" s="15" t="inlineStr">
        <is>
          <t>Admin Console (đợt 1)</t>
        </is>
      </c>
      <c r="C45" s="15" t="inlineStr">
        <is>
          <t>Tổng quan (Dashboard)</t>
        </is>
      </c>
      <c r="D45" s="15" t="inlineStr">
        <is>
          <t>KPI 'Cộng đồng chờ duyệt' = số cộng đồng pending_review và khớp trang Xét duyệt</t>
        </is>
      </c>
      <c r="E45" s="15" t="inlineStr">
        <is>
          <t>Chức năng</t>
        </is>
      </c>
      <c r="F45" s="16" t="inlineStr">
        <is>
          <t>Cao</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45" s="15" t="inlineStr">
        <is>
          <t>1. Đọc kpis.pendingReviewCommunities.value và needsAttention.pendingReviewCommunities
2. GET /api/admin/communities/summary -&gt; pendingReview
3. Mở /admin: bấm thẻ 'Cộng đồng chờ duyệt'</t>
        </is>
      </c>
      <c r="K45" s="15" t="inlineStr">
        <is>
          <t>-</t>
        </is>
      </c>
      <c r="L45" s="15" t="inlineStr">
        <is>
          <t>Dashboard = summary.pendingReview = 3 trên DB seed (design-circle, creator-academy, no-code-nation; changes_requested của startup-grind KHÔNG tính vào KPI này). Bấm thẻ chuyển tới /admin/communities/review.</t>
        </is>
      </c>
      <c r="M45" s="15" t="inlineStr"/>
      <c r="N45" s="18" t="inlineStr">
        <is>
          <t>Chưa test</t>
        </is>
      </c>
      <c r="O45" s="15" t="inlineStr"/>
      <c r="P45" s="15" t="inlineStr"/>
      <c r="Q45" s="18" t="inlineStr">
        <is>
          <t>Chưa test</t>
        </is>
      </c>
      <c r="R45" s="15" t="inlineStr"/>
    </row>
    <row r="46" ht="45" customHeight="1">
      <c r="A46" s="14" t="inlineStr">
        <is>
          <t>TC-ADM-045</t>
        </is>
      </c>
      <c r="B46" s="15" t="inlineStr">
        <is>
          <t>Admin Console (đợt 1)</t>
        </is>
      </c>
      <c r="C46" s="15" t="inlineStr">
        <is>
          <t>Tổng quan (Dashboard)</t>
        </is>
      </c>
      <c r="D46" s="15" t="inlineStr">
        <is>
          <t>'Cần xử lý': Cộng đồng chờ duyệt hiện thời gian chờ lâu nhất</t>
        </is>
      </c>
      <c r="E46" s="15" t="inlineStr">
        <is>
          <t>Chức năng</t>
        </is>
      </c>
      <c r="F46" s="20" t="inlineStr">
        <is>
          <t>Trung bình</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46" s="15" t="inlineStr">
        <is>
          <t>1. GET /api/admin/dashboard
2. Đọc needsAttention.pendingReviewCommunities.oldestWaitingHours
3. Mở /admin xem dòng 'Cộng đồng chờ duyệt'</t>
        </is>
      </c>
      <c r="K46" s="15" t="inlineStr">
        <is>
          <t>-</t>
        </is>
      </c>
      <c r="L46" s="15" t="inlineStr">
        <is>
          <t>oldestWaitingHours ≈ 27 (no-code-nation tạo ~27 giờ trước, làm tròn xuống); UI ghi 'Lâu nhất đã chờ 27 giờ' (± 1). Khi không còn cộng đồng chờ: 'Không có cộng đồng nào đang chờ' và 0 giờ.</t>
        </is>
      </c>
      <c r="M46" s="15" t="inlineStr"/>
      <c r="N46" s="18" t="inlineStr">
        <is>
          <t>Chưa test</t>
        </is>
      </c>
      <c r="O46" s="15" t="inlineStr"/>
      <c r="P46" s="15" t="inlineStr"/>
      <c r="Q46" s="18" t="inlineStr">
        <is>
          <t>Chưa test</t>
        </is>
      </c>
      <c r="R46" s="15" t="inlineStr"/>
    </row>
    <row r="47" ht="45" customHeight="1">
      <c r="A47" s="14" t="inlineStr">
        <is>
          <t>TC-ADM-046</t>
        </is>
      </c>
      <c r="B47" s="15" t="inlineStr">
        <is>
          <t>Admin Console (đợt 1)</t>
        </is>
      </c>
      <c r="C47" s="15" t="inlineStr">
        <is>
          <t>Tổng quan (Dashboard)</t>
        </is>
      </c>
      <c r="D47" s="15" t="inlineStr">
        <is>
          <t>KPI 'Báo cáo chờ xử lý' và số nghiêm trọng khớp hàng đợi kiểm duyệt</t>
        </is>
      </c>
      <c r="E47" s="15" t="inlineStr">
        <is>
          <t>Chức năng</t>
        </is>
      </c>
      <c r="F47" s="16" t="inlineStr">
        <is>
          <t>Cao</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47" s="15" t="inlineStr">
        <is>
          <t>1. Đọc kpis.pendingReports.value / .critical
2. GET /api/admin/moderation/summary -&gt; open, critical
3. Đếm Report status in (open) và risk=critical trong DB</t>
        </is>
      </c>
      <c r="K47" s="15" t="inlineStr">
        <is>
          <t>-</t>
        </is>
      </c>
      <c r="L47" s="15" t="inlineStr">
        <is>
          <t>Dashboard = moderation summary (so cùng định nghĩa mở); seed có critical gồm #1,#2,#3 (cùng bài) và #9. Thẻ UI hiển thị 'N nghiêm trọng'.</t>
        </is>
      </c>
      <c r="M47" s="15" t="inlineStr"/>
      <c r="N47" s="18" t="inlineStr">
        <is>
          <t>Chưa test</t>
        </is>
      </c>
      <c r="O47" s="15" t="inlineStr"/>
      <c r="P47" s="15" t="inlineStr"/>
      <c r="Q47" s="18" t="inlineStr">
        <is>
          <t>Chưa test</t>
        </is>
      </c>
      <c r="R47" s="15" t="inlineStr"/>
    </row>
    <row r="48" ht="30" customHeight="1">
      <c r="A48" s="14" t="inlineStr">
        <is>
          <t>TC-ADM-047</t>
        </is>
      </c>
      <c r="B48" s="15" t="inlineStr">
        <is>
          <t>Admin Console (đợt 1)</t>
        </is>
      </c>
      <c r="C48" s="15" t="inlineStr">
        <is>
          <t>Tổng quan (Dashboard)</t>
        </is>
      </c>
      <c r="D48" s="15" t="inlineStr">
        <is>
          <t>'Cần xử lý': Chi trả/Hoàn tiền chờ duyệt lấy số liệu thật</t>
        </is>
      </c>
      <c r="E48" s="15" t="inlineStr">
        <is>
          <t>Chức năng</t>
        </is>
      </c>
      <c r="F48" s="20" t="inlineStr">
        <is>
          <t>Trung bình</t>
        </is>
      </c>
      <c r="G48" s="17" t="inlineStr">
        <is>
          <t>Đã hoàn thiện</t>
        </is>
      </c>
      <c r="H48" s="17" t="inlineStr">
        <is>
          <t>Có</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48" s="15" t="inlineStr">
        <is>
          <t>1. Đọc needsAttention.pendingPayouts và pendingRefunds
2. So với GET /api/admin/payouts?status=requested và /api/admin/refunds?status=pending</t>
        </is>
      </c>
      <c r="K48" s="15" t="inlineStr">
        <is>
          <t>-</t>
        </is>
      </c>
      <c r="L48" s="15" t="inlineStr">
        <is>
          <t>pendingPayouts.count = 1 (payout requested của owner), pendingRefunds.count = 1 (yêu cầu hoàn tiền của demo-paid-demo-2); amountCents bằng tổng amount các dòng; UI hiển thị tiền định dạng USD ('$xx.xx đang chờ').</t>
        </is>
      </c>
      <c r="M48" s="15" t="inlineStr"/>
      <c r="N48" s="18" t="inlineStr">
        <is>
          <t>Chưa test</t>
        </is>
      </c>
      <c r="O48" s="15" t="inlineStr"/>
      <c r="P48" s="15" t="inlineStr"/>
      <c r="Q48" s="18" t="inlineStr">
        <is>
          <t>Chưa test</t>
        </is>
      </c>
      <c r="R48" s="15" t="inlineStr"/>
    </row>
    <row r="49" ht="30" customHeight="1">
      <c r="A49" s="14" t="inlineStr">
        <is>
          <t>TC-ADM-048</t>
        </is>
      </c>
      <c r="B49" s="15" t="inlineStr">
        <is>
          <t>Admin Console (đợt 1)</t>
        </is>
      </c>
      <c r="C49" s="15" t="inlineStr">
        <is>
          <t>Tổng quan (Dashboard)</t>
        </is>
      </c>
      <c r="D49" s="15" t="inlineStr">
        <is>
          <t>'Cần xử lý': Tài khoản đáng ngờ khớp sắp xếp 'Nhiều báo cáo nhất'</t>
        </is>
      </c>
      <c r="E49" s="15" t="inlineStr">
        <is>
          <t>Chức năng</t>
        </is>
      </c>
      <c r="F49" s="17" t="inlineStr">
        <is>
          <t>Thấp</t>
        </is>
      </c>
      <c r="G49" s="17" t="inlineStr">
        <is>
          <t>Đã hoàn thiện</t>
        </is>
      </c>
      <c r="H49" s="20" t="inlineStr">
        <is>
          <t>Một phần</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49" s="15" t="inlineStr">
        <is>
          <t>1. Mở /admin, ghi số ở dòng 'Tài khoản đáng ngờ'
2. Bấm dòng đó</t>
        </is>
      </c>
      <c r="K49" s="15" t="inlineStr">
        <is>
          <t>-</t>
        </is>
      </c>
      <c r="L49" s="15" t="inlineStr">
        <is>
          <t>Chuyển tới /admin/users?sort=reports, danh sách sắp theo số báo cáo giảm dần (lucas đứng đầu trong seed). Số ở dashboard khớp BE tính (người bị báo cáo nhiều lần).</t>
        </is>
      </c>
      <c r="M49" s="15" t="inlineStr"/>
      <c r="N49" s="18" t="inlineStr">
        <is>
          <t>Chưa test</t>
        </is>
      </c>
      <c r="O49" s="15" t="inlineStr"/>
      <c r="P49" s="15" t="inlineStr"/>
      <c r="Q49" s="18" t="inlineStr">
        <is>
          <t>Chưa test</t>
        </is>
      </c>
      <c r="R49" s="15" t="inlineStr"/>
    </row>
    <row r="50" ht="30" customHeight="1">
      <c r="A50" s="14" t="inlineStr">
        <is>
          <t>TC-ADM-049</t>
        </is>
      </c>
      <c r="B50" s="15" t="inlineStr">
        <is>
          <t>Admin Console (đợt 1)</t>
        </is>
      </c>
      <c r="C50" s="15" t="inlineStr">
        <is>
          <t>Tổng quan (Dashboard)</t>
        </is>
      </c>
      <c r="D50" s="15" t="inlineStr">
        <is>
          <t>Bấm dòng 'Cộng đồng chờ duyệt' ở 'Cần xử lý' điều hướng đúng</t>
        </is>
      </c>
      <c r="E50" s="15" t="inlineStr">
        <is>
          <t>Chức năng</t>
        </is>
      </c>
      <c r="F50" s="20" t="inlineStr">
        <is>
          <t>Trung bình</t>
        </is>
      </c>
      <c r="G50" s="17" t="inlineStr">
        <is>
          <t>Đã hoàn thiện</t>
        </is>
      </c>
      <c r="H50" s="17" t="inlineStr">
        <is>
          <t>Có</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50" s="15" t="inlineStr">
        <is>
          <t>1. Mở /admin
2. Bấm dòng 'Cộng đồng chờ duyệt'</t>
        </is>
      </c>
      <c r="K50" s="15" t="inlineStr">
        <is>
          <t>Cộng đồng chờ duyệt</t>
        </is>
      </c>
      <c r="L50" s="15" t="inlineStr">
        <is>
          <t>Chuyển tới /admin/communities/review.</t>
        </is>
      </c>
      <c r="M50" s="15" t="inlineStr"/>
      <c r="N50" s="18" t="inlineStr">
        <is>
          <t>Chưa test</t>
        </is>
      </c>
      <c r="O50" s="15" t="inlineStr"/>
      <c r="P50" s="15" t="inlineStr"/>
      <c r="Q50" s="18" t="inlineStr">
        <is>
          <t>Chưa test</t>
        </is>
      </c>
      <c r="R50" s="15" t="inlineStr"/>
    </row>
    <row r="51" ht="30" customHeight="1">
      <c r="A51" s="14" t="inlineStr">
        <is>
          <t>TC-ADM-050</t>
        </is>
      </c>
      <c r="B51" s="15" t="inlineStr">
        <is>
          <t>Admin Console (đợt 1)</t>
        </is>
      </c>
      <c r="C51" s="15" t="inlineStr">
        <is>
          <t>Tổng quan (Dashboard)</t>
        </is>
      </c>
      <c r="D51" s="15" t="inlineStr">
        <is>
          <t>Bấm dòng 'Báo cáo nội dung' ở 'Cần xử lý' điều hướng đúng</t>
        </is>
      </c>
      <c r="E51" s="15" t="inlineStr">
        <is>
          <t>Chức năng</t>
        </is>
      </c>
      <c r="F51" s="20" t="inlineStr">
        <is>
          <t>Trung bình</t>
        </is>
      </c>
      <c r="G51" s="17" t="inlineStr">
        <is>
          <t>Đã hoàn thiện</t>
        </is>
      </c>
      <c r="H51" s="17" t="inlineStr">
        <is>
          <t>Có</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51" s="15" t="inlineStr">
        <is>
          <t>1. Mở /admin
2. Bấm dòng 'Báo cáo nội dung'</t>
        </is>
      </c>
      <c r="K51" s="15" t="inlineStr">
        <is>
          <t>Báo cáo nội dung</t>
        </is>
      </c>
      <c r="L51" s="15" t="inlineStr">
        <is>
          <t>Chuyển tới /admin/moderation.</t>
        </is>
      </c>
      <c r="M51" s="15" t="inlineStr"/>
      <c r="N51" s="18" t="inlineStr">
        <is>
          <t>Chưa test</t>
        </is>
      </c>
      <c r="O51" s="15" t="inlineStr"/>
      <c r="P51" s="15" t="inlineStr"/>
      <c r="Q51" s="18" t="inlineStr">
        <is>
          <t>Chưa test</t>
        </is>
      </c>
      <c r="R51" s="15" t="inlineStr"/>
    </row>
    <row r="52" ht="30" customHeight="1">
      <c r="A52" s="14" t="inlineStr">
        <is>
          <t>TC-ADM-051</t>
        </is>
      </c>
      <c r="B52" s="15" t="inlineStr">
        <is>
          <t>Admin Console (đợt 1)</t>
        </is>
      </c>
      <c r="C52" s="15" t="inlineStr">
        <is>
          <t>Tổng quan (Dashboard)</t>
        </is>
      </c>
      <c r="D52" s="15" t="inlineStr">
        <is>
          <t>Bấm dòng 'Chi trả chờ duyệt' ở 'Cần xử lý' điều hướng đúng</t>
        </is>
      </c>
      <c r="E52" s="15" t="inlineStr">
        <is>
          <t>Chức năng</t>
        </is>
      </c>
      <c r="F52" s="20" t="inlineStr">
        <is>
          <t>Trung bình</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52" s="15" t="inlineStr">
        <is>
          <t>1. Mở /admin
2. Bấm dòng 'Chi trả chờ duyệt'</t>
        </is>
      </c>
      <c r="K52" s="15" t="inlineStr">
        <is>
          <t>Chi trả chờ duyệt</t>
        </is>
      </c>
      <c r="L52" s="15" t="inlineStr">
        <is>
          <t>Chuyển tới /admin/payments/payouts.</t>
        </is>
      </c>
      <c r="M52" s="15" t="inlineStr"/>
      <c r="N52" s="18" t="inlineStr">
        <is>
          <t>Chưa test</t>
        </is>
      </c>
      <c r="O52" s="15" t="inlineStr"/>
      <c r="P52" s="15" t="inlineStr"/>
      <c r="Q52" s="18" t="inlineStr">
        <is>
          <t>Chưa test</t>
        </is>
      </c>
      <c r="R52" s="15" t="inlineStr"/>
    </row>
    <row r="53" ht="30" customHeight="1">
      <c r="A53" s="14" t="inlineStr">
        <is>
          <t>TC-ADM-052</t>
        </is>
      </c>
      <c r="B53" s="15" t="inlineStr">
        <is>
          <t>Admin Console (đợt 1)</t>
        </is>
      </c>
      <c r="C53" s="15" t="inlineStr">
        <is>
          <t>Tổng quan (Dashboard)</t>
        </is>
      </c>
      <c r="D53" s="15" t="inlineStr">
        <is>
          <t>Bấm dòng 'Hoàn tiền chờ duyệt' ở 'Cần xử lý' điều hướng đúng</t>
        </is>
      </c>
      <c r="E53" s="15" t="inlineStr">
        <is>
          <t>Chức năng</t>
        </is>
      </c>
      <c r="F53" s="20" t="inlineStr">
        <is>
          <t>Trung bình</t>
        </is>
      </c>
      <c r="G53" s="17" t="inlineStr">
        <is>
          <t>Đã hoàn thiện</t>
        </is>
      </c>
      <c r="H53" s="17" t="inlineStr">
        <is>
          <t>Có</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53" s="15" t="inlineStr">
        <is>
          <t>1. Mở /admin
2. Bấm dòng 'Hoàn tiền chờ duyệt'</t>
        </is>
      </c>
      <c r="K53" s="15" t="inlineStr">
        <is>
          <t>Hoàn tiền chờ duyệt</t>
        </is>
      </c>
      <c r="L53" s="15" t="inlineStr">
        <is>
          <t>Chuyển tới /admin/payments/refunds.</t>
        </is>
      </c>
      <c r="M53" s="15" t="inlineStr"/>
      <c r="N53" s="18" t="inlineStr">
        <is>
          <t>Chưa test</t>
        </is>
      </c>
      <c r="O53" s="15" t="inlineStr"/>
      <c r="P53" s="15" t="inlineStr"/>
      <c r="Q53" s="18" t="inlineStr">
        <is>
          <t>Chưa test</t>
        </is>
      </c>
      <c r="R53" s="15" t="inlineStr"/>
    </row>
    <row r="54" ht="30" customHeight="1">
      <c r="A54" s="14" t="inlineStr">
        <is>
          <t>TC-ADM-053</t>
        </is>
      </c>
      <c r="B54" s="15" t="inlineStr">
        <is>
          <t>Admin Console (đợt 1)</t>
        </is>
      </c>
      <c r="C54" s="15" t="inlineStr">
        <is>
          <t>Tổng quan (Dashboard)</t>
        </is>
      </c>
      <c r="D54" s="15" t="inlineStr">
        <is>
          <t>'Thao tác nhanh' có đủ 6 lối tắt và điều hướng đúng</t>
        </is>
      </c>
      <c r="E54" s="15" t="inlineStr">
        <is>
          <t>Chức năng</t>
        </is>
      </c>
      <c r="F54" s="17" t="inlineStr">
        <is>
          <t>Thấp</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54" s="15" t="inlineStr">
        <is>
          <t>1. Mở /admin, đọc khối 'Thao tác nhanh'
2. Bấm lần lượt từng mục</t>
        </is>
      </c>
      <c r="K54" s="15" t="inlineStr">
        <is>
          <t>-</t>
        </is>
      </c>
      <c r="L54" s="15" t="inlineStr">
        <is>
          <t>6 mục: Duyệt báo cáo (/admin/moderation), Tìm người dùng (/admin/users), Tìm cộng đồng (/admin/communities), Duyệt hoàn tiền (/admin/payments/refunds), Xét duyệt cộng đồng (/admin/communities/review), Xem nhật ký (/admin/system/audit).</t>
        </is>
      </c>
      <c r="M54" s="15" t="inlineStr"/>
      <c r="N54" s="18" t="inlineStr">
        <is>
          <t>Chưa test</t>
        </is>
      </c>
      <c r="O54" s="15" t="inlineStr"/>
      <c r="P54" s="15" t="inlineStr"/>
      <c r="Q54" s="18" t="inlineStr">
        <is>
          <t>Chưa test</t>
        </is>
      </c>
      <c r="R54" s="15" t="inlineStr"/>
    </row>
    <row r="55" ht="30" customHeight="1">
      <c r="A55" s="14" t="inlineStr">
        <is>
          <t>TC-ADM-054</t>
        </is>
      </c>
      <c r="B55" s="15" t="inlineStr">
        <is>
          <t>Admin Console (đợt 1)</t>
        </is>
      </c>
      <c r="C55" s="15" t="inlineStr">
        <is>
          <t>Tổng quan (Dashboard)</t>
        </is>
      </c>
      <c r="D55" s="15" t="inlineStr">
        <is>
          <t>'Hoạt động gần đây': câu mô tả được dịch tiếng Việt, câu lạ giữ nguyên</t>
        </is>
      </c>
      <c r="E55" s="15" t="inlineStr">
        <is>
          <t>Giao diện</t>
        </is>
      </c>
      <c r="F55" s="20" t="inlineStr">
        <is>
          <t>Trung bình</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Sau khi admin thực hiện vài thao tác (vd. tạm ngưng một người dùng).</t>
        </is>
      </c>
      <c r="J55" s="15" t="inlineStr">
        <is>
          <t>1. Mở /admin, đọc khối 'Hoạt động gần đây'
2. Bấm liên kết 'Nhật ký hoạt động'</t>
        </is>
      </c>
      <c r="K55" s="15" t="inlineStr">
        <is>
          <t>-</t>
        </is>
      </c>
      <c r="L55" s="15" t="inlineStr">
        <is>
          <t>Dòng dạng '&lt;tên người&gt; đã tạm ngưng người dùng · &lt;đối tượng&gt;' / 'đã đăng ký tài khoản' / 'đã tạo một cộng đồng' kèm thời gian tương đối (vd. '5 phút trước'); liên kết đưa tới /admin/system/audit.</t>
        </is>
      </c>
      <c r="M55" s="15" t="inlineStr"/>
      <c r="N55" s="18" t="inlineStr">
        <is>
          <t>Chưa test</t>
        </is>
      </c>
      <c r="O55" s="15" t="inlineStr"/>
      <c r="P55" s="15" t="inlineStr"/>
      <c r="Q55" s="18" t="inlineStr">
        <is>
          <t>Chưa test</t>
        </is>
      </c>
      <c r="R55" s="15" t="inlineStr"/>
    </row>
    <row r="56" ht="45" customHeight="1">
      <c r="A56" s="14" t="inlineStr">
        <is>
          <t>TC-ADM-055</t>
        </is>
      </c>
      <c r="B56" s="15" t="inlineStr">
        <is>
          <t>Admin Console (đợt 1)</t>
        </is>
      </c>
      <c r="C56" s="15" t="inlineStr">
        <is>
          <t>Tổng quan (Dashboard)</t>
        </is>
      </c>
      <c r="D56" s="15" t="inlineStr">
        <is>
          <t>KPI 'Doanh thu định kỳ (MRR)' định dạng tiền USD và khớp tổng gói active</t>
        </is>
      </c>
      <c r="E56" s="15" t="inlineStr">
        <is>
          <t>Chức năng</t>
        </is>
      </c>
      <c r="F56" s="20" t="inlineStr">
        <is>
          <t>Trung bình</t>
        </is>
      </c>
      <c r="G56" s="17" t="inlineStr">
        <is>
          <t>Đã hoàn thiện</t>
        </is>
      </c>
      <c r="H56" s="20" t="inlineStr">
        <is>
          <t>Một phần</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Có thể truy vấn DB.</t>
        </is>
      </c>
      <c r="J56" s="15" t="inlineStr">
        <is>
          <t>1. Đọc kpis.mrrCents.value
2. Tính tổng priceCents các Subscription status=active (không tính trialing)
3. So với thẻ MRR ở UI</t>
        </is>
      </c>
      <c r="K56" s="15" t="inlineStr">
        <is>
          <t>-</t>
        </is>
      </c>
      <c r="L56" s="15" t="inlineStr">
        <is>
          <t>mrrCents = tổng price gói active (trừ dùng thử; seed paid-demo: member1 active, member2 active hủy cuối kỳ vẫn tính tới hết kỳ, member3 trialing KHÔNG tính + gói lịch sử demo#3..#10); UI hiển thị '$' đúng cent.</t>
        </is>
      </c>
      <c r="M56" s="15" t="inlineStr"/>
      <c r="N56" s="18" t="inlineStr">
        <is>
          <t>Chưa test</t>
        </is>
      </c>
      <c r="O56" s="15" t="inlineStr"/>
      <c r="P56" s="15" t="inlineStr"/>
      <c r="Q56" s="18" t="inlineStr">
        <is>
          <t>Chưa test</t>
        </is>
      </c>
      <c r="R56" s="15" t="inlineStr"/>
    </row>
    <row r="57" ht="45" customHeight="1">
      <c r="A57" s="14" t="inlineStr">
        <is>
          <t>TC-ADM-056</t>
        </is>
      </c>
      <c r="B57" s="15" t="inlineStr">
        <is>
          <t>Admin Console (đợt 1)</t>
        </is>
      </c>
      <c r="C57" s="15" t="inlineStr">
        <is>
          <t>Tổng quan (Dashboard)</t>
        </is>
      </c>
      <c r="D57" s="15" t="inlineStr">
        <is>
          <t>Số liệu dashboard cập nhật sau thao tác quản trị</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57" s="15" t="inlineStr">
        <is>
          <t>1. Ghi lại KPI 'Cộng đồng' và 'Cộng đồng chờ duyệt' ở /admin
2. Duyệt design-circle ở /admin/communities/review
3. Quay lại /admin (hoặc tải lại)</t>
        </is>
      </c>
      <c r="K57" s="15" t="inlineStr">
        <is>
          <t>design-circle</t>
        </is>
      </c>
      <c r="L57" s="15" t="inlineStr">
        <is>
          <t>'Cộng đồng chờ duyệt' giảm 1 (3 -&gt; 2), 'Cộng đồng' tăng 1; 'Hoạt động gần đây' thêm dòng 'đã duyệt cộng đồng · Design Circle'; không cần reset cache thủ công.</t>
        </is>
      </c>
      <c r="M57" s="15" t="inlineStr"/>
      <c r="N57" s="18" t="inlineStr">
        <is>
          <t>Chưa test</t>
        </is>
      </c>
      <c r="O57" s="15" t="inlineStr"/>
      <c r="P57" s="15" t="inlineStr"/>
      <c r="Q57" s="18" t="inlineStr">
        <is>
          <t>Chưa test</t>
        </is>
      </c>
      <c r="R57" s="15" t="inlineStr"/>
    </row>
    <row r="58" ht="30" customHeight="1">
      <c r="A58" s="14" t="inlineStr">
        <is>
          <t>TC-ADM-057</t>
        </is>
      </c>
      <c r="B58" s="15" t="inlineStr">
        <is>
          <t>Admin Console (đợt 1)</t>
        </is>
      </c>
      <c r="C58" s="15" t="inlineStr">
        <is>
          <t>Tổng quan (Dashboard)</t>
        </is>
      </c>
      <c r="D58" s="15" t="inlineStr">
        <is>
          <t>Trạng thái đang tải: Tổng quan hiển thị khối loading</t>
        </is>
      </c>
      <c r="E58" s="15" t="inlineStr">
        <is>
          <t>Giao diện</t>
        </is>
      </c>
      <c r="F58" s="17" t="inlineStr">
        <is>
          <t>Thấp</t>
        </is>
      </c>
      <c r="G58" s="17" t="inlineStr">
        <is>
          <t>Đã hoàn thiện</t>
        </is>
      </c>
      <c r="H58" s="20" t="inlineStr">
        <is>
          <t>Một phần</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58" s="15" t="inlineStr">
        <is>
          <t>1. Throttle mạng 'Slow 3G' trong DevTools
2. Mở /admin</t>
        </is>
      </c>
      <c r="K58" s="15" t="inlineStr">
        <is>
          <t>-</t>
        </is>
      </c>
      <c r="L58" s="15" t="inlineStr">
        <is>
          <t>Trong lúc chờ hiển thị khối đang tải (không trang trắng, không số 0 giả); xong thì thay bằng dữ liệu.</t>
        </is>
      </c>
      <c r="M58" s="15" t="inlineStr"/>
      <c r="N58" s="18" t="inlineStr">
        <is>
          <t>Chưa test</t>
        </is>
      </c>
      <c r="O58" s="15" t="inlineStr"/>
      <c r="P58" s="15" t="inlineStr"/>
      <c r="Q58" s="18" t="inlineStr">
        <is>
          <t>Chưa test</t>
        </is>
      </c>
      <c r="R58" s="15" t="inlineStr"/>
    </row>
    <row r="59" ht="30" customHeight="1">
      <c r="A59" s="14" t="inlineStr">
        <is>
          <t>TC-ADM-058</t>
        </is>
      </c>
      <c r="B59" s="15" t="inlineStr">
        <is>
          <t>Admin Console (đợt 1)</t>
        </is>
      </c>
      <c r="C59" s="15" t="inlineStr">
        <is>
          <t>Tổng quan (Dashboard)</t>
        </is>
      </c>
      <c r="D59" s="15" t="inlineStr">
        <is>
          <t>Trạng thái lỗi: BE lỗi thì hiện khối lỗi và nút thử lại</t>
        </is>
      </c>
      <c r="E59" s="15" t="inlineStr">
        <is>
          <t>Giao diện</t>
        </is>
      </c>
      <c r="F59" s="20" t="inlineStr">
        <is>
          <t>Trung bình</t>
        </is>
      </c>
      <c r="G59" s="17" t="inlineStr">
        <is>
          <t>Đã hoàn thiện</t>
        </is>
      </c>
      <c r="H59" s="20" t="inlineStr">
        <is>
          <t>Một phần</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59" s="15" t="inlineStr">
        <is>
          <t>1. Dừng backend (hoặc chặn /api/admin/dashboard offline) rồi mở /admin
2. Bật lại BE, bấm 'Thử lại'</t>
        </is>
      </c>
      <c r="K59" s="15" t="inlineStr">
        <is>
          <t>-</t>
        </is>
      </c>
      <c r="L59" s="15" t="inlineStr">
        <is>
          <t>Hiện khối lỗi có thông điệp tiếng Việt và nút thử lại; bấm thử lại tải được dữ liệu, không cần reload trang.</t>
        </is>
      </c>
      <c r="M59" s="15" t="inlineStr"/>
      <c r="N59" s="18" t="inlineStr">
        <is>
          <t>Chưa test</t>
        </is>
      </c>
      <c r="O59" s="15" t="inlineStr"/>
      <c r="P59" s="15" t="inlineStr"/>
      <c r="Q59" s="18" t="inlineStr">
        <is>
          <t>Chưa test</t>
        </is>
      </c>
      <c r="R59" s="15" t="inlineStr"/>
    </row>
    <row r="60" ht="30" customHeight="1">
      <c r="A60" s="14" t="inlineStr">
        <is>
          <t>TC-ADM-059</t>
        </is>
      </c>
      <c r="B60" s="15" t="inlineStr">
        <is>
          <t>Admin Console (đợt 1)</t>
        </is>
      </c>
      <c r="C60" s="15" t="inlineStr">
        <is>
          <t>Tổng quan (Dashboard)</t>
        </is>
      </c>
      <c r="D60" s="15" t="inlineStr">
        <is>
          <t>openSupportTickets = null và không có thẻ Ticket/Chargeback giả</t>
        </is>
      </c>
      <c r="E60" s="15" t="inlineStr">
        <is>
          <t>Chức năng</t>
        </is>
      </c>
      <c r="F60" s="17" t="inlineStr">
        <is>
          <t>Thấp</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60" s="15" t="inlineStr">
        <is>
          <t>1. GET /api/admin/dashboard
2. Đọc kpis.openSupportTickets</t>
        </is>
      </c>
      <c r="K60" s="15" t="inlineStr">
        <is>
          <t>-</t>
        </is>
      </c>
      <c r="L60" s="15" t="inlineStr">
        <is>
          <t>kpis.openSupportTickets.value = null (module Support thuộc đợt sau); UI không hiển thị thẻ Ticket/Chargeback/Failed payouts bịa.</t>
        </is>
      </c>
      <c r="M60" s="15" t="inlineStr"/>
      <c r="N60" s="18" t="inlineStr">
        <is>
          <t>Chưa test</t>
        </is>
      </c>
      <c r="O60" s="15" t="inlineStr"/>
      <c r="P60" s="15" t="inlineStr"/>
      <c r="Q60" s="18" t="inlineStr">
        <is>
          <t>Chưa test</t>
        </is>
      </c>
      <c r="R60" s="15" t="inlineStr"/>
    </row>
    <row r="61" ht="30" customHeight="1">
      <c r="A61" s="14" t="inlineStr">
        <is>
          <t>TC-ADM-060</t>
        </is>
      </c>
      <c r="B61" s="15" t="inlineStr">
        <is>
          <t>Admin Console (đợt 1)</t>
        </is>
      </c>
      <c r="C61" s="15" t="inlineStr">
        <is>
          <t>Tổng quan (Dashboard)</t>
        </is>
      </c>
      <c r="D61" s="15" t="inlineStr">
        <is>
          <t>Hiệu năng: dashboard range=90 trả trong thời gian chấp nhận được</t>
        </is>
      </c>
      <c r="E61" s="15" t="inlineStr">
        <is>
          <t>Hiệu năng</t>
        </is>
      </c>
      <c r="F61" s="20" t="inlineStr">
        <is>
          <t>Trung bình</t>
        </is>
      </c>
      <c r="G61" s="17" t="inlineStr">
        <is>
          <t>Đã hoàn thiện</t>
        </is>
      </c>
      <c r="H61" s="20" t="inlineStr">
        <is>
          <t>Một phần</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DB có ~1.5K user minh họa.</t>
        </is>
      </c>
      <c r="J61" s="15" t="inlineStr">
        <is>
          <t>1. Đo thời gian GET /api/admin/dashboard?range=90 (3 lần, bỏ lần đầu)</t>
        </is>
      </c>
      <c r="K61" s="15" t="inlineStr">
        <is>
          <t>range=90</t>
        </is>
      </c>
      <c r="L61" s="15" t="inlineStr">
        <is>
          <t>Phản hồi 200 trong ≤ 2 giây ở máy dev (ghi lại số đo thực tế vào cột Ghi chú).</t>
        </is>
      </c>
      <c r="M61" s="15" t="inlineStr"/>
      <c r="N61" s="18" t="inlineStr">
        <is>
          <t>Chưa test</t>
        </is>
      </c>
      <c r="O61" s="15" t="inlineStr"/>
      <c r="P61" s="15" t="inlineStr"/>
      <c r="Q61" s="18" t="inlineStr">
        <is>
          <t>Chưa test</t>
        </is>
      </c>
      <c r="R61" s="15" t="inlineStr"/>
    </row>
    <row r="62" ht="30" customHeight="1">
      <c r="A62" s="14" t="inlineStr">
        <is>
          <t>TC-ADM-061</t>
        </is>
      </c>
      <c r="B62" s="15" t="inlineStr">
        <is>
          <t>Admin Console (đợt 1)</t>
        </is>
      </c>
      <c r="C62" s="15" t="inlineStr">
        <is>
          <t>Cộng đồng: Danh sách</t>
        </is>
      </c>
      <c r="D62" s="15" t="inlineStr">
        <is>
          <t>Trang /admin/communities: tiêu đề, 6 thẻ KPI và bảng</t>
        </is>
      </c>
      <c r="E62" s="15" t="inlineStr">
        <is>
          <t>Giao diện</t>
        </is>
      </c>
      <c r="F62" s="16" t="inlineStr">
        <is>
          <t>Cao</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62" s="15" t="inlineStr">
        <is>
          <t>1. Mở /admin/communities</t>
        </is>
      </c>
      <c r="K62" s="15" t="inlineStr">
        <is>
          <t>-</t>
        </is>
      </c>
      <c r="L62"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62" s="15" t="inlineStr"/>
      <c r="N62" s="18" t="inlineStr">
        <is>
          <t>Chưa test</t>
        </is>
      </c>
      <c r="O62" s="15" t="inlineStr"/>
      <c r="P62" s="15" t="inlineStr"/>
      <c r="Q62" s="18" t="inlineStr">
        <is>
          <t>Chưa test</t>
        </is>
      </c>
      <c r="R62" s="15" t="inlineStr"/>
    </row>
    <row r="63" ht="30" customHeight="1">
      <c r="A63" s="14" t="inlineStr">
        <is>
          <t>TC-ADM-062</t>
        </is>
      </c>
      <c r="B63" s="15" t="inlineStr">
        <is>
          <t>Admin Console (đợt 1)</t>
        </is>
      </c>
      <c r="C63" s="15" t="inlineStr">
        <is>
          <t>Cộng đồng: Danh sách</t>
        </is>
      </c>
      <c r="D63" s="15" t="inlineStr">
        <is>
          <t>KPI cộng đồng khớp GET /admin/communities/summary và dữ liệu seed</t>
        </is>
      </c>
      <c r="E63" s="15" t="inlineStr">
        <is>
          <t>Chức năng</t>
        </is>
      </c>
      <c r="F63" s="16" t="inlineStr">
        <is>
          <t>Cao</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63" s="15" t="inlineStr">
        <is>
          <t>1. GET /api/admin/communities/summary
2. Đối chiếu với thẻ KPI ở /admin/communities</t>
        </is>
      </c>
      <c r="K63" s="15" t="inlineStr">
        <is>
          <t>-</t>
        </is>
      </c>
      <c r="L63"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63" s="15" t="inlineStr"/>
      <c r="N63" s="18" t="inlineStr">
        <is>
          <t>Chưa test</t>
        </is>
      </c>
      <c r="O63" s="15" t="inlineStr"/>
      <c r="P63" s="15" t="inlineStr"/>
      <c r="Q63" s="18" t="inlineStr">
        <is>
          <t>Chưa test</t>
        </is>
      </c>
      <c r="R63" s="15" t="inlineStr"/>
    </row>
    <row r="64" ht="30" customHeight="1">
      <c r="A64" s="14" t="inlineStr">
        <is>
          <t>TC-ADM-063</t>
        </is>
      </c>
      <c r="B64" s="15" t="inlineStr">
        <is>
          <t>Admin Console (đợt 1)</t>
        </is>
      </c>
      <c r="C64" s="15" t="inlineStr">
        <is>
          <t>Cộng đồng: Danh sách</t>
        </is>
      </c>
      <c r="D64" s="15" t="inlineStr">
        <is>
          <t>Danh sách mặc định: mọi trạng thái trừ 'Đã xóa', mới nhất trước</t>
        </is>
      </c>
      <c r="E64" s="15" t="inlineStr">
        <is>
          <t>Chức năng</t>
        </is>
      </c>
      <c r="F64" s="16" t="inlineStr">
        <is>
          <t>Cao</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64" s="15" t="inlineStr">
        <is>
          <t>1. GET /api/admin/communities
2. Kiểm tra các status trong data và thứ tự createdAt</t>
        </is>
      </c>
      <c r="K64" s="15" t="inlineStr">
        <is>
          <t>-</t>
        </is>
      </c>
      <c r="L64" s="15" t="inlineStr">
        <is>
          <t>Không có dòng status=deleted; có đủ pending_review/changes_requested/rejected/suspended/active; createdAt giảm dần; meta {page:1, limit:20, total, totalPages}.</t>
        </is>
      </c>
      <c r="M64" s="15" t="inlineStr"/>
      <c r="N64" s="18" t="inlineStr">
        <is>
          <t>Chưa test</t>
        </is>
      </c>
      <c r="O64" s="15" t="inlineStr"/>
      <c r="P64" s="15" t="inlineStr"/>
      <c r="Q64" s="18" t="inlineStr">
        <is>
          <t>Chưa test</t>
        </is>
      </c>
      <c r="R64" s="15" t="inlineStr"/>
    </row>
    <row r="65" ht="30" customHeight="1">
      <c r="A65" s="14" t="inlineStr">
        <is>
          <t>TC-ADM-064</t>
        </is>
      </c>
      <c r="B65" s="15" t="inlineStr">
        <is>
          <t>Admin Console (đợt 1)</t>
        </is>
      </c>
      <c r="C65" s="15" t="inlineStr">
        <is>
          <t>Cộng đồng: Danh sách</t>
        </is>
      </c>
      <c r="D65" s="15" t="inlineStr">
        <is>
          <t>Tìm kiếm cộng đồng với từ khóa 'Design'</t>
        </is>
      </c>
      <c r="E65" s="15" t="inlineStr">
        <is>
          <t>Chức năng</t>
        </is>
      </c>
      <c r="F65" s="16" t="inlineStr">
        <is>
          <t>Cao</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65" s="15" t="inlineStr">
        <is>
          <t>1. Mở /admin/communities
2. Gõ 'Design' vào ô 'Tìm theo tên cộng đồng, chủ sở hữu, mã...' (chờ debounce)</t>
        </is>
      </c>
      <c r="K65" s="15" t="inlineStr">
        <is>
          <t>q=Design</t>
        </is>
      </c>
      <c r="L65" s="15" t="inlineStr">
        <is>
          <t>Bảng chỉ còn Design Circle (theo tên); trang về 1; Network gọi GET /api/admin/communities?q=Design.</t>
        </is>
      </c>
      <c r="M65" s="15" t="inlineStr"/>
      <c r="N65" s="18" t="inlineStr">
        <is>
          <t>Chưa test</t>
        </is>
      </c>
      <c r="O65" s="15" t="inlineStr"/>
      <c r="P65" s="15" t="inlineStr"/>
      <c r="Q65" s="18" t="inlineStr">
        <is>
          <t>Chưa test</t>
        </is>
      </c>
      <c r="R65" s="15" t="inlineStr"/>
    </row>
    <row r="66" ht="30" customHeight="1">
      <c r="A66" s="14" t="inlineStr">
        <is>
          <t>TC-ADM-065</t>
        </is>
      </c>
      <c r="B66" s="15" t="inlineStr">
        <is>
          <t>Admin Console (đợt 1)</t>
        </is>
      </c>
      <c r="C66" s="15" t="inlineStr">
        <is>
          <t>Cộng đồng: Danh sách</t>
        </is>
      </c>
      <c r="D66" s="15" t="inlineStr">
        <is>
          <t>Tìm kiếm cộng đồng với từ khóa 'noah'</t>
        </is>
      </c>
      <c r="E66" s="15" t="inlineStr">
        <is>
          <t>Chức năng</t>
        </is>
      </c>
      <c r="F66" s="16" t="inlineStr">
        <is>
          <t>Cao</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66" s="15" t="inlineStr">
        <is>
          <t>1. Mở /admin/communities
2. Gõ 'noah' vào ô 'Tìm theo tên cộng đồng, chủ sở hữu, mã...' (chờ debounce)</t>
        </is>
      </c>
      <c r="K66" s="15" t="inlineStr">
        <is>
          <t>q=noah</t>
        </is>
      </c>
      <c r="L66" s="15" t="inlineStr">
        <is>
          <t>Bảng chỉ còn các cộng đồng do Noah Williams sở hữu (Design Circle, Keto Kitchen KHÔNG hiện vì đã xóa) - theo tên chủ; trang về 1; Network gọi GET /api/admin/communities?q=noah.</t>
        </is>
      </c>
      <c r="M66" s="15" t="inlineStr"/>
      <c r="N66" s="18" t="inlineStr">
        <is>
          <t>Chưa test</t>
        </is>
      </c>
      <c r="O66" s="15" t="inlineStr"/>
      <c r="P66" s="15" t="inlineStr"/>
      <c r="Q66" s="18" t="inlineStr">
        <is>
          <t>Chưa test</t>
        </is>
      </c>
      <c r="R66" s="15" t="inlineStr"/>
    </row>
    <row r="67" ht="30" customHeight="1">
      <c r="A67" s="14" t="inlineStr">
        <is>
          <t>TC-ADM-066</t>
        </is>
      </c>
      <c r="B67" s="15" t="inlineStr">
        <is>
          <t>Admin Console (đợt 1)</t>
        </is>
      </c>
      <c r="C67" s="15" t="inlineStr">
        <is>
          <t>Cộng đồng: Danh sách</t>
        </is>
      </c>
      <c r="D67" s="15" t="inlineStr">
        <is>
          <t>Tìm kiếm cộng đồng với từ khóa 'crypto-signals-pro'</t>
        </is>
      </c>
      <c r="E67" s="15" t="inlineStr">
        <is>
          <t>Chức năng</t>
        </is>
      </c>
      <c r="F67" s="16" t="inlineStr">
        <is>
          <t>Cao</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67" s="15" t="inlineStr">
        <is>
          <t>1. Mở /admin/communities
2. Gõ 'crypto-signals-pro' vào ô 'Tìm theo tên cộng đồng, chủ sở hữu, mã...' (chờ debounce)</t>
        </is>
      </c>
      <c r="K67" s="15" t="inlineStr">
        <is>
          <t>q=crypto-signals-pro</t>
        </is>
      </c>
      <c r="L67" s="15" t="inlineStr">
        <is>
          <t>Bảng chỉ còn Crypto Signals Pro (theo id/slug); trang về 1; Network gọi GET /api/admin/communities?q=crypto-signals-pro.</t>
        </is>
      </c>
      <c r="M67" s="15" t="inlineStr"/>
      <c r="N67" s="18" t="inlineStr">
        <is>
          <t>Chưa test</t>
        </is>
      </c>
      <c r="O67" s="15" t="inlineStr"/>
      <c r="P67" s="15" t="inlineStr"/>
      <c r="Q67" s="18" t="inlineStr">
        <is>
          <t>Chưa test</t>
        </is>
      </c>
      <c r="R67" s="15" t="inlineStr"/>
    </row>
    <row r="68" ht="30" customHeight="1">
      <c r="A68" s="14" t="inlineStr">
        <is>
          <t>TC-ADM-067</t>
        </is>
      </c>
      <c r="B68" s="15" t="inlineStr">
        <is>
          <t>Admin Console (đợt 1)</t>
        </is>
      </c>
      <c r="C68" s="15" t="inlineStr">
        <is>
          <t>Cộng đồng: Danh sách</t>
        </is>
      </c>
      <c r="D68" s="15" t="inlineStr">
        <is>
          <t>Tìm kiếm không có kết quả hiện trạng thái rỗng</t>
        </is>
      </c>
      <c r="E68" s="15" t="inlineStr">
        <is>
          <t>Giao diện</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68" s="15" t="inlineStr">
        <is>
          <t>1. Gõ 'zzzxyz123' vào ô tìm kiếm</t>
        </is>
      </c>
      <c r="K68" s="15" t="inlineStr">
        <is>
          <t>zzzxyz123</t>
        </is>
      </c>
      <c r="L68" s="15" t="inlineStr">
        <is>
          <t>Bảng hiện trạng thái rỗng (không có dòng), phân trang ẩn/0 kết quả, có thể xóa bộ lọc.</t>
        </is>
      </c>
      <c r="M68" s="15" t="inlineStr"/>
      <c r="N68" s="18" t="inlineStr">
        <is>
          <t>Chưa test</t>
        </is>
      </c>
      <c r="O68" s="15" t="inlineStr"/>
      <c r="P68" s="15" t="inlineStr"/>
      <c r="Q68" s="18" t="inlineStr">
        <is>
          <t>Chưa test</t>
        </is>
      </c>
      <c r="R68" s="15" t="inlineStr"/>
    </row>
    <row r="69" ht="30" customHeight="1">
      <c r="A69" s="14" t="inlineStr">
        <is>
          <t>TC-ADM-068</t>
        </is>
      </c>
      <c r="B69" s="15" t="inlineStr">
        <is>
          <t>Admin Console (đợt 1)</t>
        </is>
      </c>
      <c r="C69" s="15" t="inlineStr">
        <is>
          <t>Cộng đồng: Danh sách</t>
        </is>
      </c>
      <c r="D69" s="15" t="inlineStr">
        <is>
          <t>Lọc theo trạng thái 'pending_review' (API)</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69" s="15" t="inlineStr">
        <is>
          <t>1. GET /api/admin/communities?status=pending_review</t>
        </is>
      </c>
      <c r="K69" s="15" t="inlineStr">
        <is>
          <t>status=pending_review</t>
        </is>
      </c>
      <c r="L69" s="15" t="inlineStr">
        <is>
          <t>Chỉ trả cộng đồng ở trạng thái pending_review (seed: design-circle, creator-academy, no-code-nation); meta.total khớp.</t>
        </is>
      </c>
      <c r="M69" s="15" t="inlineStr"/>
      <c r="N69" s="18" t="inlineStr">
        <is>
          <t>Chưa test</t>
        </is>
      </c>
      <c r="O69" s="15" t="inlineStr"/>
      <c r="P69" s="15" t="inlineStr"/>
      <c r="Q69" s="18" t="inlineStr">
        <is>
          <t>Chưa test</t>
        </is>
      </c>
      <c r="R69" s="15" t="inlineStr"/>
    </row>
    <row r="70" ht="30" customHeight="1">
      <c r="A70" s="14" t="inlineStr">
        <is>
          <t>TC-ADM-069</t>
        </is>
      </c>
      <c r="B70" s="15" t="inlineStr">
        <is>
          <t>Admin Console (đợt 1)</t>
        </is>
      </c>
      <c r="C70" s="15" t="inlineStr">
        <is>
          <t>Cộng đồng: Danh sách</t>
        </is>
      </c>
      <c r="D70" s="15" t="inlineStr">
        <is>
          <t>Lọc theo trạng thái 'changes_requested' (API)</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70" s="15" t="inlineStr">
        <is>
          <t>1. GET /api/admin/communities?status=changes_requested</t>
        </is>
      </c>
      <c r="K70" s="15" t="inlineStr">
        <is>
          <t>status=changes_requested</t>
        </is>
      </c>
      <c r="L70" s="15" t="inlineStr">
        <is>
          <t>Chỉ trả cộng đồng ở trạng thái changes_requested (seed: startup-grind); meta.total khớp.</t>
        </is>
      </c>
      <c r="M70" s="15" t="inlineStr"/>
      <c r="N70" s="18" t="inlineStr">
        <is>
          <t>Chưa test</t>
        </is>
      </c>
      <c r="O70" s="15" t="inlineStr"/>
      <c r="P70" s="15" t="inlineStr"/>
      <c r="Q70" s="18" t="inlineStr">
        <is>
          <t>Chưa test</t>
        </is>
      </c>
      <c r="R70" s="15" t="inlineStr"/>
    </row>
    <row r="71" ht="30" customHeight="1">
      <c r="A71" s="14" t="inlineStr">
        <is>
          <t>TC-ADM-070</t>
        </is>
      </c>
      <c r="B71" s="15" t="inlineStr">
        <is>
          <t>Admin Console (đợt 1)</t>
        </is>
      </c>
      <c r="C71" s="15" t="inlineStr">
        <is>
          <t>Cộng đồng: Danh sách</t>
        </is>
      </c>
      <c r="D71" s="15" t="inlineStr">
        <is>
          <t>Lọc theo trạng thái 'rejected' (API)</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71" s="15" t="inlineStr">
        <is>
          <t>1. GET /api/admin/communities?status=rejected</t>
        </is>
      </c>
      <c r="K71" s="15" t="inlineStr">
        <is>
          <t>status=rejected</t>
        </is>
      </c>
      <c r="L71" s="15" t="inlineStr">
        <is>
          <t>Chỉ trả cộng đồng ở trạng thái rejected (seed: quick-rich-club); meta.total khớp.</t>
        </is>
      </c>
      <c r="M71" s="15" t="inlineStr"/>
      <c r="N71" s="18" t="inlineStr">
        <is>
          <t>Chưa test</t>
        </is>
      </c>
      <c r="O71" s="15" t="inlineStr"/>
      <c r="P71" s="15" t="inlineStr"/>
      <c r="Q71" s="18" t="inlineStr">
        <is>
          <t>Chưa test</t>
        </is>
      </c>
      <c r="R71" s="15" t="inlineStr"/>
    </row>
    <row r="72" ht="30" customHeight="1">
      <c r="A72" s="14" t="inlineStr">
        <is>
          <t>TC-ADM-071</t>
        </is>
      </c>
      <c r="B72" s="15" t="inlineStr">
        <is>
          <t>Admin Console (đợt 1)</t>
        </is>
      </c>
      <c r="C72" s="15" t="inlineStr">
        <is>
          <t>Cộng đồng: Danh sách</t>
        </is>
      </c>
      <c r="D72" s="15" t="inlineStr">
        <is>
          <t>Lọc theo trạng thái 'suspended' (API)</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72" s="15" t="inlineStr">
        <is>
          <t>1. GET /api/admin/communities?status=suspended</t>
        </is>
      </c>
      <c r="K72" s="15" t="inlineStr">
        <is>
          <t>status=suspended</t>
        </is>
      </c>
      <c r="L72" s="15" t="inlineStr">
        <is>
          <t>Chỉ trả cộng đồng ở trạng thái suspended (seed: crypto-signals-pro); meta.total khớp.</t>
        </is>
      </c>
      <c r="M72" s="15" t="inlineStr"/>
      <c r="N72" s="18" t="inlineStr">
        <is>
          <t>Chưa test</t>
        </is>
      </c>
      <c r="O72" s="15" t="inlineStr"/>
      <c r="P72" s="15" t="inlineStr"/>
      <c r="Q72" s="18" t="inlineStr">
        <is>
          <t>Chưa test</t>
        </is>
      </c>
      <c r="R72" s="15" t="inlineStr"/>
    </row>
    <row r="73" ht="30" customHeight="1">
      <c r="A73" s="14" t="inlineStr">
        <is>
          <t>TC-ADM-072</t>
        </is>
      </c>
      <c r="B73" s="15" t="inlineStr">
        <is>
          <t>Admin Console (đợt 1)</t>
        </is>
      </c>
      <c r="C73" s="15" t="inlineStr">
        <is>
          <t>Cộng đồng: Danh sách</t>
        </is>
      </c>
      <c r="D73" s="15" t="inlineStr">
        <is>
          <t>Lọc nhiều trạng thái cùng lúc (phân cách dấu phẩy) và lọc 'deleted'</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73" s="15" t="inlineStr">
        <is>
          <t>1. GET /api/admin/communities?status=pending_review,changes_requested
2. GET /api/admin/communities?status=deleted</t>
        </is>
      </c>
      <c r="K73" s="15" t="inlineStr">
        <is>
          <t>-</t>
        </is>
      </c>
      <c r="L73" s="15" t="inlineStr">
        <is>
          <t>Lệnh 1 trả 4 dòng (3 pending + startup-grind). Lệnh 2 trả 4 cộng đồng đã xóa (mặc định bị loại nhưng lọc tường minh thì thấy).</t>
        </is>
      </c>
      <c r="M73" s="15" t="inlineStr"/>
      <c r="N73" s="18" t="inlineStr">
        <is>
          <t>Chưa test</t>
        </is>
      </c>
      <c r="O73" s="15" t="inlineStr"/>
      <c r="P73" s="15" t="inlineStr"/>
      <c r="Q73" s="18" t="inlineStr">
        <is>
          <t>Chưa test</t>
        </is>
      </c>
      <c r="R73" s="15" t="inlineStr"/>
    </row>
    <row r="74" ht="45" customHeight="1">
      <c r="A74" s="14" t="inlineStr">
        <is>
          <t>TC-ADM-073</t>
        </is>
      </c>
      <c r="B74" s="15" t="inlineStr">
        <is>
          <t>Admin Console (đợt 1)</t>
        </is>
      </c>
      <c r="C74" s="15" t="inlineStr">
        <is>
          <t>Cộng đồng: Danh sách</t>
        </is>
      </c>
      <c r="D74" s="15" t="inlineStr">
        <is>
          <t>Giá trị status/sort/pricing không hợp lệ trả 400</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74" s="15" t="inlineStr">
        <is>
          <t>1. GET /api/admin/communities?status=banana
2. GET /api/admin/communities?sort=abc
3. GET /api/admin/communities?pricing=vip</t>
        </is>
      </c>
      <c r="K74" s="15" t="inlineStr">
        <is>
          <t>-</t>
        </is>
      </c>
      <c r="L74" s="15" t="inlineStr">
        <is>
          <t>Cả ba 400 VALIDATION_ERROR (message nêu giá trị không hợp lệ).</t>
        </is>
      </c>
      <c r="M74" s="15" t="inlineStr"/>
      <c r="N74" s="18" t="inlineStr">
        <is>
          <t>Chưa test</t>
        </is>
      </c>
      <c r="O74" s="15" t="inlineStr"/>
      <c r="P74" s="15" t="inlineStr"/>
      <c r="Q74" s="18" t="inlineStr">
        <is>
          <t>Chưa test</t>
        </is>
      </c>
      <c r="R74" s="15" t="inlineStr"/>
    </row>
    <row r="75" ht="75" customHeight="1">
      <c r="A75" s="14" t="inlineStr">
        <is>
          <t>TC-ADM-074</t>
        </is>
      </c>
      <c r="B75" s="15" t="inlineStr">
        <is>
          <t>Admin Console (đợt 1)</t>
        </is>
      </c>
      <c r="C75" s="15" t="inlineStr">
        <is>
          <t>Cộng đồng: Danh sách</t>
        </is>
      </c>
      <c r="D75" s="15" t="inlineStr">
        <is>
          <t>Lọc Miễn phí / Trả phí / Dùng thử và Danh mục, Hiển thị</t>
        </is>
      </c>
      <c r="E75" s="15" t="inlineStr">
        <is>
          <t>Chức năng</t>
        </is>
      </c>
      <c r="F75" s="20" t="inlineStr">
        <is>
          <t>Trung bình</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75" s="15" t="inlineStr">
        <is>
          <t>1. Mở /admin/communities
2. Chọn bộ lọc 'Miễn phí / Trả phí' = Trả phí
3. Đổi sang Miễn phí
4. Chọn 'Danh mục' = một danh mục (vd. Kinh doanh)
5. Chọn 'Hiển thị' = Riêng tư</t>
        </is>
      </c>
      <c r="K75" s="15" t="inlineStr">
        <is>
          <t>-</t>
        </is>
      </c>
      <c r="L75" s="15" t="inlineStr">
        <is>
          <t>Mỗi lần chọn gọi lại API với pricing/category/visibility; Trả phí chỉ có cộng đồng giá &gt; 0 (cột Giá hiển thị '$xx'), Miễn phí hiển thị 'Miễn phí'; Riêng tư chỉ có private-demo; trang luôn quay về 1.</t>
        </is>
      </c>
      <c r="M75" s="15" t="inlineStr"/>
      <c r="N75" s="18" t="inlineStr">
        <is>
          <t>Chưa test</t>
        </is>
      </c>
      <c r="O75" s="15" t="inlineStr"/>
      <c r="P75" s="15" t="inlineStr"/>
      <c r="Q75" s="18" t="inlineStr">
        <is>
          <t>Chưa test</t>
        </is>
      </c>
      <c r="R75" s="15" t="inlineStr"/>
    </row>
    <row r="76" ht="30" customHeight="1">
      <c r="A76" s="14" t="inlineStr">
        <is>
          <t>TC-ADM-075</t>
        </is>
      </c>
      <c r="B76" s="15" t="inlineStr">
        <is>
          <t>Admin Console (đợt 1)</t>
        </is>
      </c>
      <c r="C76" s="15" t="inlineStr">
        <is>
          <t>Cộng đồng: Danh sách</t>
        </is>
      </c>
      <c r="D76" s="15" t="inlineStr">
        <is>
          <t>Sắp xếp cộng đồng theo 'oldest'</t>
        </is>
      </c>
      <c r="E76" s="15" t="inlineStr">
        <is>
          <t>Chức năng</t>
        </is>
      </c>
      <c r="F76" s="20" t="inlineStr">
        <is>
          <t>Trung bình</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76" s="15" t="inlineStr">
        <is>
          <t>1. GET /api/admin/communities?sort=oldest&amp;limit=20</t>
        </is>
      </c>
      <c r="K76" s="15" t="inlineStr">
        <is>
          <t>sort=oldest</t>
        </is>
      </c>
      <c r="L76" s="15" t="inlineStr">
        <is>
          <t>200; thứ tự: createdAt tăng dần.</t>
        </is>
      </c>
      <c r="M76" s="15" t="inlineStr"/>
      <c r="N76" s="18" t="inlineStr">
        <is>
          <t>Chưa test</t>
        </is>
      </c>
      <c r="O76" s="15" t="inlineStr"/>
      <c r="P76" s="15" t="inlineStr"/>
      <c r="Q76" s="18" t="inlineStr">
        <is>
          <t>Chưa test</t>
        </is>
      </c>
      <c r="R76" s="15" t="inlineStr"/>
    </row>
    <row r="77" ht="30" customHeight="1">
      <c r="A77" s="14" t="inlineStr">
        <is>
          <t>TC-ADM-076</t>
        </is>
      </c>
      <c r="B77" s="15" t="inlineStr">
        <is>
          <t>Admin Console (đợt 1)</t>
        </is>
      </c>
      <c r="C77" s="15" t="inlineStr">
        <is>
          <t>Cộng đồng: Danh sách</t>
        </is>
      </c>
      <c r="D77" s="15" t="inlineStr">
        <is>
          <t>Sắp xếp cộng đồng theo 'members'</t>
        </is>
      </c>
      <c r="E77" s="15" t="inlineStr">
        <is>
          <t>Chức năng</t>
        </is>
      </c>
      <c r="F77" s="20" t="inlineStr">
        <is>
          <t>Trung bình</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77" s="15" t="inlineStr">
        <is>
          <t>1. GET /api/admin/communities?sort=members&amp;limit=20</t>
        </is>
      </c>
      <c r="K77" s="15" t="inlineStr">
        <is>
          <t>sort=members</t>
        </is>
      </c>
      <c r="L77" s="15" t="inlineStr">
        <is>
          <t>200; thứ tự: số thành viên giảm dần.</t>
        </is>
      </c>
      <c r="M77" s="15" t="inlineStr"/>
      <c r="N77" s="18" t="inlineStr">
        <is>
          <t>Chưa test</t>
        </is>
      </c>
      <c r="O77" s="15" t="inlineStr"/>
      <c r="P77" s="15" t="inlineStr"/>
      <c r="Q77" s="18" t="inlineStr">
        <is>
          <t>Chưa test</t>
        </is>
      </c>
      <c r="R77" s="15" t="inlineStr"/>
    </row>
    <row r="78" ht="30" customHeight="1">
      <c r="A78" s="14" t="inlineStr">
        <is>
          <t>TC-ADM-077</t>
        </is>
      </c>
      <c r="B78" s="15" t="inlineStr">
        <is>
          <t>Admin Console (đợt 1)</t>
        </is>
      </c>
      <c r="C78" s="15" t="inlineStr">
        <is>
          <t>Cộng đồng: Danh sách</t>
        </is>
      </c>
      <c r="D78" s="15" t="inlineStr">
        <is>
          <t>Sắp xếp cộng đồng theo 'mrr'</t>
        </is>
      </c>
      <c r="E78" s="15" t="inlineStr">
        <is>
          <t>Chức năng</t>
        </is>
      </c>
      <c r="F78" s="20" t="inlineStr">
        <is>
          <t>Trung bình</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78" s="15" t="inlineStr">
        <is>
          <t>1. GET /api/admin/communities?sort=mrr&amp;limit=20</t>
        </is>
      </c>
      <c r="K78" s="15" t="inlineStr">
        <is>
          <t>sort=mrr</t>
        </is>
      </c>
      <c r="L78" s="15" t="inlineStr">
        <is>
          <t>200; thứ tự: MRR giảm dần (paid-demo đầu bảng).</t>
        </is>
      </c>
      <c r="M78" s="15" t="inlineStr"/>
      <c r="N78" s="18" t="inlineStr">
        <is>
          <t>Chưa test</t>
        </is>
      </c>
      <c r="O78" s="15" t="inlineStr"/>
      <c r="P78" s="15" t="inlineStr"/>
      <c r="Q78" s="18" t="inlineStr">
        <is>
          <t>Chưa test</t>
        </is>
      </c>
      <c r="R78" s="15" t="inlineStr"/>
    </row>
    <row r="79" ht="30" customHeight="1">
      <c r="A79" s="14" t="inlineStr">
        <is>
          <t>TC-ADM-078</t>
        </is>
      </c>
      <c r="B79" s="15" t="inlineStr">
        <is>
          <t>Admin Console (đợt 1)</t>
        </is>
      </c>
      <c r="C79" s="15" t="inlineStr">
        <is>
          <t>Cộng đồng: Danh sách</t>
        </is>
      </c>
      <c r="D79" s="15" t="inlineStr">
        <is>
          <t>Sắp xếp cộng đồng theo 'name'</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79" s="15" t="inlineStr">
        <is>
          <t>1. GET /api/admin/communities?sort=name&amp;limit=20</t>
        </is>
      </c>
      <c r="K79" s="15" t="inlineStr">
        <is>
          <t>sort=name</t>
        </is>
      </c>
      <c r="L79" s="15" t="inlineStr">
        <is>
          <t>200; thứ tự: tên A-Z.</t>
        </is>
      </c>
      <c r="M79" s="15" t="inlineStr"/>
      <c r="N79" s="18" t="inlineStr">
        <is>
          <t>Chưa test</t>
        </is>
      </c>
      <c r="O79" s="15" t="inlineStr"/>
      <c r="P79" s="15" t="inlineStr"/>
      <c r="Q79" s="18" t="inlineStr">
        <is>
          <t>Chưa test</t>
        </is>
      </c>
      <c r="R79" s="15" t="inlineStr"/>
    </row>
    <row r="80" ht="75" customHeight="1">
      <c r="A80" s="14" t="inlineStr">
        <is>
          <t>TC-ADM-079</t>
        </is>
      </c>
      <c r="B80" s="15" t="inlineStr">
        <is>
          <t>Admin Console (đợt 1)</t>
        </is>
      </c>
      <c r="C80" s="15" t="inlineStr">
        <is>
          <t>Cộng đồng: Danh sách</t>
        </is>
      </c>
      <c r="D80" s="15" t="inlineStr">
        <is>
          <t>Phân trang: limit/page hợp lệ và giới hạn biên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80" s="15" t="inlineStr">
        <is>
          <t>1. GET /api/admin/communities?limit=2&amp;page=1
2. GET ...?limit=2&amp;page=2
3. GET ...?limit=100
4. GET ...?limit=101
5. GET ...?page=0</t>
        </is>
      </c>
      <c r="K80" s="15" t="inlineStr">
        <is>
          <t>limit 2/100/101, page 0</t>
        </is>
      </c>
      <c r="L80" s="15" t="inlineStr">
        <is>
          <t>limit=2 trả 2 dòng, trang 2 khác trang 1, meta.totalPages = ceil(total/2); limit=100 hợp lệ; limit=101 và page=0 trả 400 VALIDATION_ERROR.</t>
        </is>
      </c>
      <c r="M80" s="15" t="inlineStr"/>
      <c r="N80" s="18" t="inlineStr">
        <is>
          <t>Chưa test</t>
        </is>
      </c>
      <c r="O80" s="15" t="inlineStr"/>
      <c r="P80" s="15" t="inlineStr"/>
      <c r="Q80" s="18" t="inlineStr">
        <is>
          <t>Chưa test</t>
        </is>
      </c>
      <c r="R80" s="15" t="inlineStr"/>
    </row>
    <row r="81" ht="30" customHeight="1">
      <c r="A81" s="14" t="inlineStr">
        <is>
          <t>TC-ADM-080</t>
        </is>
      </c>
      <c r="B81" s="15" t="inlineStr">
        <is>
          <t>Admin Console (đợt 1)</t>
        </is>
      </c>
      <c r="C81" s="15" t="inlineStr">
        <is>
          <t>Cộng đồng: Danh sách</t>
        </is>
      </c>
      <c r="D81" s="15" t="inlineStr">
        <is>
          <t>Phân trang trên giao diện và nút 'Xóa bộ lọc'</t>
        </is>
      </c>
      <c r="E81" s="15" t="inlineStr">
        <is>
          <t>Chức năng</t>
        </is>
      </c>
      <c r="F81" s="20" t="inlineStr">
        <is>
          <t>Trung bình</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81" s="15" t="inlineStr">
        <is>
          <t>1. Mở /admin/communities, bấm sang trang 2 (nếu &gt; 20 cộng đồng)
2. Chọn một bộ lọc rồi bấm xóa bộ lọc</t>
        </is>
      </c>
      <c r="K81" s="15" t="inlineStr">
        <is>
          <t>-</t>
        </is>
      </c>
      <c r="L81" s="15" t="inlineStr">
        <is>
          <t>Phân trang số hoạt động, hiển thị tổng; chọn lọc tự về trang 1; xóa bộ lọc trả về danh sách đầy đủ.</t>
        </is>
      </c>
      <c r="M81" s="15" t="inlineStr"/>
      <c r="N81" s="18" t="inlineStr">
        <is>
          <t>Chưa test</t>
        </is>
      </c>
      <c r="O81" s="15" t="inlineStr"/>
      <c r="P81" s="15" t="inlineStr"/>
      <c r="Q81" s="18" t="inlineStr">
        <is>
          <t>Chưa test</t>
        </is>
      </c>
      <c r="R81" s="15" t="inlineStr"/>
    </row>
    <row r="82" ht="30" customHeight="1">
      <c r="A82" s="14" t="inlineStr">
        <is>
          <t>TC-ADM-081</t>
        </is>
      </c>
      <c r="B82" s="15" t="inlineStr">
        <is>
          <t>Admin Console (đợt 1)</t>
        </is>
      </c>
      <c r="C82" s="15" t="inlineStr">
        <is>
          <t>Cộng đồng: Danh sách</t>
        </is>
      </c>
      <c r="D82" s="15" t="inlineStr">
        <is>
          <t>Bấm vào dòng mở trang chi tiết cộng đồng</t>
        </is>
      </c>
      <c r="E82" s="15" t="inlineStr">
        <is>
          <t>Chức năng</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82" s="15" t="inlineStr">
        <is>
          <t>1. Bấm dòng 'Design Circle'</t>
        </is>
      </c>
      <c r="K82" s="15" t="inlineStr">
        <is>
          <t>design-circle</t>
        </is>
      </c>
      <c r="L82" s="15" t="inlineStr">
        <is>
          <t>Chuyển /admin/communities/design-circle, hiện trang chi tiết.</t>
        </is>
      </c>
      <c r="M82" s="15" t="inlineStr"/>
      <c r="N82" s="18" t="inlineStr">
        <is>
          <t>Chưa test</t>
        </is>
      </c>
      <c r="O82" s="15" t="inlineStr"/>
      <c r="P82" s="15" t="inlineStr"/>
      <c r="Q82" s="18" t="inlineStr">
        <is>
          <t>Chưa test</t>
        </is>
      </c>
      <c r="R82" s="15" t="inlineStr"/>
    </row>
    <row r="83" ht="30" customHeight="1">
      <c r="A83" s="14" t="inlineStr">
        <is>
          <t>TC-ADM-082</t>
        </is>
      </c>
      <c r="B83" s="15" t="inlineStr">
        <is>
          <t>Admin Console (đợt 1)</t>
        </is>
      </c>
      <c r="C83" s="15" t="inlineStr">
        <is>
          <t>Cộng đồng: Danh sách</t>
        </is>
      </c>
      <c r="D83" s="15" t="inlineStr">
        <is>
          <t>Menu '…' của dòng thay đổi theo trạng thái cộng đồng</t>
        </is>
      </c>
      <c r="E83" s="15" t="inlineStr">
        <is>
          <t>Chức năng</t>
        </is>
      </c>
      <c r="F83" s="16" t="inlineStr">
        <is>
          <t>Cao</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83" s="15" t="inlineStr">
        <is>
          <t>1. Mở menu … của lần lượt: Design Circle (pending_review), một cộng đồng active (vd. Nhiếp ảnh - photo), Crypto Signals Pro (suspended)
2. Lọc status=deleted rồi mở menu của một dòng (nếu hiển thị)</t>
        </is>
      </c>
      <c r="K83" s="15" t="inlineStr">
        <is>
          <t>-</t>
        </is>
      </c>
      <c r="L83" s="15" t="inlineStr">
        <is>
          <t>pending: Xem, Mở cộng đồng, Xét duyệt, Xóa (không có Tạm ngưng). active: Xem, Mở cộng đồng, Tạm ngưng, Xóa. suspended: Xem, Mở cộng đồng, Khôi phục, Xóa. deleted: Xem, Khôi phục (không Mở cộng đồng/Xóa).</t>
        </is>
      </c>
      <c r="M83" s="15" t="inlineStr"/>
      <c r="N83" s="18" t="inlineStr">
        <is>
          <t>Chưa test</t>
        </is>
      </c>
      <c r="O83" s="15" t="inlineStr"/>
      <c r="P83" s="15" t="inlineStr"/>
      <c r="Q83" s="18" t="inlineStr">
        <is>
          <t>Chưa test</t>
        </is>
      </c>
      <c r="R83" s="15" t="inlineStr"/>
    </row>
    <row r="84" ht="30" customHeight="1">
      <c r="A84" s="14" t="inlineStr">
        <is>
          <t>TC-ADM-083</t>
        </is>
      </c>
      <c r="B84" s="15" t="inlineStr">
        <is>
          <t>Admin Console (đợt 1)</t>
        </is>
      </c>
      <c r="C84" s="15" t="inlineStr">
        <is>
          <t>Cộng đồng: Danh sách</t>
        </is>
      </c>
      <c r="D84" s="15" t="inlineStr">
        <is>
          <t>'Mở cộng đồng' mở trang công khai trong tab mới</t>
        </is>
      </c>
      <c r="E84" s="15" t="inlineStr">
        <is>
          <t>Chức năng</t>
        </is>
      </c>
      <c r="F84" s="17" t="inlineStr">
        <is>
          <t>Thấp</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84" s="15" t="inlineStr">
        <is>
          <t>1. Menu … của photo &gt; 'Mở cộng đồng'</t>
        </is>
      </c>
      <c r="K84" s="15" t="inlineStr">
        <is>
          <t>photo</t>
        </is>
      </c>
      <c r="L84" s="15" t="inlineStr">
        <is>
          <t>Mở tab mới /courses/photo/community (noopener); trang admin giữ nguyên.</t>
        </is>
      </c>
      <c r="M84" s="15" t="inlineStr"/>
      <c r="N84" s="18" t="inlineStr">
        <is>
          <t>Chưa test</t>
        </is>
      </c>
      <c r="O84" s="15" t="inlineStr"/>
      <c r="P84" s="15" t="inlineStr"/>
      <c r="Q84" s="18" t="inlineStr">
        <is>
          <t>Chưa test</t>
        </is>
      </c>
      <c r="R84" s="15" t="inlineStr"/>
    </row>
    <row r="85" ht="30" customHeight="1">
      <c r="A85" s="14" t="inlineStr">
        <is>
          <t>TC-ADM-084</t>
        </is>
      </c>
      <c r="B85" s="15" t="inlineStr">
        <is>
          <t>Admin Console (đợt 1)</t>
        </is>
      </c>
      <c r="C85" s="15" t="inlineStr">
        <is>
          <t>Cộng đồng: Danh sách</t>
        </is>
      </c>
      <c r="D85" s="15" t="inlineStr">
        <is>
          <t>Cột Chủ sở hữu/Thành viên/MRR của cộng đồng seed</t>
        </is>
      </c>
      <c r="E85" s="15" t="inlineStr">
        <is>
          <t>Chức năng</t>
        </is>
      </c>
      <c r="F85" s="17" t="inlineStr">
        <is>
          <t>Thấp</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85" s="15" t="inlineStr">
        <is>
          <t>1. GET /api/admin/communities?q=paid-demo</t>
        </is>
      </c>
      <c r="K85" s="15" t="inlineStr">
        <is>
          <t>paid-demo</t>
        </is>
      </c>
      <c r="L85" s="15" t="inlineStr">
        <is>
          <t>Dòng paid-demo: owner = Olivia Owner (owner@sofinhub.test), pricing=paid, priceUsd=19, mrrCents &gt; 0 khớp gói active, members đếm mọi ghi danh không bị ban.</t>
        </is>
      </c>
      <c r="M85" s="15" t="inlineStr"/>
      <c r="N85" s="18" t="inlineStr">
        <is>
          <t>Chưa test</t>
        </is>
      </c>
      <c r="O85" s="15" t="inlineStr"/>
      <c r="P85" s="15" t="inlineStr"/>
      <c r="Q85" s="18" t="inlineStr">
        <is>
          <t>Chưa test</t>
        </is>
      </c>
      <c r="R85" s="15" t="inlineStr"/>
    </row>
    <row r="86" ht="30" customHeight="1">
      <c r="A86" s="14" t="inlineStr">
        <is>
          <t>TC-ADM-085</t>
        </is>
      </c>
      <c r="B86" s="15" t="inlineStr">
        <is>
          <t>Admin Console (đợt 1)</t>
        </is>
      </c>
      <c r="C86" s="15" t="inlineStr">
        <is>
          <t>Cộng đồng: Chi tiết</t>
        </is>
      </c>
      <c r="D86" s="15" t="inlineStr">
        <is>
          <t>GET /admin/communities/:id trả đủ trường chi tiết</t>
        </is>
      </c>
      <c r="E86" s="15" t="inlineStr">
        <is>
          <t>Chức năng</t>
        </is>
      </c>
      <c r="F86" s="16" t="inlineStr">
        <is>
          <t>Cao</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86" s="15" t="inlineStr">
        <is>
          <t>1. GET /api/admin/communities/design-circle</t>
        </is>
      </c>
      <c r="K86" s="15" t="inlineStr">
        <is>
          <t>design-circle</t>
        </is>
      </c>
      <c r="L86"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86" s="15" t="inlineStr"/>
      <c r="N86" s="18" t="inlineStr">
        <is>
          <t>Chưa test</t>
        </is>
      </c>
      <c r="O86" s="15" t="inlineStr"/>
      <c r="P86" s="15" t="inlineStr"/>
      <c r="Q86" s="18" t="inlineStr">
        <is>
          <t>Chưa test</t>
        </is>
      </c>
      <c r="R86" s="15" t="inlineStr"/>
    </row>
    <row r="87" ht="30" customHeight="1">
      <c r="A87" s="14" t="inlineStr">
        <is>
          <t>TC-ADM-086</t>
        </is>
      </c>
      <c r="B87" s="15" t="inlineStr">
        <is>
          <t>Admin Console (đợt 1)</t>
        </is>
      </c>
      <c r="C87" s="15" t="inlineStr">
        <is>
          <t>Cộng đồng: Chi tiết</t>
        </is>
      </c>
      <c r="D87" s="15" t="inlineStr">
        <is>
          <t>GET /admin/communities/:id không tồn tại trả 404</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87" s="15" t="inlineStr">
        <is>
          <t>1. GET /api/admin/communities/khong-ton-tai-xyz</t>
        </is>
      </c>
      <c r="K87" s="15" t="inlineStr">
        <is>
          <t>-</t>
        </is>
      </c>
      <c r="L87" s="15" t="inlineStr">
        <is>
          <t>404 NOT_FOUND 'Không tìm thấy cộng đồng'.</t>
        </is>
      </c>
      <c r="M87" s="15" t="inlineStr"/>
      <c r="N87" s="18" t="inlineStr">
        <is>
          <t>Chưa test</t>
        </is>
      </c>
      <c r="O87" s="15" t="inlineStr"/>
      <c r="P87" s="15" t="inlineStr"/>
      <c r="Q87" s="18" t="inlineStr">
        <is>
          <t>Chưa test</t>
        </is>
      </c>
      <c r="R87" s="15" t="inlineStr"/>
    </row>
    <row r="88" ht="30" customHeight="1">
      <c r="A88" s="14" t="inlineStr">
        <is>
          <t>TC-ADM-087</t>
        </is>
      </c>
      <c r="B88" s="15" t="inlineStr">
        <is>
          <t>Admin Console (đợt 1)</t>
        </is>
      </c>
      <c r="C88" s="15" t="inlineStr">
        <is>
          <t>Cộng đồng: Chi tiết</t>
        </is>
      </c>
      <c r="D88" s="15" t="inlineStr">
        <is>
          <t>Chi tiết cộng đồng đã xóa hiển thị lý do, người xóa và hạn xóa vĩnh viễn</t>
        </is>
      </c>
      <c r="E88" s="15" t="inlineStr">
        <is>
          <t>Chức năng</t>
        </is>
      </c>
      <c r="F88" s="20" t="inlineStr">
        <is>
          <t>Trung bình</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88" s="15" t="inlineStr">
        <is>
          <t>1. GET /api/admin/communities/photo-walks</t>
        </is>
      </c>
      <c r="K88" s="15" t="inlineStr">
        <is>
          <t>photo-walks</t>
        </is>
      </c>
      <c r="L88" s="15" t="inlineStr">
        <is>
          <t>200: status=deleted, deleteReason='Fraud', deletedBy = Platform Admin, purgeAt = deletedAt + 30 ngày (còn khoảng 23 ngày).</t>
        </is>
      </c>
      <c r="M88" s="15" t="inlineStr"/>
      <c r="N88" s="18" t="inlineStr">
        <is>
          <t>Chưa test</t>
        </is>
      </c>
      <c r="O88" s="15" t="inlineStr"/>
      <c r="P88" s="15" t="inlineStr"/>
      <c r="Q88" s="18" t="inlineStr">
        <is>
          <t>Chưa test</t>
        </is>
      </c>
      <c r="R88" s="15" t="inlineStr"/>
    </row>
    <row r="89" ht="30" customHeight="1">
      <c r="A89" s="14" t="inlineStr">
        <is>
          <t>TC-ADM-088</t>
        </is>
      </c>
      <c r="B89" s="15" t="inlineStr">
        <is>
          <t>Admin Console (đợt 1)</t>
        </is>
      </c>
      <c r="C89" s="15" t="inlineStr">
        <is>
          <t>Cộng đồng: Chi tiết</t>
        </is>
      </c>
      <c r="D89" s="15" t="inlineStr">
        <is>
          <t>Trang chi tiết có 6 tab và breadcrumb</t>
        </is>
      </c>
      <c r="E89" s="15" t="inlineStr">
        <is>
          <t>Giao diện</t>
        </is>
      </c>
      <c r="F89" s="16" t="inlineStr">
        <is>
          <t>Cao</t>
        </is>
      </c>
      <c r="G89" s="17" t="inlineStr">
        <is>
          <t>Đã hoàn thiện</t>
        </is>
      </c>
      <c r="H89" s="17" t="inlineStr">
        <is>
          <t>Có</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89" s="15" t="inlineStr">
        <is>
          <t>1. Mở /admin/communities/design-circle
2. Bấm lần lượt từng tab</t>
        </is>
      </c>
      <c r="K89" s="15" t="inlineStr">
        <is>
          <t>design-circle</t>
        </is>
      </c>
      <c r="L89" s="15" t="inlineStr">
        <is>
          <t>6 tab: Tổng quan, Thành viên, Bài viết &amp; Bình luận, Doanh thu, Kiểm duyệt, Cài đặt; tab đang chọn lưu trong ?tab=; breadcrumb 'Design Circle' (tab khác tổng quan thì 'Design Circle › &lt;tên tab&gt;' và bấm được).</t>
        </is>
      </c>
      <c r="M89" s="15" t="inlineStr"/>
      <c r="N89" s="18" t="inlineStr">
        <is>
          <t>Chưa test</t>
        </is>
      </c>
      <c r="O89" s="15" t="inlineStr"/>
      <c r="P89" s="15" t="inlineStr"/>
      <c r="Q89" s="18" t="inlineStr">
        <is>
          <t>Chưa test</t>
        </is>
      </c>
      <c r="R89" s="15" t="inlineStr"/>
    </row>
    <row r="90" ht="30" customHeight="1">
      <c r="A90" s="14" t="inlineStr">
        <is>
          <t>TC-ADM-089</t>
        </is>
      </c>
      <c r="B90" s="15" t="inlineStr">
        <is>
          <t>Admin Console (đợt 1)</t>
        </is>
      </c>
      <c r="C90" s="15" t="inlineStr">
        <is>
          <t>Cộng đồng: Chi tiết</t>
        </is>
      </c>
      <c r="D90" s="15" t="inlineStr">
        <is>
          <t>Tab Tổng quan: KPI thành viên/bài viết/doanh thu, Thông tin cộng đồng, Sức khỏe / Rủi ro</t>
        </is>
      </c>
      <c r="E90" s="15" t="inlineStr">
        <is>
          <t>Giao diện</t>
        </is>
      </c>
      <c r="F90" s="20" t="inlineStr">
        <is>
          <t>Trung bình</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90" s="15" t="inlineStr">
        <is>
          <t>1. Mở /admin/communities/photo (tab Tổng quan)</t>
        </is>
      </c>
      <c r="K90" s="15" t="inlineStr">
        <is>
          <t>photo</t>
        </is>
      </c>
      <c r="L90"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90" s="15" t="inlineStr"/>
      <c r="N90" s="18" t="inlineStr">
        <is>
          <t>Chưa test</t>
        </is>
      </c>
      <c r="O90" s="15" t="inlineStr"/>
      <c r="P90" s="15" t="inlineStr"/>
      <c r="Q90" s="18" t="inlineStr">
        <is>
          <t>Chưa test</t>
        </is>
      </c>
      <c r="R90" s="15" t="inlineStr"/>
    </row>
    <row r="91" ht="60" customHeight="1">
      <c r="A91" s="14" t="inlineStr">
        <is>
          <t>TC-ADM-090</t>
        </is>
      </c>
      <c r="B91" s="15" t="inlineStr">
        <is>
          <t>Admin Console (đợt 1)</t>
        </is>
      </c>
      <c r="C91" s="15" t="inlineStr">
        <is>
          <t>Cộng đồng: Chi tiết</t>
        </is>
      </c>
      <c r="D91" s="15" t="inlineStr">
        <is>
          <t>Tab Thành viên: danh sách, tìm kiếm, lọc vai trò, xem người dùng</t>
        </is>
      </c>
      <c r="E91" s="15" t="inlineStr">
        <is>
          <t>Chức năng</t>
        </is>
      </c>
      <c r="F91" s="20" t="inlineStr">
        <is>
          <t>Trung bình</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91" s="15" t="inlineStr">
        <is>
          <t>1. Mở /admin/communities/photo?tab=members
2. Gõ 'sarah' vào ô tìm
3. Lọc 'Vai trò' = Chủ sở hữu
4. Menu … &gt; 'Xem người dùng'</t>
        </is>
      </c>
      <c r="K91" s="15" t="inlineStr">
        <is>
          <t>photo</t>
        </is>
      </c>
      <c r="L91" s="15" t="inlineStr">
        <is>
          <t>Cột: Thành viên (tên+email), Vai trò, Tham gia, Hoạt động gần nhất, Bài viết, Trạng thái. Tìm 'sarah' ra Sarah Kim; lọc Chủ sở hữu ra Olivia Owner; 'Xem người dùng' chuyển /admin/users/&lt;id&gt;.</t>
        </is>
      </c>
      <c r="M91" s="15" t="inlineStr"/>
      <c r="N91" s="18" t="inlineStr">
        <is>
          <t>Chưa test</t>
        </is>
      </c>
      <c r="O91" s="15" t="inlineStr"/>
      <c r="P91" s="15" t="inlineStr"/>
      <c r="Q91" s="18" t="inlineStr">
        <is>
          <t>Chưa test</t>
        </is>
      </c>
      <c r="R91" s="15" t="inlineStr"/>
    </row>
    <row r="92" ht="60" customHeight="1">
      <c r="A92" s="14" t="inlineStr">
        <is>
          <t>TC-ADM-091</t>
        </is>
      </c>
      <c r="B92" s="15" t="inlineStr">
        <is>
          <t>Admin Console (đợt 1)</t>
        </is>
      </c>
      <c r="C92" s="15" t="inlineStr">
        <is>
          <t>Cộng đồng: Chi tiết</t>
        </is>
      </c>
      <c r="D92" s="15" t="inlineStr">
        <is>
          <t>API thành viên cộng đồng: lọc role và phân trang, role sai trả 400</t>
        </is>
      </c>
      <c r="E92" s="15" t="inlineStr">
        <is>
          <t>Chức năng</t>
        </is>
      </c>
      <c r="F92" s="20" t="inlineStr">
        <is>
          <t>Trung bình</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92" s="15" t="inlineStr">
        <is>
          <t>1. GET /api/admin/communities/photo/members?role=owner
2. GET .../members?role=mod
3. GET .../members?role=banana
4. GET .../members?q=sarah&amp;limit=5</t>
        </is>
      </c>
      <c r="K92" s="15" t="inlineStr">
        <is>
          <t>photo</t>
        </is>
      </c>
      <c r="L92" s="15" t="inlineStr">
        <is>
          <t>role=owner trả owner@; role=mod trả mod@ (Mia Moderator); role=banana 400; q lọc theo tên/email; mỗi dòng có userId,name,email,role,joinedAt,lastActiveAt,posts,userStatus,banned (banned@sofinhub.test có banned=true ở photo).</t>
        </is>
      </c>
      <c r="M92" s="15" t="inlineStr"/>
      <c r="N92" s="18" t="inlineStr">
        <is>
          <t>Chưa test</t>
        </is>
      </c>
      <c r="O92" s="15" t="inlineStr"/>
      <c r="P92" s="15" t="inlineStr"/>
      <c r="Q92" s="18" t="inlineStr">
        <is>
          <t>Chưa test</t>
        </is>
      </c>
      <c r="R92" s="15" t="inlineStr"/>
    </row>
    <row r="93" ht="30" customHeight="1">
      <c r="A93" s="14" t="inlineStr">
        <is>
          <t>TC-ADM-092</t>
        </is>
      </c>
      <c r="B93" s="15" t="inlineStr">
        <is>
          <t>Admin Console (đợt 1)</t>
        </is>
      </c>
      <c r="C93" s="15" t="inlineStr">
        <is>
          <t>Cộng đồng: Chi tiết</t>
        </is>
      </c>
      <c r="D93" s="15" t="inlineStr">
        <is>
          <t>Tab Kiểm duyệt: danh sách vụ việc của cộng đồng</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93" s="15" t="inlineStr">
        <is>
          <t>1. Mở /admin/communities/photo?tab=moderation
2. Menu … &gt; 'Duyệt' ở một dòng</t>
        </is>
      </c>
      <c r="K93" s="15" t="inlineStr">
        <is>
          <t>photo</t>
        </is>
      </c>
      <c r="L93" s="15" t="inlineStr">
        <is>
          <t>Bảng 'Báo cáo của cộng đồng' liệt kê các vụ việc photo (#1..#4, #6, #7, #9, #10, #12 + case seed cũ); 'Duyệt' chuyển /admin/moderation/cases/&lt;id&gt;; cộng đồng chưa có báo cáo hiện 'Cộng đồng này chưa có báo cáo nào.'.</t>
        </is>
      </c>
      <c r="M93" s="15" t="inlineStr"/>
      <c r="N93" s="18" t="inlineStr">
        <is>
          <t>Chưa test</t>
        </is>
      </c>
      <c r="O93" s="15" t="inlineStr"/>
      <c r="P93" s="15" t="inlineStr"/>
      <c r="Q93" s="18" t="inlineStr">
        <is>
          <t>Chưa test</t>
        </is>
      </c>
      <c r="R93" s="15" t="inlineStr"/>
    </row>
    <row r="94" ht="30" customHeight="1">
      <c r="A94" s="14" t="inlineStr">
        <is>
          <t>TC-ADM-093</t>
        </is>
      </c>
      <c r="B94" s="15" t="inlineStr">
        <is>
          <t>Admin Console (đợt 1)</t>
        </is>
      </c>
      <c r="C94" s="15" t="inlineStr">
        <is>
          <t>Cộng đồng: Chi tiết</t>
        </is>
      </c>
      <c r="D94" s="15" t="inlineStr">
        <is>
          <t>Tab Doanh thu và Cài đặt (vùng nguy hiểm)</t>
        </is>
      </c>
      <c r="E94" s="15" t="inlineStr">
        <is>
          <t>Giao diện</t>
        </is>
      </c>
      <c r="F94" s="17" t="inlineStr">
        <is>
          <t>Thấp</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94" s="15" t="inlineStr">
        <is>
          <t>1. Mở /admin/communities/paid-demo?tab=revenue
2. Mở ?tab=settings</t>
        </is>
      </c>
      <c r="K94" s="15" t="inlineStr">
        <is>
          <t>paid-demo</t>
        </is>
      </c>
      <c r="L94" s="15" t="inlineStr">
        <is>
          <t>Tab Doanh thu: Tổng doanh thu, MRR, Gói đang hoạt động, ARPU (khi có gói), Hoàn tiền (USD). Tab Cài đặt: 'Thông tin cộng đồng' chỉ đọc + 'Vùng nguy hiểm' có hành động Tạm ngưng/Xóa.</t>
        </is>
      </c>
      <c r="M94" s="15" t="inlineStr"/>
      <c r="N94" s="18" t="inlineStr">
        <is>
          <t>Chưa test</t>
        </is>
      </c>
      <c r="O94" s="15" t="inlineStr"/>
      <c r="P94" s="15" t="inlineStr"/>
      <c r="Q94" s="18" t="inlineStr">
        <is>
          <t>Chưa test</t>
        </is>
      </c>
      <c r="R94" s="15" t="inlineStr"/>
    </row>
    <row r="95" ht="30" customHeight="1">
      <c r="A95" s="14" t="inlineStr">
        <is>
          <t>TC-ADM-094</t>
        </is>
      </c>
      <c r="B95" s="15" t="inlineStr">
        <is>
          <t>Admin Console (đợt 1)</t>
        </is>
      </c>
      <c r="C95" s="15" t="inlineStr">
        <is>
          <t>Cộng đồng: Chi tiết</t>
        </is>
      </c>
      <c r="D95" s="15" t="inlineStr">
        <is>
          <t>Nút hành động đầu trang chi tiết thay đổi theo trạng thái</t>
        </is>
      </c>
      <c r="E95" s="15" t="inlineStr">
        <is>
          <t>Chức năng</t>
        </is>
      </c>
      <c r="F95" s="20" t="inlineStr">
        <is>
          <t>Trung bình</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95" s="15" t="inlineStr">
        <is>
          <t>1. Mở chi tiết design-circle (pending), photo (active), crypto-signals-pro (suspended), photo-walks (deleted)</t>
        </is>
      </c>
      <c r="K95" s="15" t="inlineStr">
        <is>
          <t>-</t>
        </is>
      </c>
      <c r="L95" s="15" t="inlineStr">
        <is>
          <t>pending: Duyệt / Yêu cầu chỉnh sửa / Từ chối; active: Tạm ngưng, Xóa; suspended: Khôi phục, Xóa; deleted: Khôi phục.</t>
        </is>
      </c>
      <c r="M95" s="15" t="inlineStr"/>
      <c r="N95" s="18" t="inlineStr">
        <is>
          <t>Chưa test</t>
        </is>
      </c>
      <c r="O95" s="15" t="inlineStr"/>
      <c r="P95" s="15" t="inlineStr"/>
      <c r="Q95" s="18" t="inlineStr">
        <is>
          <t>Chưa test</t>
        </is>
      </c>
      <c r="R95" s="15" t="inlineStr"/>
    </row>
    <row r="96" ht="30" customHeight="1">
      <c r="A96" s="14" t="inlineStr">
        <is>
          <t>TC-ADM-095</t>
        </is>
      </c>
      <c r="B96" s="15" t="inlineStr">
        <is>
          <t>Admin Console (đợt 1)</t>
        </is>
      </c>
      <c r="C96" s="15" t="inlineStr">
        <is>
          <t>Cộng đồng: Chi tiết</t>
        </is>
      </c>
      <c r="D96" s="15" t="inlineStr">
        <is>
          <t>Chi tiết cộng đồng không tồn tại hiển thị lỗi thân thiện</t>
        </is>
      </c>
      <c r="E96" s="15" t="inlineStr">
        <is>
          <t>Giao diện</t>
        </is>
      </c>
      <c r="F96" s="17" t="inlineStr">
        <is>
          <t>Thấp</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96" s="15" t="inlineStr">
        <is>
          <t>1. Mở /admin/communities/khong-ton-tai-xyz</t>
        </is>
      </c>
      <c r="K96" s="15" t="inlineStr">
        <is>
          <t>-</t>
        </is>
      </c>
      <c r="L96" s="15" t="inlineStr">
        <is>
          <t>Hiện khối lỗi/không tìm thấy bằng tiếng Việt (404), có đường quay lại danh sách; không trắng trang.</t>
        </is>
      </c>
      <c r="M96" s="15" t="inlineStr"/>
      <c r="N96" s="18" t="inlineStr">
        <is>
          <t>Chưa test</t>
        </is>
      </c>
      <c r="O96" s="15" t="inlineStr"/>
      <c r="P96" s="15" t="inlineStr"/>
      <c r="Q96" s="18" t="inlineStr">
        <is>
          <t>Chưa test</t>
        </is>
      </c>
      <c r="R96" s="15" t="inlineStr"/>
    </row>
    <row r="97" ht="30" customHeight="1">
      <c r="A97" s="14" t="inlineStr">
        <is>
          <t>TC-ADM-096</t>
        </is>
      </c>
      <c r="B97" s="15" t="inlineStr">
        <is>
          <t>Admin Console (đợt 1)</t>
        </is>
      </c>
      <c r="C97" s="15" t="inlineStr">
        <is>
          <t>Cộng đồng: Chi tiết</t>
        </is>
      </c>
      <c r="D97" s="15" t="inlineStr">
        <is>
          <t>Liên hệ chủ sở hữu từ trang chi tiết (tin nhắn)</t>
        </is>
      </c>
      <c r="E97" s="15" t="inlineStr">
        <is>
          <t>Chức năng</t>
        </is>
      </c>
      <c r="F97" s="17" t="inlineStr">
        <is>
          <t>Thấp</t>
        </is>
      </c>
      <c r="G97" s="17" t="inlineStr">
        <is>
          <t>Đã hoàn thiện</t>
        </is>
      </c>
      <c r="H97" s="20" t="inlineStr">
        <is>
          <t>Một phần</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97" s="15" t="inlineStr">
        <is>
          <t>1. Ở chi tiết design-circle bấm 'Nhắn chủ sở hữu' (nếu có)</t>
        </is>
      </c>
      <c r="K97" s="15" t="inlineStr">
        <is>
          <t>-</t>
        </is>
      </c>
      <c r="L97" s="15" t="inlineStr">
        <is>
          <t>Dùng POST /api/conversations có sẵn; nếu hai bên không chung cộng đồng BE từ chối thì lỗi hiển thị ngay dạng toast, không treo.</t>
        </is>
      </c>
      <c r="M97" s="15" t="inlineStr"/>
      <c r="N97" s="18" t="inlineStr">
        <is>
          <t>Chưa test</t>
        </is>
      </c>
      <c r="O97" s="15" t="inlineStr"/>
      <c r="P97" s="15" t="inlineStr"/>
      <c r="Q97" s="18" t="inlineStr">
        <is>
          <t>Chưa test</t>
        </is>
      </c>
      <c r="R97" s="15" t="inlineStr"/>
    </row>
    <row r="98" ht="30" customHeight="1">
      <c r="A98" s="14" t="inlineStr">
        <is>
          <t>TC-ADM-097</t>
        </is>
      </c>
      <c r="B98" s="15" t="inlineStr">
        <is>
          <t>Admin Console (đợt 1)</t>
        </is>
      </c>
      <c r="C98" s="15" t="inlineStr">
        <is>
          <t>Cộng đồng: Xét duyệt</t>
        </is>
      </c>
      <c r="D98" s="15" t="inlineStr">
        <is>
          <t>Trang /admin/communities/review: hàng đợi, xem trước, checklist, quyết định</t>
        </is>
      </c>
      <c r="E98" s="15" t="inlineStr">
        <is>
          <t>Giao diện</t>
        </is>
      </c>
      <c r="F98" s="16" t="inlineStr">
        <is>
          <t>Cao</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98" s="15" t="inlineStr">
        <is>
          <t>1. Mở /admin/communities/review</t>
        </is>
      </c>
      <c r="K98" s="15" t="inlineStr">
        <is>
          <t>-</t>
        </is>
      </c>
      <c r="L98"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8" s="15" t="inlineStr"/>
      <c r="N98" s="18" t="inlineStr">
        <is>
          <t>Chưa test</t>
        </is>
      </c>
      <c r="O98" s="15" t="inlineStr"/>
      <c r="P98" s="15" t="inlineStr"/>
      <c r="Q98" s="18" t="inlineStr">
        <is>
          <t>Chưa test</t>
        </is>
      </c>
      <c r="R98" s="15" t="inlineStr"/>
    </row>
    <row r="99" ht="30" customHeight="1">
      <c r="A99" s="14" t="inlineStr">
        <is>
          <t>TC-ADM-098</t>
        </is>
      </c>
      <c r="B99" s="15" t="inlineStr">
        <is>
          <t>Admin Console (đợt 1)</t>
        </is>
      </c>
      <c r="C99" s="15" t="inlineStr">
        <is>
          <t>Cộng đồng: Xét duyệt</t>
        </is>
      </c>
      <c r="D99" s="15" t="inlineStr">
        <is>
          <t>API review-queue: thứ tự cũ nhất trước, kèm signals và waitingHours</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99" s="15" t="inlineStr">
        <is>
          <t>1. GET /api/admin/communities/review-queue</t>
        </is>
      </c>
      <c r="K99" s="15" t="inlineStr">
        <is>
          <t>-</t>
        </is>
      </c>
      <c r="L99" s="15" t="inlineStr">
        <is>
          <t>200 gồm status pending_review + changes_requested, createdAt tăng dần; mỗi dòng có description, submittedAt, waitingHours (no-code-nation ≈ 27), signals {ownerAccountAgeDays, ownerCommunities, ownerViolations90d, hasThumbnail:true, descriptionLength &gt; 0}.</t>
        </is>
      </c>
      <c r="M99" s="15" t="inlineStr"/>
      <c r="N99" s="18" t="inlineStr">
        <is>
          <t>Chưa test</t>
        </is>
      </c>
      <c r="O99" s="15" t="inlineStr"/>
      <c r="P99" s="15" t="inlineStr"/>
      <c r="Q99" s="18" t="inlineStr">
        <is>
          <t>Chưa test</t>
        </is>
      </c>
      <c r="R99" s="15" t="inlineStr"/>
    </row>
    <row r="100" ht="30" customHeight="1">
      <c r="A100" s="14" t="inlineStr">
        <is>
          <t>TC-ADM-099</t>
        </is>
      </c>
      <c r="B100" s="15" t="inlineStr">
        <is>
          <t>Admin Console (đợt 1)</t>
        </is>
      </c>
      <c r="C100" s="15" t="inlineStr">
        <is>
          <t>Cộng đồng: Xét duyệt</t>
        </is>
      </c>
      <c r="D100" s="15" t="inlineStr">
        <is>
          <t>Chọn cộng đồng bằng ?id= mở sẵn bản xem trước</t>
        </is>
      </c>
      <c r="E100" s="15" t="inlineStr">
        <is>
          <t>Chức năng</t>
        </is>
      </c>
      <c r="F100" s="17" t="inlineStr">
        <is>
          <t>Thấp</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00" s="15" t="inlineStr">
        <is>
          <t>1. Mở /admin/communities/review?id=creator-academy</t>
        </is>
      </c>
      <c r="K100" s="15" t="inlineStr">
        <is>
          <t>creator-academy</t>
        </is>
      </c>
      <c r="L100" s="15" t="inlineStr">
        <is>
          <t>Dòng Creator Academy được chọn, khối xem trước hiển thị tên, chủ (Emma Garcia), giá $59, mô tả.</t>
        </is>
      </c>
      <c r="M100" s="15" t="inlineStr"/>
      <c r="N100" s="18" t="inlineStr">
        <is>
          <t>Chưa test</t>
        </is>
      </c>
      <c r="O100" s="15" t="inlineStr"/>
      <c r="P100" s="15" t="inlineStr"/>
      <c r="Q100" s="18" t="inlineStr">
        <is>
          <t>Chưa test</t>
        </is>
      </c>
      <c r="R100" s="15" t="inlineStr"/>
    </row>
    <row r="101" ht="60" customHeight="1">
      <c r="A101" s="14" t="inlineStr">
        <is>
          <t>TC-ADM-100</t>
        </is>
      </c>
      <c r="B101" s="15" t="inlineStr">
        <is>
          <t>Admin Console (đợt 1)</t>
        </is>
      </c>
      <c r="C101" s="15" t="inlineStr">
        <is>
          <t>Cộng đồng: Xét duyệt</t>
        </is>
      </c>
      <c r="D101" s="15" t="inlineStr">
        <is>
          <t>Checklist: các mục tự tính từ signals, hai mục thủ công chỉ lưu tạm trên trình duyệt</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01" s="15" t="inlineStr">
        <is>
          <t>1. Chọn Design Circle
2. Quan sát checklist: Hồ sơ cộng đồng, Mô tả, Lịch sử chủ sở hữu, Vi phạm trước đây
3. Tích 'Chất lượng nội dung' và 'Tuân thủ chính sách'
4. Tải lại trang (F5)</t>
        </is>
      </c>
      <c r="K101" s="15" t="inlineStr">
        <is>
          <t>-</t>
        </is>
      </c>
      <c r="L101" s="15" t="inlineStr">
        <is>
          <t>Hồ sơ cộng đồng tick (có ảnh bìa); Mô tả tick nếu ≥ 50 ký tự; hai mục thủ công tích được; sau F5 hai mục này trở lại chưa tích (không lưu BE - ghi nhận ở ADMIN_BACKEND_GAPS).</t>
        </is>
      </c>
      <c r="M101" s="15" t="inlineStr"/>
      <c r="N101" s="18" t="inlineStr">
        <is>
          <t>Chưa test</t>
        </is>
      </c>
      <c r="O101" s="15" t="inlineStr"/>
      <c r="P101" s="15" t="inlineStr"/>
      <c r="Q101" s="18" t="inlineStr">
        <is>
          <t>Chưa test</t>
        </is>
      </c>
      <c r="R101" s="15" t="inlineStr"/>
    </row>
    <row r="102" ht="45" customHeight="1">
      <c r="A102" s="14" t="inlineStr">
        <is>
          <t>TC-ADM-101</t>
        </is>
      </c>
      <c r="B102" s="15" t="inlineStr">
        <is>
          <t>Admin Console (đợt 1)</t>
        </is>
      </c>
      <c r="C102" s="15" t="inlineStr">
        <is>
          <t>Cộng đồng: Xét duyệt</t>
        </is>
      </c>
      <c r="D102" s="15" t="inlineStr">
        <is>
          <t>Duyệt cộng đồng pending_review (UI): thành active, toast và biến mất khỏi hàng đợi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Mở /admin/communities/review, chọn Design Circle
2. Nhập ghi chú 'OK nội dung' ở ô ghi chú
3. Bấm 'Duyệt', xác nhận ở hộp thoại 'Duyệt Design Circle?'</t>
        </is>
      </c>
      <c r="K102" s="15" t="inlineStr">
        <is>
          <t>design-circle, note='OK nội dung'</t>
        </is>
      </c>
      <c r="L102" s="15" t="inlineStr">
        <is>
          <t>Toast 'Đã duyệt · Design Circle'; hàng đợi còn 3 dòng; /admin/communities?q=design-circle cho trạng thái 'Hoạt động'; KPI 'Chờ duyệt' giảm 1; chủ noah nhận thông báo (nếu BE gửi).</t>
        </is>
      </c>
      <c r="M102" s="15" t="inlineStr"/>
      <c r="N102" s="18" t="inlineStr">
        <is>
          <t>Chưa test</t>
        </is>
      </c>
      <c r="O102" s="15" t="inlineStr"/>
      <c r="P102" s="15" t="inlineStr"/>
      <c r="Q102" s="18" t="inlineStr">
        <is>
          <t>Chưa test</t>
        </is>
      </c>
      <c r="R102" s="15" t="inlineStr"/>
    </row>
    <row r="103" ht="45" customHeight="1">
      <c r="A103" s="14" t="inlineStr">
        <is>
          <t>TC-ADM-102</t>
        </is>
      </c>
      <c r="B103" s="15" t="inlineStr">
        <is>
          <t>Admin Console (đợt 1)</t>
        </is>
      </c>
      <c r="C103" s="15" t="inlineStr">
        <is>
          <t>Cộng đồng: Xét duyệt</t>
        </is>
      </c>
      <c r="D103" s="15" t="inlineStr">
        <is>
          <t>POST approve: pending_review -&gt; active, ghi audit community.approve</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/api/admin/communities/creator-academy/approve {"note":"ok"}
2. GET /api/admin/communities/creator-academy
3. GET /api/admin/audit-logs?action=community.approve</t>
        </is>
      </c>
      <c r="K103" s="15" t="inlineStr">
        <is>
          <t>creator-academy</t>
        </is>
      </c>
      <c r="L103" s="15" t="inlineStr">
        <is>
          <t>200 AdminCommunity.status=active; audit có dòng community.approve targetId=creator-academy, targetLabel 'Creator Academy', actor Platform Admin, note 'ok', metadata from/to.</t>
        </is>
      </c>
      <c r="M103" s="15" t="inlineStr"/>
      <c r="N103" s="18" t="inlineStr">
        <is>
          <t>Chưa test</t>
        </is>
      </c>
      <c r="O103" s="15" t="inlineStr"/>
      <c r="P103" s="15" t="inlineStr"/>
      <c r="Q103" s="18" t="inlineStr">
        <is>
          <t>Chưa test</t>
        </is>
      </c>
      <c r="R103" s="15" t="inlineStr"/>
    </row>
    <row r="104" ht="30" customHeight="1">
      <c r="A104" s="14" t="inlineStr">
        <is>
          <t>TC-ADM-103</t>
        </is>
      </c>
      <c r="B104" s="15" t="inlineStr">
        <is>
          <t>Admin Console (đợt 1)</t>
        </is>
      </c>
      <c r="C104" s="15" t="inlineStr">
        <is>
          <t>Cộng đồng: Xét duyệt</t>
        </is>
      </c>
      <c r="D104" s="15" t="inlineStr">
        <is>
          <t>Duyệt cộng đồng changes_requested -&gt; active</t>
        </is>
      </c>
      <c r="E104" s="15" t="inlineStr">
        <is>
          <t>Chức năng</t>
        </is>
      </c>
      <c r="F104" s="20" t="inlineStr">
        <is>
          <t>Trung bình</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/api/admin/communities/startup-grind/approve {}</t>
        </is>
      </c>
      <c r="K104" s="15" t="inlineStr">
        <is>
          <t>startup-grind</t>
        </is>
      </c>
      <c r="L104" s="15" t="inlineStr">
        <is>
          <t>200, status=active.</t>
        </is>
      </c>
      <c r="M104" s="15" t="inlineStr"/>
      <c r="N104" s="18" t="inlineStr">
        <is>
          <t>Chưa test</t>
        </is>
      </c>
      <c r="O104" s="15" t="inlineStr"/>
      <c r="P104" s="15" t="inlineStr"/>
      <c r="Q104" s="18" t="inlineStr">
        <is>
          <t>Chưa test</t>
        </is>
      </c>
      <c r="R104" s="15" t="inlineStr"/>
    </row>
    <row r="105" ht="45" customHeight="1">
      <c r="A105" s="14" t="inlineStr">
        <is>
          <t>TC-ADM-104</t>
        </is>
      </c>
      <c r="B105" s="15" t="inlineStr">
        <is>
          <t>Admin Console (đợt 1)</t>
        </is>
      </c>
      <c r="C105" s="15" t="inlineStr">
        <is>
          <t>Cộng đồng: Xét duyệt</t>
        </is>
      </c>
      <c r="D105" s="15" t="inlineStr">
        <is>
          <t>Duyệt cộng đồng đã active/rejected/suspended trả 409</t>
        </is>
      </c>
      <c r="E105" s="15" t="inlineStr">
        <is>
          <t>Chức năng</t>
        </is>
      </c>
      <c r="F105" s="20" t="inlineStr">
        <is>
          <t>Trung bình</t>
        </is>
      </c>
      <c r="G105" s="17" t="inlineStr">
        <is>
          <t>Đã hoàn thiện</t>
        </is>
      </c>
      <c r="H105" s="17" t="inlineStr">
        <is>
          <t>Có</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05" s="15" t="inlineStr">
        <is>
          <t>1. POST /api/admin/communities/photo/approve {}
2. POST /api/admin/communities/quick-rich-club/approve {}
3. POST /api/admin/communities/crypto-signals-pro/approve {}</t>
        </is>
      </c>
      <c r="K105" s="15" t="inlineStr">
        <is>
          <t>photo, quick-rich-club, crypto-signals-pro</t>
        </is>
      </c>
      <c r="L105" s="15" t="inlineStr">
        <is>
          <t>Cả ba 409 CONFLICT (chỉ pending_review|changes_requested mới duyệt được); trạng thái không đổi; không có dòng audit mới.</t>
        </is>
      </c>
      <c r="M105" s="15" t="inlineStr"/>
      <c r="N105" s="18" t="inlineStr">
        <is>
          <t>Chưa test</t>
        </is>
      </c>
      <c r="O105" s="15" t="inlineStr"/>
      <c r="P105" s="15" t="inlineStr"/>
      <c r="Q105" s="18" t="inlineStr">
        <is>
          <t>Chưa test</t>
        </is>
      </c>
      <c r="R105" s="15" t="inlineStr"/>
    </row>
    <row r="106" ht="30" customHeight="1">
      <c r="A106" s="14" t="inlineStr">
        <is>
          <t>TC-ADM-105</t>
        </is>
      </c>
      <c r="B106" s="15" t="inlineStr">
        <is>
          <t>Admin Console (đợt 1)</t>
        </is>
      </c>
      <c r="C106" s="15" t="inlineStr">
        <is>
          <t>Cộng đồng: Xét duyệt</t>
        </is>
      </c>
      <c r="D106" s="15" t="inlineStr">
        <is>
          <t>Duyệt cộng đồng không tồn tại trả 404 và cộng đồng đã xóa trả 409</t>
        </is>
      </c>
      <c r="E106" s="15" t="inlineStr">
        <is>
          <t>Chức năng</t>
        </is>
      </c>
      <c r="F106" s="20" t="inlineStr">
        <is>
          <t>Trung bình</t>
        </is>
      </c>
      <c r="G106" s="17" t="inlineStr">
        <is>
          <t>Đã hoàn thiện</t>
        </is>
      </c>
      <c r="H106" s="17" t="inlineStr">
        <is>
          <t>Có</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06" s="15" t="inlineStr">
        <is>
          <t>1. POST /api/admin/communities/khong-ton-tai/approve {}
2. POST /api/admin/communities/photo-walks/approve {}</t>
        </is>
      </c>
      <c r="K106" s="15" t="inlineStr">
        <is>
          <t>-</t>
        </is>
      </c>
      <c r="L106" s="15" t="inlineStr">
        <is>
          <t>Lệnh 1: 404; lệnh 2: 409 'Cộng đồng đã bị xóa — hãy khôi phục trước'.</t>
        </is>
      </c>
      <c r="M106" s="15" t="inlineStr"/>
      <c r="N106" s="18" t="inlineStr">
        <is>
          <t>Chưa test</t>
        </is>
      </c>
      <c r="O106" s="15" t="inlineStr"/>
      <c r="P106" s="15" t="inlineStr"/>
      <c r="Q106" s="18" t="inlineStr">
        <is>
          <t>Chưa test</t>
        </is>
      </c>
      <c r="R106" s="15" t="inlineStr"/>
    </row>
    <row r="107" ht="75" customHeight="1">
      <c r="A107" s="14" t="inlineStr">
        <is>
          <t>TC-ADM-106</t>
        </is>
      </c>
      <c r="B107" s="15" t="inlineStr">
        <is>
          <t>Admin Console (đợt 1)</t>
        </is>
      </c>
      <c r="C107" s="15" t="inlineStr">
        <is>
          <t>Cộng đồng: Xét duyệt</t>
        </is>
      </c>
      <c r="D107" s="15" t="inlineStr">
        <is>
          <t>Yêu cầu chỉnh sửa (UI): chọn chủ đề + tin nhắn, chuyển 'Đã yêu cầu chỉnh sửa'</t>
        </is>
      </c>
      <c r="E107" s="15" t="inlineStr">
        <is>
          <t>Chức năng</t>
        </is>
      </c>
      <c r="F107" s="16" t="inlineStr">
        <is>
          <t>Cao</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7" s="15" t="inlineStr">
        <is>
          <t>1. Chọn Creator Academy ở trang xét duyệt
2. Bấm 'Yêu cầu chỉnh sửa'
3. Chọn chip 'Mô tả' và 'Giá'
4. Nhập 'Vui lòng bổ sung mô tả chi tiết hơn' ở 'Tin nhắn gửi chủ sở hữu'
5. Xác nhận</t>
        </is>
      </c>
      <c r="K107" s="15" t="inlineStr">
        <is>
          <t>creator-academy</t>
        </is>
      </c>
      <c r="L107" s="15" t="inlineStr">
        <is>
          <t>Toast 'Đã yêu cầu chỉnh sửa · Creator Academy'; trạng thái thành 'Đã yêu cầu chỉnh sửa'; ghi chú gửi BE gồm 'Cần chỉnh sửa: Mô tả, Giá.' + nội dung tin nhắn; chủ emma nhận thông báo.</t>
        </is>
      </c>
      <c r="M107" s="15" t="inlineStr"/>
      <c r="N107" s="18" t="inlineStr">
        <is>
          <t>Chưa test</t>
        </is>
      </c>
      <c r="O107" s="15" t="inlineStr"/>
      <c r="P107" s="15" t="inlineStr"/>
      <c r="Q107" s="18" t="inlineStr">
        <is>
          <t>Chưa test</t>
        </is>
      </c>
      <c r="R107" s="15" t="inlineStr"/>
    </row>
    <row r="108" ht="45" customHeight="1">
      <c r="A108" s="14" t="inlineStr">
        <is>
          <t>TC-ADM-107</t>
        </is>
      </c>
      <c r="B108" s="15" t="inlineStr">
        <is>
          <t>Admin Console (đợt 1)</t>
        </is>
      </c>
      <c r="C108" s="15" t="inlineStr">
        <is>
          <t>Cộng đồng: Xét duyệt</t>
        </is>
      </c>
      <c r="D108" s="15" t="inlineStr">
        <is>
          <t>POST request-changes bắt buộc note (400 khi thiếu/rỗng)</t>
        </is>
      </c>
      <c r="E108" s="15" t="inlineStr">
        <is>
          <t>Chức năng</t>
        </is>
      </c>
      <c r="F108" s="16" t="inlineStr">
        <is>
          <t>Cao</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08" s="15" t="inlineStr">
        <is>
          <t>1. POST /api/admin/communities/no-code-nation/request-changes {}
2. POST ... {"note":""}
3. POST ... {"note":"Cần ảnh bìa"}</t>
        </is>
      </c>
      <c r="K108" s="15" t="inlineStr">
        <is>
          <t>no-code-nation Case làm thay đổi dữ liệu seed - khôi phục bằng npm run db:reset (db:seed là idempotent chỉ-tạo nên KHÔNG ghi đè thao tác admin đã làm); hoặc dùng bản ghi khác chưa bị đụng tới.</t>
        </is>
      </c>
      <c r="L108" s="15" t="inlineStr">
        <is>
          <t>Lệnh 1 và 2: 400 VALIDATION_ERROR; lệnh 3: 200 status=changes_requested; audit community.request_changes có note 'Cần ảnh bìa'.</t>
        </is>
      </c>
      <c r="M108" s="15" t="inlineStr"/>
      <c r="N108" s="18" t="inlineStr">
        <is>
          <t>Chưa test</t>
        </is>
      </c>
      <c r="O108" s="15" t="inlineStr"/>
      <c r="P108" s="15" t="inlineStr"/>
      <c r="Q108" s="18" t="inlineStr">
        <is>
          <t>Chưa test</t>
        </is>
      </c>
      <c r="R108" s="15" t="inlineStr"/>
    </row>
    <row r="109" ht="30" customHeight="1">
      <c r="A109" s="14" t="inlineStr">
        <is>
          <t>TC-ADM-108</t>
        </is>
      </c>
      <c r="B109" s="15" t="inlineStr">
        <is>
          <t>Admin Console (đợt 1)</t>
        </is>
      </c>
      <c r="C109" s="15" t="inlineStr">
        <is>
          <t>Cộng đồng: Xét duyệt</t>
        </is>
      </c>
      <c r="D109" s="15" t="inlineStr">
        <is>
          <t>request-changes trên cộng đồng đang changes_requested hoặc active trả 409</t>
        </is>
      </c>
      <c r="E109" s="15" t="inlineStr">
        <is>
          <t>Chức năng</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09" s="15" t="inlineStr">
        <is>
          <t>1. POST /api/admin/communities/startup-grind/request-changes {"note":"x"}
2. POST /api/admin/communities/photo/request-changes {"note":"x"}</t>
        </is>
      </c>
      <c r="K109" s="15" t="inlineStr">
        <is>
          <t>-</t>
        </is>
      </c>
      <c r="L109" s="15" t="inlineStr">
        <is>
          <t>Cả hai 409 CONFLICT (chỉ pending_review mới yêu cầu chỉnh sửa); nút UI 'Yêu cầu chỉnh sửa' bị vô hiệu ở startup-grind.</t>
        </is>
      </c>
      <c r="M109" s="15" t="inlineStr"/>
      <c r="N109" s="18" t="inlineStr">
        <is>
          <t>Chưa test</t>
        </is>
      </c>
      <c r="O109" s="15" t="inlineStr"/>
      <c r="P109" s="15" t="inlineStr"/>
      <c r="Q109" s="18" t="inlineStr">
        <is>
          <t>Chưa test</t>
        </is>
      </c>
      <c r="R109" s="15" t="inlineStr"/>
    </row>
    <row r="110" ht="60" customHeight="1">
      <c r="A110" s="14" t="inlineStr">
        <is>
          <t>TC-ADM-109</t>
        </is>
      </c>
      <c r="B110" s="15" t="inlineStr">
        <is>
          <t>Admin Console (đợt 1)</t>
        </is>
      </c>
      <c r="C110" s="15" t="inlineStr">
        <is>
          <t>Cộng đồng: Xét duyệt</t>
        </is>
      </c>
      <c r="D110" s="15" t="inlineStr">
        <is>
          <t>Từ chối cộng đồng (UI): chọn lý do, ghi chú, trạng thái 'Đã từ chối'</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Chọn No-Code Nation
2. Bấm 'Từ chối'
3. Chọn lý do 'Nội dung không phù hợp'
4. Nhập ghi chú, xác nhận</t>
        </is>
      </c>
      <c r="K110" s="15" t="inlineStr">
        <is>
          <t>no-code-nation</t>
        </is>
      </c>
      <c r="L110" s="15" t="inlineStr">
        <is>
          <t>Toast 'Đã từ chối · No-Code Nation'; trạng thái 'Đã từ chối'; cộng đồng ra khỏi hàng đợi; chủ ava nhận thông báo; nhật ký có community.reject với reason 'Nội dung không phù hợp'.</t>
        </is>
      </c>
      <c r="M110" s="15" t="inlineStr"/>
      <c r="N110" s="18" t="inlineStr">
        <is>
          <t>Chưa test</t>
        </is>
      </c>
      <c r="O110" s="15" t="inlineStr"/>
      <c r="P110" s="15" t="inlineStr"/>
      <c r="Q110" s="18" t="inlineStr">
        <is>
          <t>Chưa test</t>
        </is>
      </c>
      <c r="R110" s="15" t="inlineStr"/>
    </row>
    <row r="111" ht="45" customHeight="1">
      <c r="A111" s="14" t="inlineStr">
        <is>
          <t>TC-ADM-110</t>
        </is>
      </c>
      <c r="B111" s="15" t="inlineStr">
        <is>
          <t>Admin Console (đợt 1)</t>
        </is>
      </c>
      <c r="C111" s="15" t="inlineStr">
        <is>
          <t>Cộng đồng: Xét duyệt</t>
        </is>
      </c>
      <c r="D111" s="15" t="inlineStr">
        <is>
          <t>POST reject: validate lý do và chuyển trạng thái</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/api/admin/communities/design-circle/reject {}
2. POST ... {"reason":"Trùng lặp"}
3. POST /api/admin/communities/photo/reject {"reason":"x"}</t>
        </is>
      </c>
      <c r="K111" s="15" t="inlineStr">
        <is>
          <t>design-circle, photo</t>
        </is>
      </c>
      <c r="L111" s="15" t="inlineStr">
        <is>
          <t>Lệnh 1: 400 (thiếu reason); lệnh 2: 200 status=rejected, statusReason='Trùng lặp'; lệnh 3: 409 (cộng đồng active không từ chối được).</t>
        </is>
      </c>
      <c r="M111" s="15" t="inlineStr"/>
      <c r="N111" s="18" t="inlineStr">
        <is>
          <t>Chưa test</t>
        </is>
      </c>
      <c r="O111" s="15" t="inlineStr"/>
      <c r="P111" s="15" t="inlineStr"/>
      <c r="Q111" s="18" t="inlineStr">
        <is>
          <t>Chưa test</t>
        </is>
      </c>
      <c r="R111" s="15" t="inlineStr"/>
    </row>
    <row r="112" ht="30" customHeight="1">
      <c r="A112" s="14" t="inlineStr">
        <is>
          <t>TC-ADM-111</t>
        </is>
      </c>
      <c r="B112" s="15" t="inlineStr">
        <is>
          <t>Admin Console (đợt 1)</t>
        </is>
      </c>
      <c r="C112" s="15" t="inlineStr">
        <is>
          <t>Cộng đồng: Xét duyệt</t>
        </is>
      </c>
      <c r="D112" s="15" t="inlineStr">
        <is>
          <t>Từ chối cộng đồng changes_requested</t>
        </is>
      </c>
      <c r="E112" s="15" t="inlineStr">
        <is>
          <t>Chức năng</t>
        </is>
      </c>
      <c r="F112" s="17" t="inlineStr">
        <is>
          <t>Thấp</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/api/admin/communities/startup-grind/reject {"reason":"Khác"}</t>
        </is>
      </c>
      <c r="K112" s="15" t="inlineStr">
        <is>
          <t>startup-grind</t>
        </is>
      </c>
      <c r="L112" s="15" t="inlineStr">
        <is>
          <t>200 status=rejected.</t>
        </is>
      </c>
      <c r="M112" s="15" t="inlineStr"/>
      <c r="N112" s="18" t="inlineStr">
        <is>
          <t>Chưa test</t>
        </is>
      </c>
      <c r="O112" s="15" t="inlineStr"/>
      <c r="P112" s="15" t="inlineStr"/>
      <c r="Q112" s="18" t="inlineStr">
        <is>
          <t>Chưa test</t>
        </is>
      </c>
      <c r="R112" s="15" t="inlineStr"/>
    </row>
    <row r="113" ht="45" customHeight="1">
      <c r="A113" s="14" t="inlineStr">
        <is>
          <t>TC-ADM-112</t>
        </is>
      </c>
      <c r="B113" s="15" t="inlineStr">
        <is>
          <t>Admin Console (đợt 1)</t>
        </is>
      </c>
      <c r="C113" s="15" t="inlineStr">
        <is>
          <t>Cộng đồng: Xét duyệt</t>
        </is>
      </c>
      <c r="D113" s="15" t="inlineStr">
        <is>
          <t>Cộng đồng chưa duyệt không hiện ở /courses, tìm kiếm và danh mục</t>
        </is>
      </c>
      <c r="E113" s="15" t="inlineStr">
        <is>
          <t>Chức năng</t>
        </is>
      </c>
      <c r="F113" s="16" t="inlineStr">
        <is>
          <t>Cao</t>
        </is>
      </c>
      <c r="G113" s="17" t="inlineStr">
        <is>
          <t>Đã hoàn thiện</t>
        </is>
      </c>
      <c r="H113" s="20" t="inlineStr">
        <is>
          <t>Một phần</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Không cần đăng nhập để kiểm tra trang công khai.</t>
        </is>
      </c>
      <c r="J113" s="15" t="inlineStr">
        <is>
          <t>1. Mở /courses (khám phá) và tìm 'Design Circle', 'Creator Academy', 'Quick Rich Club', 'Crypto Signals Pro'
2. GET /api/courses?limit=100 và /api/search?q=Design
3. Mở /courses/design-circle</t>
        </is>
      </c>
      <c r="K113" s="15" t="inlineStr">
        <is>
          <t>-</t>
        </is>
      </c>
      <c r="L113" s="15" t="inlineStr">
        <is>
          <t>Cả 4 KHÔNG xuất hiện trong danh sách/tìm kiếm/đếm danh mục (chỉ active, chưa khóa, chưa xóa mới hiện); cộng đồng photo vẫn hiện bình thường.</t>
        </is>
      </c>
      <c r="M113" s="15" t="inlineStr"/>
      <c r="N113" s="18" t="inlineStr">
        <is>
          <t>Chưa test</t>
        </is>
      </c>
      <c r="O113" s="15" t="inlineStr"/>
      <c r="P113" s="15" t="inlineStr"/>
      <c r="Q113" s="18" t="inlineStr">
        <is>
          <t>Chưa test</t>
        </is>
      </c>
      <c r="R113" s="15" t="inlineStr"/>
    </row>
    <row r="114" ht="30" customHeight="1">
      <c r="A114" s="14" t="inlineStr">
        <is>
          <t>TC-ADM-113</t>
        </is>
      </c>
      <c r="B114" s="15" t="inlineStr">
        <is>
          <t>Admin Console (đợt 1)</t>
        </is>
      </c>
      <c r="C114" s="15" t="inlineStr">
        <is>
          <t>Cộng đồng: Xét duyệt</t>
        </is>
      </c>
      <c r="D114" s="15" t="inlineStr">
        <is>
          <t>Cộng đồng vừa duyệt xuất hiện ở /courses</t>
        </is>
      </c>
      <c r="E114" s="15" t="inlineStr">
        <is>
          <t>Chức năng</t>
        </is>
      </c>
      <c r="F114" s="16" t="inlineStr">
        <is>
          <t>Cao</t>
        </is>
      </c>
      <c r="G114" s="17" t="inlineStr">
        <is>
          <t>Đã hoàn thiện</t>
        </is>
      </c>
      <c r="H114" s="20" t="inlineStr">
        <is>
          <t>Một phần</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4" s="15" t="inlineStr">
        <is>
          <t>1. Duyệt design-circle (UI hoặc API)
2. Mở /courses, tìm 'Design Circle'</t>
        </is>
      </c>
      <c r="K114" s="15" t="inlineStr">
        <is>
          <t>design-circle</t>
        </is>
      </c>
      <c r="L114" s="15" t="inlineStr">
        <is>
          <t>Cộng đồng hiển thị ở danh sách và tìm kiếm công khai sau khi duyệt, không cần reset cache.</t>
        </is>
      </c>
      <c r="M114" s="15" t="inlineStr"/>
      <c r="N114" s="18" t="inlineStr">
        <is>
          <t>Chưa test</t>
        </is>
      </c>
      <c r="O114" s="15" t="inlineStr"/>
      <c r="P114" s="15" t="inlineStr"/>
      <c r="Q114" s="18" t="inlineStr">
        <is>
          <t>Chưa test</t>
        </is>
      </c>
      <c r="R114" s="15" t="inlineStr"/>
    </row>
    <row r="115" ht="30" customHeight="1">
      <c r="A115" s="14" t="inlineStr">
        <is>
          <t>TC-ADM-114</t>
        </is>
      </c>
      <c r="B115" s="15" t="inlineStr">
        <is>
          <t>Admin Console (đợt 1)</t>
        </is>
      </c>
      <c r="C115" s="15" t="inlineStr">
        <is>
          <t>Cộng đồng: Xét duyệt</t>
        </is>
      </c>
      <c r="D115" s="15" t="inlineStr">
        <is>
          <t>Hàng đợi xét duyệt rỗng hiển thị thông báo</t>
        </is>
      </c>
      <c r="E115" s="15" t="inlineStr">
        <is>
          <t>Giao diện</t>
        </is>
      </c>
      <c r="F115" s="17" t="inlineStr">
        <is>
          <t>Thấp</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15" s="15" t="inlineStr">
        <is>
          <t>1. Mở /admin/communities/review</t>
        </is>
      </c>
      <c r="K115" s="15" t="inlineStr">
        <is>
          <t>-</t>
        </is>
      </c>
      <c r="L115" s="15" t="inlineStr">
        <is>
          <t>Bảng hiện 'Không có cộng đồng nào đang chờ xét duyệt.'; cột phải không lỗi.</t>
        </is>
      </c>
      <c r="M115" s="15" t="inlineStr"/>
      <c r="N115" s="18" t="inlineStr">
        <is>
          <t>Chưa test</t>
        </is>
      </c>
      <c r="O115" s="15" t="inlineStr"/>
      <c r="P115" s="15" t="inlineStr"/>
      <c r="Q115" s="18" t="inlineStr">
        <is>
          <t>Chưa test</t>
        </is>
      </c>
      <c r="R115" s="15" t="inlineStr"/>
    </row>
    <row r="116" ht="30" customHeight="1">
      <c r="A116" s="14" t="inlineStr">
        <is>
          <t>TC-ADM-115</t>
        </is>
      </c>
      <c r="B116" s="15" t="inlineStr">
        <is>
          <t>Admin Console (đợt 1)</t>
        </is>
      </c>
      <c r="C116" s="15" t="inlineStr">
        <is>
          <t>Cộng đồng: Xét duyệt</t>
        </is>
      </c>
      <c r="D116" s="15" t="inlineStr">
        <is>
          <t>Quyết định xét duyệt ghi ghi chú tối đa 500 ký tự</t>
        </is>
      </c>
      <c r="E116" s="15" t="inlineStr">
        <is>
          <t>Chức năng</t>
        </is>
      </c>
      <c r="F116" s="17" t="inlineStr">
        <is>
          <t>Thấp</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16" s="15" t="inlineStr">
        <is>
          <t>1. POST /api/admin/communities/design-circle/approve {"note": &lt;chuỗi 501 ký tự&gt;}</t>
        </is>
      </c>
      <c r="K116" s="15" t="inlineStr">
        <is>
          <t>note 501 ký tự</t>
        </is>
      </c>
      <c r="L116" s="15" t="inlineStr">
        <is>
          <t>400 VALIDATION_ERROR; trạng thái không đổi.</t>
        </is>
      </c>
      <c r="M116" s="15" t="inlineStr"/>
      <c r="N116" s="18" t="inlineStr">
        <is>
          <t>Chưa test</t>
        </is>
      </c>
      <c r="O116" s="15" t="inlineStr"/>
      <c r="P116" s="15" t="inlineStr"/>
      <c r="Q116" s="18" t="inlineStr">
        <is>
          <t>Chưa test</t>
        </is>
      </c>
      <c r="R116" s="15" t="inlineStr"/>
    </row>
    <row r="117" ht="30" customHeight="1">
      <c r="A117" s="14" t="inlineStr">
        <is>
          <t>TC-ADM-116</t>
        </is>
      </c>
      <c r="B117" s="15" t="inlineStr">
        <is>
          <t>Admin Console (đợt 1)</t>
        </is>
      </c>
      <c r="C117" s="15" t="inlineStr">
        <is>
          <t>Cộng đồng: Tạm ngưng / Khôi phục</t>
        </is>
      </c>
      <c r="D117" s="15" t="inlineStr">
        <is>
          <t>Trang /admin/communities/suspended: tab Tạm ngưng / Hoạt động và cột</t>
        </is>
      </c>
      <c r="E117" s="15" t="inlineStr">
        <is>
          <t>Giao diện</t>
        </is>
      </c>
      <c r="F117" s="20" t="inlineStr">
        <is>
          <t>Trung bình</t>
        </is>
      </c>
      <c r="G117" s="17" t="inlineStr">
        <is>
          <t>Đã hoàn thiện</t>
        </is>
      </c>
      <c r="H117" s="17" t="inlineStr">
        <is>
          <t>Có</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17" s="15" t="inlineStr">
        <is>
          <t>1. Mở /admin/communities/suspended
2. Chuyển tab 'Hoạt động'</t>
        </is>
      </c>
      <c r="K117" s="15" t="inlineStr">
        <is>
          <t>-</t>
        </is>
      </c>
      <c r="L117"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17" s="15" t="inlineStr"/>
      <c r="N117" s="18" t="inlineStr">
        <is>
          <t>Chưa test</t>
        </is>
      </c>
      <c r="O117" s="15" t="inlineStr"/>
      <c r="P117" s="15" t="inlineStr"/>
      <c r="Q117" s="18" t="inlineStr">
        <is>
          <t>Chưa test</t>
        </is>
      </c>
      <c r="R117" s="15" t="inlineStr"/>
    </row>
    <row r="118" ht="60" customHeight="1">
      <c r="A118" s="14" t="inlineStr">
        <is>
          <t>TC-ADM-117</t>
        </is>
      </c>
      <c r="B118" s="15" t="inlineStr">
        <is>
          <t>Admin Console (đợt 1)</t>
        </is>
      </c>
      <c r="C118" s="15" t="inlineStr">
        <is>
          <t>Cộng đồng: Tạm ngưng / Khôi phục</t>
        </is>
      </c>
      <c r="D118" s="15" t="inlineStr">
        <is>
          <t>Tạm ngưng cộng đồng (UI): lý do + thời hạn + ghi chú</t>
        </is>
      </c>
      <c r="E118" s="15" t="inlineStr">
        <is>
          <t>Chức năng</t>
        </is>
      </c>
      <c r="F118" s="16" t="inlineStr">
        <is>
          <t>Cao</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Mở /admin/communities, menu … của cộng đồng 'fit' &gt; 'Tạm ngưng'
2. Chọn lý do 'Vi phạm chính sách', thời hạn '7 ngày'
3. Nhập ghi chú nội bộ 'Nhiều báo cáo'
4. Xác nhận</t>
        </is>
      </c>
      <c r="K118" s="15" t="inlineStr">
        <is>
          <t>fit</t>
        </is>
      </c>
      <c r="L118"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8" s="15" t="inlineStr"/>
      <c r="N118" s="18" t="inlineStr">
        <is>
          <t>Chưa test</t>
        </is>
      </c>
      <c r="O118" s="15" t="inlineStr"/>
      <c r="P118" s="15" t="inlineStr"/>
      <c r="Q118" s="18" t="inlineStr">
        <is>
          <t>Chưa test</t>
        </is>
      </c>
      <c r="R118" s="15" t="inlineStr"/>
    </row>
    <row r="119" ht="60" customHeight="1">
      <c r="A119" s="14" t="inlineStr">
        <is>
          <t>TC-ADM-118</t>
        </is>
      </c>
      <c r="B119" s="15" t="inlineStr">
        <is>
          <t>Admin Console (đợt 1)</t>
        </is>
      </c>
      <c r="C119" s="15" t="inlineStr">
        <is>
          <t>Cộng đồng: Tạm ngưng / Khôi phục</t>
        </is>
      </c>
      <c r="D119" s="15" t="inlineStr">
        <is>
          <t>POST suspend: active -&gt; suspended, ẩn khỏi công khai, khóa như locked</t>
        </is>
      </c>
      <c r="E119" s="15" t="inlineStr">
        <is>
          <t>Chức năng</t>
        </is>
      </c>
      <c r="F119" s="16" t="inlineStr">
        <is>
          <t>Cao</t>
        </is>
      </c>
      <c r="G119" s="17" t="inlineStr">
        <is>
          <t>Đã hoàn thiện</t>
        </is>
      </c>
      <c r="H119" s="17" t="inlineStr">
        <is>
          <t>Có</t>
        </is>
      </c>
      <c r="I1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9" s="15" t="inlineStr">
        <is>
          <t>1. POST /api/admin/communities/fit/suspend {"reason":"Spam","duration":"7d"}
2. GET /api/admin/communities/fit
3. GET /api/courses?limit=100
4. Đăng nhập thành viên fit, POST bài mới vào /api/courses/fit/posts</t>
        </is>
      </c>
      <c r="K119" s="15" t="inlineStr">
        <is>
          <t>fit, duration=7d</t>
        </is>
      </c>
      <c r="L119" s="15" t="inlineStr">
        <is>
          <t>200 status=suspended, statusReason='Spam', statusUntil ≈ now+7 ngày (ISO); cộng đồng biến mất khỏi /api/courses; thao tác trong cộng đồng trả 403 COMMUNITY_LOCKED; audit community.suspend.</t>
        </is>
      </c>
      <c r="M119" s="15" t="inlineStr"/>
      <c r="N119" s="18" t="inlineStr">
        <is>
          <t>Chưa test</t>
        </is>
      </c>
      <c r="O119" s="15" t="inlineStr"/>
      <c r="P119" s="15" t="inlineStr"/>
      <c r="Q119" s="18" t="inlineStr">
        <is>
          <t>Chưa test</t>
        </is>
      </c>
      <c r="R119" s="15" t="inlineStr"/>
    </row>
    <row r="120" ht="60" customHeight="1">
      <c r="A120" s="14" t="inlineStr">
        <is>
          <t>TC-ADM-119</t>
        </is>
      </c>
      <c r="B120" s="15" t="inlineStr">
        <is>
          <t>Admin Console (đợt 1)</t>
        </is>
      </c>
      <c r="C120" s="15" t="inlineStr">
        <is>
          <t>Cộng đồng: Tạm ngưng / Khôi phục</t>
        </is>
      </c>
      <c r="D120" s="15" t="inlineStr">
        <is>
          <t>suspend: until thắng duration; until quá khứ trả 400; duration sai trả 400</t>
        </is>
      </c>
      <c r="E120" s="15" t="inlineStr">
        <is>
          <t>Chức năng</t>
        </is>
      </c>
      <c r="F120" s="20" t="inlineStr">
        <is>
          <t>Trung bình</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0" s="15" t="inlineStr">
        <is>
          <t>1. POST .../fit/suspend {"reason":"x","duration":"24h","until":"&lt;ISO +10 ngày&gt;"}
2. POST ... {"reason":"x","until":"2020-01-01T00:00:00Z"}
3. POST ... {"reason":"x","duration":"1y"}
4. POST ... {}</t>
        </is>
      </c>
      <c r="K120" s="15" t="inlineStr">
        <is>
          <t>fit</t>
        </is>
      </c>
      <c r="L120" s="15" t="inlineStr">
        <is>
          <t>Lệnh 1: 200, statusUntil = until (+10 ngày, không phải +24h); lệnh 2: 400 'Thời hạn phải ở tương lai'; lệnh 3: 400; lệnh 4: 400 (thiếu reason).</t>
        </is>
      </c>
      <c r="M120" s="15" t="inlineStr"/>
      <c r="N120" s="18" t="inlineStr">
        <is>
          <t>Chưa test</t>
        </is>
      </c>
      <c r="O120" s="15" t="inlineStr"/>
      <c r="P120" s="15" t="inlineStr"/>
      <c r="Q120" s="18" t="inlineStr">
        <is>
          <t>Chưa test</t>
        </is>
      </c>
      <c r="R120" s="15" t="inlineStr"/>
    </row>
    <row r="121" ht="30" customHeight="1">
      <c r="A121" s="14" t="inlineStr">
        <is>
          <t>TC-ADM-120</t>
        </is>
      </c>
      <c r="B121" s="15" t="inlineStr">
        <is>
          <t>Admin Console (đợt 1)</t>
        </is>
      </c>
      <c r="C121" s="15" t="inlineStr">
        <is>
          <t>Cộng đồng: Tạm ngưng / Khôi phục</t>
        </is>
      </c>
      <c r="D121" s="15" t="inlineStr">
        <is>
          <t>suspend 'indefinite' hoặc bỏ trống = vô thời hạn</t>
        </is>
      </c>
      <c r="E121" s="15" t="inlineStr">
        <is>
          <t>Chức năng</t>
        </is>
      </c>
      <c r="F121" s="20" t="inlineStr">
        <is>
          <t>Trung bình</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1" s="15" t="inlineStr">
        <is>
          <t>1. POST /api/admin/communities/des/suspend {"reason":"Gian lận","duration":"indefinite"}</t>
        </is>
      </c>
      <c r="K121" s="15" t="inlineStr">
        <is>
          <t>des</t>
        </is>
      </c>
      <c r="L121" s="15" t="inlineStr">
        <is>
          <t>200, statusUntil=null; tab Tạm ngưng hiển thị 'Vô thời hạn'.</t>
        </is>
      </c>
      <c r="M121" s="15" t="inlineStr"/>
      <c r="N121" s="18" t="inlineStr">
        <is>
          <t>Chưa test</t>
        </is>
      </c>
      <c r="O121" s="15" t="inlineStr"/>
      <c r="P121" s="15" t="inlineStr"/>
      <c r="Q121" s="18" t="inlineStr">
        <is>
          <t>Chưa test</t>
        </is>
      </c>
      <c r="R121" s="15" t="inlineStr"/>
    </row>
    <row r="122" ht="30" customHeight="1">
      <c r="A122" s="14" t="inlineStr">
        <is>
          <t>TC-ADM-121</t>
        </is>
      </c>
      <c r="B122" s="15" t="inlineStr">
        <is>
          <t>Admin Console (đợt 1)</t>
        </is>
      </c>
      <c r="C122" s="15" t="inlineStr">
        <is>
          <t>Cộng đồng: Tạm ngưng / Khôi phục</t>
        </is>
      </c>
      <c r="D122" s="15" t="inlineStr">
        <is>
          <t>Tạm ngưng cộng đồng không phải active trả 409</t>
        </is>
      </c>
      <c r="E122" s="15" t="inlineStr">
        <is>
          <t>Chức năng</t>
        </is>
      </c>
      <c r="F122" s="20" t="inlineStr">
        <is>
          <t>Trung bình</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22" s="15" t="inlineStr">
        <is>
          <t>1. POST /api/admin/communities/design-circle/suspend {"reason":"x"}
2. POST /api/admin/communities/crypto-signals-pro/suspend {"reason":"x"}</t>
        </is>
      </c>
      <c r="K122" s="15" t="inlineStr">
        <is>
          <t>-</t>
        </is>
      </c>
      <c r="L122" s="15" t="inlineStr">
        <is>
          <t>Cả hai 409 CONFLICT (chỉ active mới tạm ngưng); không có dòng audit mới.</t>
        </is>
      </c>
      <c r="M122" s="15" t="inlineStr"/>
      <c r="N122" s="18" t="inlineStr">
        <is>
          <t>Chưa test</t>
        </is>
      </c>
      <c r="O122" s="15" t="inlineStr"/>
      <c r="P122" s="15" t="inlineStr"/>
      <c r="Q122" s="18" t="inlineStr">
        <is>
          <t>Chưa test</t>
        </is>
      </c>
      <c r="R122" s="15" t="inlineStr"/>
    </row>
    <row r="123" ht="30" customHeight="1">
      <c r="A123" s="14" t="inlineStr">
        <is>
          <t>TC-ADM-122</t>
        </is>
      </c>
      <c r="B123" s="15" t="inlineStr">
        <is>
          <t>Admin Console (đợt 1)</t>
        </is>
      </c>
      <c r="C123" s="15" t="inlineStr">
        <is>
          <t>Cộng đồng: Tạm ngưng / Khôi phục</t>
        </is>
      </c>
      <c r="D123" s="15" t="inlineStr">
        <is>
          <t>Khôi phục cộng đồng bị tạm ngưng (UI)</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Ở /admin/communities/suspended menu … của Crypto Signals Pro &gt; 'Khôi phục'
2. Hộp thoại 'Khôi phục Crypto Signals Pro?' nhập ghi chú, xác nhận</t>
        </is>
      </c>
      <c r="K123" s="15" t="inlineStr">
        <is>
          <t>crypto-signals-pro</t>
        </is>
      </c>
      <c r="L123" s="15" t="inlineStr">
        <is>
          <t>Toast 'Đã khôi phục · Crypto Signals Pro'; chuyển sang tab Hoạt động; cộng đồng hiện lại ở /courses; thành viên đăng bài được (hết COMMUNITY_LOCKED).</t>
        </is>
      </c>
      <c r="M123" s="15" t="inlineStr"/>
      <c r="N123" s="18" t="inlineStr">
        <is>
          <t>Chưa test</t>
        </is>
      </c>
      <c r="O123" s="15" t="inlineStr"/>
      <c r="P123" s="15" t="inlineStr"/>
      <c r="Q123" s="18" t="inlineStr">
        <is>
          <t>Chưa test</t>
        </is>
      </c>
      <c r="R123" s="15" t="inlineStr"/>
    </row>
    <row r="124" ht="30" customHeight="1">
      <c r="A124" s="14" t="inlineStr">
        <is>
          <t>TC-ADM-123</t>
        </is>
      </c>
      <c r="B124" s="15" t="inlineStr">
        <is>
          <t>Admin Console (đợt 1)</t>
        </is>
      </c>
      <c r="C124" s="15" t="inlineStr">
        <is>
          <t>Cộng đồng: Tạm ngưng / Khôi phục</t>
        </is>
      </c>
      <c r="D124" s="15" t="inlineStr">
        <is>
          <t>POST restore: suspended -&gt; active, ghi audit community.restore; restore active trả 409</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/api/admin/communities/crypto-signals-pro/restore {"note":"đã xác minh"}
2. POST /api/admin/communities/photo/restore {}</t>
        </is>
      </c>
      <c r="K124" s="15" t="inlineStr">
        <is>
          <t>crypto-signals-pro, photo</t>
        </is>
      </c>
      <c r="L124" s="15" t="inlineStr">
        <is>
          <t>Lệnh 1: 200 status=active, lockReason xóa; lệnh 2: 409. Audit community.restore ghi note.</t>
        </is>
      </c>
      <c r="M124" s="15" t="inlineStr"/>
      <c r="N124" s="18" t="inlineStr">
        <is>
          <t>Chưa test</t>
        </is>
      </c>
      <c r="O124" s="15" t="inlineStr"/>
      <c r="P124" s="15" t="inlineStr"/>
      <c r="Q124" s="18" t="inlineStr">
        <is>
          <t>Chưa test</t>
        </is>
      </c>
      <c r="R124" s="15" t="inlineStr"/>
    </row>
    <row r="125" ht="30" customHeight="1">
      <c r="A125" s="14" t="inlineStr">
        <is>
          <t>TC-ADM-124</t>
        </is>
      </c>
      <c r="B125" s="15" t="inlineStr">
        <is>
          <t>Admin Console (đợt 1)</t>
        </is>
      </c>
      <c r="C125" s="15" t="inlineStr">
        <is>
          <t>Cộng đồng: Tạm ngưng / Khôi phục</t>
        </is>
      </c>
      <c r="D125" s="15" t="inlineStr">
        <is>
          <t>Cộng đồng tạm ngưng: Owner/thành viên bị khóa mọi luồng cũ</t>
        </is>
      </c>
      <c r="E125" s="15" t="inlineStr">
        <is>
          <t>Bảo mật</t>
        </is>
      </c>
      <c r="F125" s="20" t="inlineStr">
        <is>
          <t>Trung bình</t>
        </is>
      </c>
      <c r="G125" s="17" t="inlineStr">
        <is>
          <t>Đã hoàn thiện</t>
        </is>
      </c>
      <c r="H125" s="20" t="inlineStr">
        <is>
          <t>Một phần</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5" s="15" t="inlineStr">
        <is>
          <t>1. Admin suspend cộng đồng 'fit'
2. Đăng nhập owner của fit (liam@sofinhub.test / Passw0rd!x) POST bài, tạo sự kiện, checkout</t>
        </is>
      </c>
      <c r="K125" s="15" t="inlineStr">
        <is>
          <t>fit</t>
        </is>
      </c>
      <c r="L125" s="15" t="inlineStr">
        <is>
          <t>Các thao tác trả 403 COMMUNITY_LOCKED như cơ chế lock hiện có.</t>
        </is>
      </c>
      <c r="M125" s="15" t="inlineStr"/>
      <c r="N125" s="18" t="inlineStr">
        <is>
          <t>Chưa test</t>
        </is>
      </c>
      <c r="O125" s="15" t="inlineStr"/>
      <c r="P125" s="15" t="inlineStr"/>
      <c r="Q125" s="18" t="inlineStr">
        <is>
          <t>Chưa test</t>
        </is>
      </c>
      <c r="R125" s="15" t="inlineStr"/>
    </row>
    <row r="126" ht="45" customHeight="1">
      <c r="A126" s="14" t="inlineStr">
        <is>
          <t>TC-ADM-125</t>
        </is>
      </c>
      <c r="B126" s="15" t="inlineStr">
        <is>
          <t>Admin Console (đợt 1)</t>
        </is>
      </c>
      <c r="C126" s="15" t="inlineStr">
        <is>
          <t>Cộng đồng: Tạm ngưng / Khôi phục</t>
        </is>
      </c>
      <c r="D126" s="15" t="inlineStr">
        <is>
          <t>Công cụ 'Khóa nhanh theo mã / slug' vẫn dùng được (LockTab cũ)</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6" s="15" t="inlineStr">
        <is>
          <t>1. Ở /admin/communities/suspended bấm 'Mở công cụ' trong thẻ 'Khóa nhanh theo mã / slug'
2. Nhập 'biz' và lý do, bấm Khóa
3. Mở lại danh sách cộng đồng</t>
        </is>
      </c>
      <c r="K126" s="15" t="inlineStr">
        <is>
          <t>biz</t>
        </is>
      </c>
      <c r="L126" s="15" t="inlineStr">
        <is>
          <t>Khóa thành công (POST /admin/courses/biz/lock); biz hiện 'Tạm ngưng' trong danh sách và có audit community.lock; nút mở khóa đưa moderationStatus về active (community.unlock).</t>
        </is>
      </c>
      <c r="M126" s="15" t="inlineStr"/>
      <c r="N126" s="18" t="inlineStr">
        <is>
          <t>Chưa test</t>
        </is>
      </c>
      <c r="O126" s="15" t="inlineStr"/>
      <c r="P126" s="15" t="inlineStr"/>
      <c r="Q126" s="18" t="inlineStr">
        <is>
          <t>Chưa test</t>
        </is>
      </c>
      <c r="R126" s="15" t="inlineStr"/>
    </row>
    <row r="127" ht="45" customHeight="1">
      <c r="A127" s="14" t="inlineStr">
        <is>
          <t>TC-ADM-126</t>
        </is>
      </c>
      <c r="B127" s="15" t="inlineStr">
        <is>
          <t>Admin Console (đợt 1)</t>
        </is>
      </c>
      <c r="C127" s="15" t="inlineStr">
        <is>
          <t>Cộng đồng: Tạm ngưng / Khôi phục</t>
        </is>
      </c>
      <c r="D127" s="15" t="inlineStr">
        <is>
          <t>Suspend có hạn (statusUntil) CHƯA tự hết hạn - hành vi hiện tại</t>
        </is>
      </c>
      <c r="E127" s="15" t="inlineStr">
        <is>
          <t>Chức năng</t>
        </is>
      </c>
      <c r="F127" s="20" t="inlineStr">
        <is>
          <t>Trung bình</t>
        </is>
      </c>
      <c r="G127" s="20" t="inlineStr">
        <is>
          <t>Kế hoạch</t>
        </is>
      </c>
      <c r="H127" s="16" t="inlineStr">
        <is>
          <t>Không</t>
        </is>
      </c>
      <c r="I127"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27" s="15" t="inlineStr">
        <is>
          <t>1. Chờ qua mốc statusUntil
2. GET /api/admin/communities/&lt;id&gt;
3. GET /api/courses</t>
        </is>
      </c>
      <c r="K127" s="15" t="inlineStr">
        <is>
          <t>-</t>
        </is>
      </c>
      <c r="L127" s="15" t="inlineStr">
        <is>
          <t>Hiện tại cộng đồng VẪN suspended/vẫn bị ẩn sau khi quá hạn (BE chỉ lưu `until`, chưa có job tự gỡ - xem admin.md mục 'Chưa làm'). Case giữ làm hồi quy; khi có job thì sửa kỳ vọng thành tự về active.</t>
        </is>
      </c>
      <c r="M127" s="15" t="inlineStr"/>
      <c r="N127" s="18" t="inlineStr">
        <is>
          <t>Chưa test</t>
        </is>
      </c>
      <c r="O127" s="15" t="inlineStr"/>
      <c r="P127" s="15" t="inlineStr"/>
      <c r="Q127" s="18" t="inlineStr">
        <is>
          <t>Chưa test</t>
        </is>
      </c>
      <c r="R127" s="15" t="inlineStr"/>
    </row>
    <row r="128" ht="30" customHeight="1">
      <c r="A128" s="14" t="inlineStr">
        <is>
          <t>TC-ADM-127</t>
        </is>
      </c>
      <c r="B128" s="15" t="inlineStr">
        <is>
          <t>Admin Console (đợt 1)</t>
        </is>
      </c>
      <c r="C128" s="15" t="inlineStr">
        <is>
          <t>Cộng đồng: Xóa / Khôi phục</t>
        </is>
      </c>
      <c r="D128" s="15" t="inlineStr">
        <is>
          <t>Trang /admin/communities/trash: 4 cộng đồng seed, cột và thời hạn lưu</t>
        </is>
      </c>
      <c r="E128" s="15" t="inlineStr">
        <is>
          <t>Giao diện</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28" s="15" t="inlineStr">
        <is>
          <t>1. Mở /admin/communities/trash</t>
        </is>
      </c>
      <c r="K128" s="15" t="inlineStr">
        <is>
          <t>-</t>
        </is>
      </c>
      <c r="L128"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8" s="15" t="inlineStr"/>
      <c r="N128" s="18" t="inlineStr">
        <is>
          <t>Chưa test</t>
        </is>
      </c>
      <c r="O128" s="15" t="inlineStr"/>
      <c r="P128" s="15" t="inlineStr"/>
      <c r="Q128" s="18" t="inlineStr">
        <is>
          <t>Chưa test</t>
        </is>
      </c>
      <c r="R128" s="15" t="inlineStr"/>
    </row>
    <row r="129" ht="30" customHeight="1">
      <c r="A129" s="14" t="inlineStr">
        <is>
          <t>TC-ADM-128</t>
        </is>
      </c>
      <c r="B129" s="15" t="inlineStr">
        <is>
          <t>Admin Console (đợt 1)</t>
        </is>
      </c>
      <c r="C129" s="15" t="inlineStr">
        <is>
          <t>Cộng đồng: Xóa / Khôi phục</t>
        </is>
      </c>
      <c r="D129" s="15" t="inlineStr">
        <is>
          <t>API trash: daysLeft/purgeAt tính 30 ngày từ deletedAt, deletedByOwner đúng</t>
        </is>
      </c>
      <c r="E129" s="15" t="inlineStr">
        <is>
          <t>Chức năng</t>
        </is>
      </c>
      <c r="F129" s="16" t="inlineStr">
        <is>
          <t>Cao</t>
        </is>
      </c>
      <c r="G129" s="17" t="inlineStr">
        <is>
          <t>Đã hoàn thiện</t>
        </is>
      </c>
      <c r="H129" s="17" t="inlineStr">
        <is>
          <t>Có</t>
        </is>
      </c>
      <c r="I1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29" s="15" t="inlineStr">
        <is>
          <t>1. GET /api/admin/communities/trash</t>
        </is>
      </c>
      <c r="K129" s="15" t="inlineStr">
        <is>
          <t>-</t>
        </is>
      </c>
      <c r="L129" s="15" t="inlineStr">
        <is>
          <t>4 dòng; daysLeft = 30 - số ngày từ deletedAt (27/23/19/15); purgeAt = deletedAt + 30 ngày; deletedByOwner=true cho side-hustle-squad &amp; pixel-traders (deletedBy=null), false cho photo-walks &amp; keto-kitchen (deletedBy = Platform Admin).</t>
        </is>
      </c>
      <c r="M129" s="15" t="inlineStr"/>
      <c r="N129" s="18" t="inlineStr">
        <is>
          <t>Chưa test</t>
        </is>
      </c>
      <c r="O129" s="15" t="inlineStr"/>
      <c r="P129" s="15" t="inlineStr"/>
      <c r="Q129" s="18" t="inlineStr">
        <is>
          <t>Chưa test</t>
        </is>
      </c>
      <c r="R129" s="15" t="inlineStr"/>
    </row>
    <row r="130" ht="30" customHeight="1">
      <c r="A130" s="14" t="inlineStr">
        <is>
          <t>TC-ADM-129</t>
        </is>
      </c>
      <c r="B130" s="15" t="inlineStr">
        <is>
          <t>Admin Console (đợt 1)</t>
        </is>
      </c>
      <c r="C130" s="15" t="inlineStr">
        <is>
          <t>Cộng đồng: Xóa / Khôi phục</t>
        </is>
      </c>
      <c r="D130" s="15" t="inlineStr">
        <is>
          <t>Tìm kiếm trong thùng rác theo tên</t>
        </is>
      </c>
      <c r="E130" s="15" t="inlineStr">
        <is>
          <t>Chức năng</t>
        </is>
      </c>
      <c r="F130" s="17" t="inlineStr">
        <is>
          <t>Thấp</t>
        </is>
      </c>
      <c r="G130" s="17" t="inlineStr">
        <is>
          <t>Đã hoàn thiện</t>
        </is>
      </c>
      <c r="H130" s="17" t="inlineStr">
        <is>
          <t>Có</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30" s="15" t="inlineStr">
        <is>
          <t>1. GET /api/admin/communities/trash?q=keto
2. GET /api/admin/communities/trash?q=khongco</t>
        </is>
      </c>
      <c r="K130" s="15" t="inlineStr">
        <is>
          <t>q=keto</t>
        </is>
      </c>
      <c r="L130" s="15" t="inlineStr">
        <is>
          <t>Lệnh 1 trả Keto Kitchen; lệnh 2 trả mảng rỗng meta.total=0; UI hiển thị 'Chưa có cộng đồng nào bị xóa.' khi rỗng.</t>
        </is>
      </c>
      <c r="M130" s="15" t="inlineStr"/>
      <c r="N130" s="18" t="inlineStr">
        <is>
          <t>Chưa test</t>
        </is>
      </c>
      <c r="O130" s="15" t="inlineStr"/>
      <c r="P130" s="15" t="inlineStr"/>
      <c r="Q130" s="18" t="inlineStr">
        <is>
          <t>Chưa test</t>
        </is>
      </c>
      <c r="R130" s="15" t="inlineStr"/>
    </row>
    <row r="131" ht="60" customHeight="1">
      <c r="A131" s="14" t="inlineStr">
        <is>
          <t>TC-ADM-130</t>
        </is>
      </c>
      <c r="B131" s="15" t="inlineStr">
        <is>
          <t>Admin Console (đợt 1)</t>
        </is>
      </c>
      <c r="C131" s="15" t="inlineStr">
        <is>
          <t>Cộng đồng: Xóa / Khôi phục</t>
        </is>
      </c>
      <c r="D131" s="15" t="inlineStr">
        <is>
          <t>Xóa cộng đồng (UI) bắt buộc gõ DELETE để xác nhận</t>
        </is>
      </c>
      <c r="E131" s="15" t="inlineStr">
        <is>
          <t>Chức năng</t>
        </is>
      </c>
      <c r="F131" s="16" t="inlineStr">
        <is>
          <t>Cao</t>
        </is>
      </c>
      <c r="G131" s="17" t="inlineStr">
        <is>
          <t>Đã hoàn thiện</t>
        </is>
      </c>
      <c r="H131" s="17" t="inlineStr">
        <is>
          <t>Có</t>
        </is>
      </c>
      <c r="I1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31" s="15" t="inlineStr">
        <is>
          <t>1. Menu … của cộng đồng 'mkt' &gt; 'Xóa'
2. Hộp thoại 'Xóa cộng đồng': chọn lý do 'Spam'
3. Để ô 'Gõ DELETE để xác nhận' trống -&gt; quan sát nút xác nhận
4. Gõ 'DELETE' rồi xác nhận</t>
        </is>
      </c>
      <c r="K131" s="15" t="inlineStr">
        <is>
          <t>mkt</t>
        </is>
      </c>
      <c r="L131" s="15" t="inlineStr">
        <is>
          <t>Nút xác nhận bị vô hiệu cho tới khi gõ đúng DELETE; sau đó toast 'Đã xóa · &lt;tên&gt;', cộng đồng biến khỏi danh sách mặc định và xuất hiện ở trang thùng rác với 'Xóa bởi' = Platform Admin, daysLeft 30.</t>
        </is>
      </c>
      <c r="M131" s="15" t="inlineStr"/>
      <c r="N131" s="18" t="inlineStr">
        <is>
          <t>Chưa test</t>
        </is>
      </c>
      <c r="O131" s="15" t="inlineStr"/>
      <c r="P131" s="15" t="inlineStr"/>
      <c r="Q131" s="18" t="inlineStr">
        <is>
          <t>Chưa test</t>
        </is>
      </c>
      <c r="R131" s="15" t="inlineStr"/>
    </row>
    <row r="132" ht="60" customHeight="1">
      <c r="A132" s="14" t="inlineStr">
        <is>
          <t>TC-ADM-131</t>
        </is>
      </c>
      <c r="B132" s="15" t="inlineStr">
        <is>
          <t>Admin Console (đợt 1)</t>
        </is>
      </c>
      <c r="C132" s="15" t="inlineStr">
        <is>
          <t>Cộng đồng: Xóa / Khôi phục</t>
        </is>
      </c>
      <c r="D132" s="15" t="inlineStr">
        <is>
          <t>POST delete: xóa mềm, ẩn khỏi công khai, ghi audit community.delete</t>
        </is>
      </c>
      <c r="E132" s="15" t="inlineStr">
        <is>
          <t>Chức năng</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32" s="15" t="inlineStr">
        <is>
          <t>1. POST /api/admin/communities/mkt/delete {"reason":"Spam"}
2. GET /api/admin/communities/mkt
3. GET /api/courses?limit=100
4. POST ... /mkt/delete lần 2</t>
        </is>
      </c>
      <c r="K132" s="15" t="inlineStr">
        <is>
          <t>mkt</t>
        </is>
      </c>
      <c r="L132" s="15" t="inlineStr">
        <is>
          <t>Lệnh 1: 200 status=deleted; chi tiết có deleteReason='Spam', deletedBy, purgeAt (+30 ngày); không còn trong /api/courses; lệnh 2: 409 'Cộng đồng đã bị xóa'; audit community.delete (1 dòng, không nhân đôi).</t>
        </is>
      </c>
      <c r="M132" s="15" t="inlineStr"/>
      <c r="N132" s="18" t="inlineStr">
        <is>
          <t>Chưa test</t>
        </is>
      </c>
      <c r="O132" s="15" t="inlineStr"/>
      <c r="P132" s="15" t="inlineStr"/>
      <c r="Q132" s="18" t="inlineStr">
        <is>
          <t>Chưa test</t>
        </is>
      </c>
      <c r="R132" s="15" t="inlineStr"/>
    </row>
    <row r="133" ht="30" customHeight="1">
      <c r="A133" s="14" t="inlineStr">
        <is>
          <t>TC-ADM-132</t>
        </is>
      </c>
      <c r="B133" s="15" t="inlineStr">
        <is>
          <t>Admin Console (đợt 1)</t>
        </is>
      </c>
      <c r="C133" s="15" t="inlineStr">
        <is>
          <t>Cộng đồng: Xóa / Khôi phục</t>
        </is>
      </c>
      <c r="D133" s="15" t="inlineStr">
        <is>
          <t>POST delete: thiếu reason trả 400, cộng đồng không tồn tại trả 404</t>
        </is>
      </c>
      <c r="E133" s="15" t="inlineStr">
        <is>
          <t>Chức năng</t>
        </is>
      </c>
      <c r="F133" s="20" t="inlineStr">
        <is>
          <t>Trung bình</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33" s="15" t="inlineStr">
        <is>
          <t>1. POST /api/admin/communities/mkt/delete {}
2. POST /api/admin/communities/khong-ton-tai/delete {"reason":"x"}</t>
        </is>
      </c>
      <c r="K133" s="15" t="inlineStr">
        <is>
          <t>-</t>
        </is>
      </c>
      <c r="L133" s="15" t="inlineStr">
        <is>
          <t>400 VALIDATION_ERROR; 404 NOT_FOUND.</t>
        </is>
      </c>
      <c r="M133" s="15" t="inlineStr"/>
      <c r="N133" s="18" t="inlineStr">
        <is>
          <t>Chưa test</t>
        </is>
      </c>
      <c r="O133" s="15" t="inlineStr"/>
      <c r="P133" s="15" t="inlineStr"/>
      <c r="Q133" s="18" t="inlineStr">
        <is>
          <t>Chưa test</t>
        </is>
      </c>
      <c r="R133" s="15" t="inlineStr"/>
    </row>
    <row r="134" ht="30" customHeight="1">
      <c r="A134" s="14" t="inlineStr">
        <is>
          <t>TC-ADM-133</t>
        </is>
      </c>
      <c r="B134" s="15" t="inlineStr">
        <is>
          <t>Admin Console (đợt 1)</t>
        </is>
      </c>
      <c r="C134" s="15" t="inlineStr">
        <is>
          <t>Cộng đồng: Xóa / Khôi phục</t>
        </is>
      </c>
      <c r="D134" s="15" t="inlineStr">
        <is>
          <t>Có thể xóa cộng đồng ở mọi trạng thái (pending/rejected/suspended)</t>
        </is>
      </c>
      <c r="E134" s="15" t="inlineStr">
        <is>
          <t>Chức năng</t>
        </is>
      </c>
      <c r="F134" s="20" t="inlineStr">
        <is>
          <t>Trung bình</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34" s="15" t="inlineStr">
        <is>
          <t>1. POST /api/admin/communities/quick-rich-club/delete {"reason":"Spam"}
2. POST /api/admin/communities/crypto-signals-pro/delete {"reason":"Gian lận"}</t>
        </is>
      </c>
      <c r="K134" s="15" t="inlineStr">
        <is>
          <t>-</t>
        </is>
      </c>
      <c r="L134" s="15" t="inlineStr">
        <is>
          <t>Cả hai 200; preDeleteStatus lưu trạng thái cũ (rejected / suspended).</t>
        </is>
      </c>
      <c r="M134" s="15" t="inlineStr"/>
      <c r="N134" s="18" t="inlineStr">
        <is>
          <t>Chưa test</t>
        </is>
      </c>
      <c r="O134" s="15" t="inlineStr"/>
      <c r="P134" s="15" t="inlineStr"/>
      <c r="Q134" s="18" t="inlineStr">
        <is>
          <t>Chưa test</t>
        </is>
      </c>
      <c r="R134" s="15" t="inlineStr"/>
    </row>
    <row r="135" ht="30" customHeight="1">
      <c r="A135" s="14" t="inlineStr">
        <is>
          <t>TC-ADM-134</t>
        </is>
      </c>
      <c r="B135" s="15" t="inlineStr">
        <is>
          <t>Admin Console (đợt 1)</t>
        </is>
      </c>
      <c r="C135" s="15" t="inlineStr">
        <is>
          <t>Cộng đồng: Xóa / Khôi phục</t>
        </is>
      </c>
      <c r="D135" s="15" t="inlineStr">
        <is>
          <t>Khôi phục cộng đồng đã xóa (UI) về đúng trạng thái trước khi xóa</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35" s="15" t="inlineStr">
        <is>
          <t>1. Ở trang thùng rác menu … của Photo Walks &gt; 'Khôi phục cộng đồng'
2. Xác nhận hộp thoại 'Khôi phục Photo Walks?'</t>
        </is>
      </c>
      <c r="K135" s="15" t="inlineStr">
        <is>
          <t>photo-walks</t>
        </is>
      </c>
      <c r="L135" s="15" t="inlineStr">
        <is>
          <t>Toast 'Đã khôi phục · Photo Walks'; biến khỏi thùng rác; ở danh sách thấy trạng thái 'Hoạt động' (preDeleteStatus=active); hiện lại ở /courses.</t>
        </is>
      </c>
      <c r="M135" s="15" t="inlineStr"/>
      <c r="N135" s="18" t="inlineStr">
        <is>
          <t>Chưa test</t>
        </is>
      </c>
      <c r="O135" s="15" t="inlineStr"/>
      <c r="P135" s="15" t="inlineStr"/>
      <c r="Q135" s="18" t="inlineStr">
        <is>
          <t>Chưa test</t>
        </is>
      </c>
      <c r="R135" s="15" t="inlineStr"/>
    </row>
    <row r="136" ht="30" customHeight="1">
      <c r="A136" s="14" t="inlineStr">
        <is>
          <t>TC-ADM-135</t>
        </is>
      </c>
      <c r="B136" s="15" t="inlineStr">
        <is>
          <t>Admin Console (đợt 1)</t>
        </is>
      </c>
      <c r="C136" s="15" t="inlineStr">
        <is>
          <t>Cộng đồng: Xóa / Khôi phục</t>
        </is>
      </c>
      <c r="D136" s="15" t="inlineStr">
        <is>
          <t>POST undelete: khôi phục / không phải đã xóa trả 409</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36" s="15" t="inlineStr">
        <is>
          <t>1. POST /api/admin/communities/keto-kitchen/undelete {"note":"nhầm"}
2. POST /api/admin/communities/photo/undelete {}</t>
        </is>
      </c>
      <c r="K136" s="15" t="inlineStr">
        <is>
          <t>keto-kitchen, photo</t>
        </is>
      </c>
      <c r="L136" s="15" t="inlineStr">
        <is>
          <t>Lệnh 1: 200, status trở về active, ghi audit community.undelete; lệnh 2: 409 'Cộng đồng chưa bị xóa'.</t>
        </is>
      </c>
      <c r="M136" s="15" t="inlineStr"/>
      <c r="N136" s="18" t="inlineStr">
        <is>
          <t>Chưa test</t>
        </is>
      </c>
      <c r="O136" s="15" t="inlineStr"/>
      <c r="P136" s="15" t="inlineStr"/>
      <c r="Q136" s="18" t="inlineStr">
        <is>
          <t>Chưa test</t>
        </is>
      </c>
      <c r="R136" s="15" t="inlineStr"/>
    </row>
    <row r="137" ht="30" customHeight="1">
      <c r="A137" s="14" t="inlineStr">
        <is>
          <t>TC-ADM-136</t>
        </is>
      </c>
      <c r="B137" s="15" t="inlineStr">
        <is>
          <t>Admin Console (đợt 1)</t>
        </is>
      </c>
      <c r="C137" s="15" t="inlineStr">
        <is>
          <t>Cộng đồng: Xóa / Khôi phục</t>
        </is>
      </c>
      <c r="D137" s="15" t="inlineStr">
        <is>
          <t>Undelete quá 30 ngày trả 409</t>
        </is>
      </c>
      <c r="E137" s="15" t="inlineStr">
        <is>
          <t>Chức năng</t>
        </is>
      </c>
      <c r="F137" s="20" t="inlineStr">
        <is>
          <t>Trung bình</t>
        </is>
      </c>
      <c r="G137" s="17" t="inlineStr">
        <is>
          <t>Đã hoàn thiện</t>
        </is>
      </c>
      <c r="H137" s="20" t="inlineStr">
        <is>
          <t>Một phần</t>
        </is>
      </c>
      <c r="I137"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37" s="15" t="inlineStr">
        <is>
          <t>1. POST /api/admin/communities/pixel-traders/undelete {}</t>
        </is>
      </c>
      <c r="K137" s="15" t="inlineStr">
        <is>
          <t>pixel-traders</t>
        </is>
      </c>
      <c r="L137" s="15" t="inlineStr">
        <is>
          <t>409 CONFLICT (quá hạn lưu 30 ngày); daysLeft trên UI hiển thị 'Sắp xóa vĩnh viễn'.</t>
        </is>
      </c>
      <c r="M137" s="15" t="inlineStr"/>
      <c r="N137" s="18" t="inlineStr">
        <is>
          <t>Chưa test</t>
        </is>
      </c>
      <c r="O137" s="15" t="inlineStr"/>
      <c r="P137" s="15" t="inlineStr"/>
      <c r="Q137" s="18" t="inlineStr">
        <is>
          <t>Chưa test</t>
        </is>
      </c>
      <c r="R137" s="15" t="inlineStr"/>
    </row>
    <row r="138" ht="30" customHeight="1">
      <c r="A138" s="14" t="inlineStr">
        <is>
          <t>TC-ADM-137</t>
        </is>
      </c>
      <c r="B138" s="15" t="inlineStr">
        <is>
          <t>Admin Console (đợt 1)</t>
        </is>
      </c>
      <c r="C138" s="15" t="inlineStr">
        <is>
          <t>Cộng đồng: Xóa / Khôi phục</t>
        </is>
      </c>
      <c r="D138" s="15" t="inlineStr">
        <is>
          <t>Cộng đồng do chủ tự xóa (DELETE /courses/:id) cũng vào thùng rác với deletedByOwner=true</t>
        </is>
      </c>
      <c r="E138" s="15" t="inlineStr">
        <is>
          <t>Tích hợp</t>
        </is>
      </c>
      <c r="F138" s="20" t="inlineStr">
        <is>
          <t>Trung bình</t>
        </is>
      </c>
      <c r="G138" s="17" t="inlineStr">
        <is>
          <t>Đã hoàn thiện</t>
        </is>
      </c>
      <c r="H138" s="20" t="inlineStr">
        <is>
          <t>Một phần</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Đăng nhập chủ một cộng đồng test (tạo mới bằng POST /api/courses). Case làm thay đổi dữ liệu seed - khôi phục bằng npm run db:reset (db:seed là idempotent chỉ-tạo nên KHÔNG ghi đè thao tác admin đã làm); hoặc dùng bản ghi khác chưa bị đụng tới.</t>
        </is>
      </c>
      <c r="J138" s="15" t="inlineStr">
        <is>
          <t>1. Chủ cộng đồng tạo cộng đồng và DELETE /api/courses/&lt;id&gt;
2. Admin GET /api/admin/communities/trash</t>
        </is>
      </c>
      <c r="K138" s="15" t="inlineStr">
        <is>
          <t>cộng đồng tự tạo</t>
        </is>
      </c>
      <c r="L138" s="15" t="inlineStr">
        <is>
          <t>Dòng mới xuất hiện ở thùng rác với deletedByOwner=true, deletedBy=null, daysLeft=30.</t>
        </is>
      </c>
      <c r="M138" s="15" t="inlineStr"/>
      <c r="N138" s="18" t="inlineStr">
        <is>
          <t>Chưa test</t>
        </is>
      </c>
      <c r="O138" s="15" t="inlineStr"/>
      <c r="P138" s="15" t="inlineStr"/>
      <c r="Q138" s="18" t="inlineStr">
        <is>
          <t>Chưa test</t>
        </is>
      </c>
      <c r="R138" s="15" t="inlineStr"/>
    </row>
    <row r="139" ht="30" customHeight="1">
      <c r="A139" s="14" t="inlineStr">
        <is>
          <t>TC-ADM-138</t>
        </is>
      </c>
      <c r="B139" s="15" t="inlineStr">
        <is>
          <t>Admin Console (đợt 1)</t>
        </is>
      </c>
      <c r="C139" s="15" t="inlineStr">
        <is>
          <t>Cộng đồng: Xóa / Khôi phục</t>
        </is>
      </c>
      <c r="D139" s="15" t="inlineStr">
        <is>
          <t>Xóa cộng đồng CHƯA tự hủy gói đăng ký đang chạy - hành vi hiện tại</t>
        </is>
      </c>
      <c r="E139" s="15" t="inlineStr">
        <is>
          <t>Chức năng</t>
        </is>
      </c>
      <c r="F139" s="20" t="inlineStr">
        <is>
          <t>Trung bình</t>
        </is>
      </c>
      <c r="G139" s="20" t="inlineStr">
        <is>
          <t>Kế hoạch</t>
        </is>
      </c>
      <c r="H139" s="16" t="inlineStr">
        <is>
          <t>Không</t>
        </is>
      </c>
      <c r="I139" s="15" t="inlineStr">
        <is>
          <t>Có cộng đồng trả phí có gói active (paid-demo seed). Case làm thay đổi dữ liệu seed - khôi phục bằng npm run db:reset (db:seed là idempotent chỉ-tạo nên KHÔNG ghi đè thao tác admin đã làm); hoặc dùng bản ghi khác chưa bị đụng tới.</t>
        </is>
      </c>
      <c r="J139" s="15" t="inlineStr">
        <is>
          <t>1. Admin xóa hoặc tạm ngưng paid-demo
2. Kiểm tra bảng Subscription của member1 (status, cancelAtPeriodEnd)</t>
        </is>
      </c>
      <c r="K139" s="15" t="inlineStr">
        <is>
          <t>paid-demo</t>
        </is>
      </c>
      <c r="L139" s="15" t="inlineStr">
        <is>
          <t>Hiện tại Subscription VẪN active (BE chưa hủy gói khi xóa/đình chỉ - chờ chốt chính sách tiền). Case hồi quy, ghi rõ chưa chốt; cập nhật khi có quyết định hoàn tiền/hủy gói.</t>
        </is>
      </c>
      <c r="M139" s="15" t="inlineStr"/>
      <c r="N139" s="18" t="inlineStr">
        <is>
          <t>Chưa test</t>
        </is>
      </c>
      <c r="O139" s="15" t="inlineStr"/>
      <c r="P139" s="15" t="inlineStr"/>
      <c r="Q139" s="18" t="inlineStr">
        <is>
          <t>Chưa test</t>
        </is>
      </c>
      <c r="R139" s="15" t="inlineStr"/>
    </row>
    <row r="140" ht="30" customHeight="1">
      <c r="A140" s="14" t="inlineStr">
        <is>
          <t>TC-ADM-139</t>
        </is>
      </c>
      <c r="B140" s="15" t="inlineStr">
        <is>
          <t>Admin Console (đợt 1)</t>
        </is>
      </c>
      <c r="C140" s="15" t="inlineStr">
        <is>
          <t>Cộng đồng: Xóa / Khôi phục</t>
        </is>
      </c>
      <c r="D140" s="15" t="inlineStr">
        <is>
          <t>Job xóa vĩnh viễn sau 30 ngày CHƯA có</t>
        </is>
      </c>
      <c r="E140" s="15" t="inlineStr">
        <is>
          <t>Chức năng</t>
        </is>
      </c>
      <c r="F140" s="17" t="inlineStr">
        <is>
          <t>Thấp</t>
        </is>
      </c>
      <c r="G140" s="20" t="inlineStr">
        <is>
          <t>Kế hoạch</t>
        </is>
      </c>
      <c r="H140" s="16" t="inlineStr">
        <is>
          <t>Không</t>
        </is>
      </c>
      <c r="I140" s="15" t="inlineStr">
        <is>
          <t>Cần sửa DB đặt deletedAt cũ hơn 30 ngày cho một cộng đồng.</t>
        </is>
      </c>
      <c r="J140" s="15" t="inlineStr">
        <is>
          <t>1. Chờ/chạy job dọn dẹp (chưa tồn tại)
2. Kiểm tra thùng rác</t>
        </is>
      </c>
      <c r="K140" s="15" t="inlineStr">
        <is>
          <t>-</t>
        </is>
      </c>
      <c r="L140" s="15" t="inlineStr">
        <is>
          <t>Hiện tại bản ghi vẫn nằm trong thùng rác (daysLeft ≤ 0, 'Sắp xóa vĩnh viễn'); kỳ vọng sau này: bị xóa vĩnh viễn kèm audit.</t>
        </is>
      </c>
      <c r="M140" s="15" t="inlineStr"/>
      <c r="N140" s="18" t="inlineStr">
        <is>
          <t>Chưa test</t>
        </is>
      </c>
      <c r="O140" s="15" t="inlineStr"/>
      <c r="P140" s="15" t="inlineStr"/>
      <c r="Q140" s="18" t="inlineStr">
        <is>
          <t>Chưa test</t>
        </is>
      </c>
      <c r="R140" s="15" t="inlineStr"/>
    </row>
    <row r="141" ht="30" customHeight="1">
      <c r="A141" s="14" t="inlineStr">
        <is>
          <t>TC-ADM-140</t>
        </is>
      </c>
      <c r="B141" s="15" t="inlineStr">
        <is>
          <t>Admin Console (đợt 1)</t>
        </is>
      </c>
      <c r="C141" s="15" t="inlineStr">
        <is>
          <t>Người dùng: Danh sách</t>
        </is>
      </c>
      <c r="D141" s="15" t="inlineStr">
        <is>
          <t>Trang /admin/users: tiêu đề, 7 thẻ KPI và bảng</t>
        </is>
      </c>
      <c r="E141" s="15" t="inlineStr">
        <is>
          <t>Giao diện</t>
        </is>
      </c>
      <c r="F141" s="16" t="inlineStr">
        <is>
          <t>Cao</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41" s="15" t="inlineStr">
        <is>
          <t>1. Mở /admin/users</t>
        </is>
      </c>
      <c r="K141" s="15" t="inlineStr">
        <is>
          <t>-</t>
        </is>
      </c>
      <c r="L141"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41" s="15" t="inlineStr"/>
      <c r="N141" s="18" t="inlineStr">
        <is>
          <t>Chưa test</t>
        </is>
      </c>
      <c r="O141" s="15" t="inlineStr"/>
      <c r="P141" s="15" t="inlineStr"/>
      <c r="Q141" s="18" t="inlineStr">
        <is>
          <t>Chưa test</t>
        </is>
      </c>
      <c r="R141" s="15" t="inlineStr"/>
    </row>
    <row r="142" ht="30" customHeight="1">
      <c r="A142" s="14" t="inlineStr">
        <is>
          <t>TC-ADM-141</t>
        </is>
      </c>
      <c r="B142" s="15" t="inlineStr">
        <is>
          <t>Admin Console (đợt 1)</t>
        </is>
      </c>
      <c r="C142" s="15" t="inlineStr">
        <is>
          <t>Người dùng: Danh sách</t>
        </is>
      </c>
      <c r="D142" s="15" t="inlineStr">
        <is>
          <t>KPI người dùng khớp GET /admin/users/summary và seed</t>
        </is>
      </c>
      <c r="E142" s="15" t="inlineStr">
        <is>
          <t>Chức năng</t>
        </is>
      </c>
      <c r="F142" s="16" t="inlineStr">
        <is>
          <t>Cao</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42" s="15" t="inlineStr">
        <is>
          <t>1. GET /api/admin/users/summary</t>
        </is>
      </c>
      <c r="K142" s="15" t="inlineStr">
        <is>
          <t>-</t>
        </is>
      </c>
      <c r="L142" s="15" t="inlineStr">
        <is>
          <t>restricted = 2 (maya, ethan), suspended = 2 (olivia, lucas), banned = 1 (sophia) trên DB seed (nếu chưa ai thao tác); total khớp dashboard kpis.totalUsers; new30d đếm tài khoản tạo trong 30 ngày; paid = số người có gói active.</t>
        </is>
      </c>
      <c r="M142" s="15" t="inlineStr"/>
      <c r="N142" s="18" t="inlineStr">
        <is>
          <t>Chưa test</t>
        </is>
      </c>
      <c r="O142" s="15" t="inlineStr"/>
      <c r="P142" s="15" t="inlineStr"/>
      <c r="Q142" s="18" t="inlineStr">
        <is>
          <t>Chưa test</t>
        </is>
      </c>
      <c r="R142" s="15" t="inlineStr"/>
    </row>
    <row r="143" ht="45" customHeight="1">
      <c r="A143" s="14" t="inlineStr">
        <is>
          <t>TC-ADM-142</t>
        </is>
      </c>
      <c r="B143" s="15" t="inlineStr">
        <is>
          <t>Admin Console (đợt 1)</t>
        </is>
      </c>
      <c r="C143" s="15" t="inlineStr">
        <is>
          <t>Người dùng: Danh sách</t>
        </is>
      </c>
      <c r="D143" s="15" t="inlineStr">
        <is>
          <t>Danh sách không gồm thành viên minh họa (isDemo) và tài khoản đã xóa</t>
        </is>
      </c>
      <c r="E143" s="15" t="inlineStr">
        <is>
          <t>Chức năng</t>
        </is>
      </c>
      <c r="F143" s="16" t="inlineStr">
        <is>
          <t>Cao</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Có thể truy vấn DB.</t>
        </is>
      </c>
      <c r="J143" s="15" t="inlineStr">
        <is>
          <t>1. GET /api/admin/users?limit=100
2. Kiểm tra không có email dạng seed-&lt;courseId&gt;-&lt;i&gt;@demo.sofinhub.invalid
3. Xóa mềm một tài khoản test rồi gọi lại</t>
        </is>
      </c>
      <c r="K143" s="15" t="inlineStr">
        <is>
          <t>-</t>
        </is>
      </c>
      <c r="L143" s="15" t="inlineStr">
        <is>
          <t>Không có tài khoản isDemo; tài khoản đã xóa (deletedAt) cũng không có; meta.total = số user thật.</t>
        </is>
      </c>
      <c r="M143" s="15" t="inlineStr"/>
      <c r="N143" s="18" t="inlineStr">
        <is>
          <t>Chưa test</t>
        </is>
      </c>
      <c r="O143" s="15" t="inlineStr"/>
      <c r="P143" s="15" t="inlineStr"/>
      <c r="Q143" s="18" t="inlineStr">
        <is>
          <t>Chưa test</t>
        </is>
      </c>
      <c r="R143" s="15" t="inlineStr"/>
    </row>
    <row r="144" ht="30" customHeight="1">
      <c r="A144" s="14" t="inlineStr">
        <is>
          <t>TC-ADM-143</t>
        </is>
      </c>
      <c r="B144" s="15" t="inlineStr">
        <is>
          <t>Admin Console (đợt 1)</t>
        </is>
      </c>
      <c r="C144" s="15" t="inlineStr">
        <is>
          <t>Người dùng: Danh sách</t>
        </is>
      </c>
      <c r="D144" s="15" t="inlineStr">
        <is>
          <t>Tìm kiếm người dùng 'sarah'</t>
        </is>
      </c>
      <c r="E144" s="15" t="inlineStr">
        <is>
          <t>Chức năng</t>
        </is>
      </c>
      <c r="F144" s="16" t="inlineStr">
        <is>
          <t>Cao</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44" s="15" t="inlineStr">
        <is>
          <t>1. Mở /admin/users
2. Gõ 'sarah' vào ô 'Tìm tên, email, mã người dùng...'</t>
        </is>
      </c>
      <c r="K144" s="15" t="inlineStr">
        <is>
          <t>q=sarah</t>
        </is>
      </c>
      <c r="L144" s="15" t="inlineStr">
        <is>
          <t>Bảng chỉ còn Sarah Kim; gọi GET /api/admin/users?q=sarah; về trang 1.</t>
        </is>
      </c>
      <c r="M144" s="15" t="inlineStr"/>
      <c r="N144" s="18" t="inlineStr">
        <is>
          <t>Chưa test</t>
        </is>
      </c>
      <c r="O144" s="15" t="inlineStr"/>
      <c r="P144" s="15" t="inlineStr"/>
      <c r="Q144" s="18" t="inlineStr">
        <is>
          <t>Chưa test</t>
        </is>
      </c>
      <c r="R144" s="15" t="inlineStr"/>
    </row>
    <row r="145" ht="30" customHeight="1">
      <c r="A145" s="14" t="inlineStr">
        <is>
          <t>TC-ADM-144</t>
        </is>
      </c>
      <c r="B145" s="15" t="inlineStr">
        <is>
          <t>Admin Console (đợt 1)</t>
        </is>
      </c>
      <c r="C145" s="15" t="inlineStr">
        <is>
          <t>Người dùng: Danh sách</t>
        </is>
      </c>
      <c r="D145" s="15" t="inlineStr">
        <is>
          <t>Tìm kiếm người dùng 'maya@sofinhub.test'</t>
        </is>
      </c>
      <c r="E145" s="15" t="inlineStr">
        <is>
          <t>Chức năng</t>
        </is>
      </c>
      <c r="F145" s="16" t="inlineStr">
        <is>
          <t>Cao</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45" s="15" t="inlineStr">
        <is>
          <t>1. Mở /admin/users
2. Gõ 'maya@sofinhub.test' vào ô 'Tìm tên, email, mã người dùng...'</t>
        </is>
      </c>
      <c r="K145" s="15" t="inlineStr">
        <is>
          <t>q=maya@sofinhub.test</t>
        </is>
      </c>
      <c r="L145" s="15" t="inlineStr">
        <is>
          <t>Bảng chỉ còn Maya Chen (theo email); gọi GET /api/admin/users?q=maya@sofinhub.test; về trang 1.</t>
        </is>
      </c>
      <c r="M145" s="15" t="inlineStr"/>
      <c r="N145" s="18" t="inlineStr">
        <is>
          <t>Chưa test</t>
        </is>
      </c>
      <c r="O145" s="15" t="inlineStr"/>
      <c r="P145" s="15" t="inlineStr"/>
      <c r="Q145" s="18" t="inlineStr">
        <is>
          <t>Chưa test</t>
        </is>
      </c>
      <c r="R145" s="15" t="inlineStr"/>
    </row>
    <row r="146" ht="30" customHeight="1">
      <c r="A146" s="14" t="inlineStr">
        <is>
          <t>TC-ADM-145</t>
        </is>
      </c>
      <c r="B146" s="15" t="inlineStr">
        <is>
          <t>Admin Console (đợt 1)</t>
        </is>
      </c>
      <c r="C146" s="15" t="inlineStr">
        <is>
          <t>Người dùng: Danh sách</t>
        </is>
      </c>
      <c r="D146" s="15" t="inlineStr">
        <is>
          <t>Tìm kiếm người dùng 'Nguyen'</t>
        </is>
      </c>
      <c r="E146" s="15" t="inlineStr">
        <is>
          <t>Chức năng</t>
        </is>
      </c>
      <c r="F146" s="16" t="inlineStr">
        <is>
          <t>Cao</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46" s="15" t="inlineStr">
        <is>
          <t>1. Mở /admin/users
2. Gõ 'Nguyen' vào ô 'Tìm tên, email, mã người dùng...'</t>
        </is>
      </c>
      <c r="K146" s="15" t="inlineStr">
        <is>
          <t>q=Nguyen</t>
        </is>
      </c>
      <c r="L146" s="15" t="inlineStr">
        <is>
          <t>Bảng chỉ còn Liam Nguyen (theo tên); gọi GET /api/admin/users?q=Nguyen; về trang 1.</t>
        </is>
      </c>
      <c r="M146" s="15" t="inlineStr"/>
      <c r="N146" s="18" t="inlineStr">
        <is>
          <t>Chưa test</t>
        </is>
      </c>
      <c r="O146" s="15" t="inlineStr"/>
      <c r="P146" s="15" t="inlineStr"/>
      <c r="Q146" s="18" t="inlineStr">
        <is>
          <t>Chưa test</t>
        </is>
      </c>
      <c r="R146" s="15" t="inlineStr"/>
    </row>
    <row r="147" ht="30" customHeight="1">
      <c r="A147" s="14" t="inlineStr">
        <is>
          <t>TC-ADM-146</t>
        </is>
      </c>
      <c r="B147" s="15" t="inlineStr">
        <is>
          <t>Admin Console (đợt 1)</t>
        </is>
      </c>
      <c r="C147" s="15" t="inlineStr">
        <is>
          <t>Người dùng: Danh sách</t>
        </is>
      </c>
      <c r="D147" s="15" t="inlineStr">
        <is>
          <t>Tìm kiếm người dùng theo mã id (uuid)</t>
        </is>
      </c>
      <c r="E147" s="15" t="inlineStr">
        <is>
          <t>Chức năng</t>
        </is>
      </c>
      <c r="F147" s="17" t="inlineStr">
        <is>
          <t>Thấp</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47" s="15" t="inlineStr">
        <is>
          <t>1. Lấy id của sarah từ danh sách
2. GET /api/admin/users?q=&lt;id đầy đủ&gt;</t>
        </is>
      </c>
      <c r="K147" s="15" t="inlineStr">
        <is>
          <t>id sarah</t>
        </is>
      </c>
      <c r="L147" s="15" t="inlineStr">
        <is>
          <t>Trả đúng 1 người dùng.</t>
        </is>
      </c>
      <c r="M147" s="15" t="inlineStr"/>
      <c r="N147" s="18" t="inlineStr">
        <is>
          <t>Chưa test</t>
        </is>
      </c>
      <c r="O147" s="15" t="inlineStr"/>
      <c r="P147" s="15" t="inlineStr"/>
      <c r="Q147" s="18" t="inlineStr">
        <is>
          <t>Chưa test</t>
        </is>
      </c>
      <c r="R147" s="15" t="inlineStr"/>
    </row>
    <row r="148" ht="30" customHeight="1">
      <c r="A148" s="14" t="inlineStr">
        <is>
          <t>TC-ADM-147</t>
        </is>
      </c>
      <c r="B148" s="15" t="inlineStr">
        <is>
          <t>Admin Console (đợt 1)</t>
        </is>
      </c>
      <c r="C148" s="15" t="inlineStr">
        <is>
          <t>Người dùng: Danh sách</t>
        </is>
      </c>
      <c r="D148" s="15" t="inlineStr">
        <is>
          <t>Lọc người dùng theo status=restricted (API)</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48" s="15" t="inlineStr">
        <is>
          <t>1. GET /api/admin/users?status=restricted</t>
        </is>
      </c>
      <c r="K148" s="15" t="inlineStr">
        <is>
          <t>status=restricted</t>
        </is>
      </c>
      <c r="L148" s="15" t="inlineStr">
        <is>
          <t>Chỉ trả người dùng ở trạng thái đó (seed: maya, ethan); statusReason/statusUntil/restrictions đúng seed (vd. maya: restrictions [post, comment], reason 'Spam').</t>
        </is>
      </c>
      <c r="M148" s="15" t="inlineStr"/>
      <c r="N148" s="18" t="inlineStr">
        <is>
          <t>Chưa test</t>
        </is>
      </c>
      <c r="O148" s="15" t="inlineStr"/>
      <c r="P148" s="15" t="inlineStr"/>
      <c r="Q148" s="18" t="inlineStr">
        <is>
          <t>Chưa test</t>
        </is>
      </c>
      <c r="R148" s="15" t="inlineStr"/>
    </row>
    <row r="149" ht="30" customHeight="1">
      <c r="A149" s="14" t="inlineStr">
        <is>
          <t>TC-ADM-148</t>
        </is>
      </c>
      <c r="B149" s="15" t="inlineStr">
        <is>
          <t>Admin Console (đợt 1)</t>
        </is>
      </c>
      <c r="C149" s="15" t="inlineStr">
        <is>
          <t>Người dùng: Danh sách</t>
        </is>
      </c>
      <c r="D149" s="15" t="inlineStr">
        <is>
          <t>Lọc người dùng theo status=suspended (API)</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49" s="15" t="inlineStr">
        <is>
          <t>1. GET /api/admin/users?status=suspended</t>
        </is>
      </c>
      <c r="K149" s="15" t="inlineStr">
        <is>
          <t>status=suspended</t>
        </is>
      </c>
      <c r="L149" s="15" t="inlineStr">
        <is>
          <t>Chỉ trả người dùng ở trạng thái đó (seed: olivia, lucas); statusReason/statusUntil/restrictions đúng seed (vd. maya: restrictions [post, comment], reason 'Spam').</t>
        </is>
      </c>
      <c r="M149" s="15" t="inlineStr"/>
      <c r="N149" s="18" t="inlineStr">
        <is>
          <t>Chưa test</t>
        </is>
      </c>
      <c r="O149" s="15" t="inlineStr"/>
      <c r="P149" s="15" t="inlineStr"/>
      <c r="Q149" s="18" t="inlineStr">
        <is>
          <t>Chưa test</t>
        </is>
      </c>
      <c r="R149" s="15" t="inlineStr"/>
    </row>
    <row r="150" ht="30" customHeight="1">
      <c r="A150" s="14" t="inlineStr">
        <is>
          <t>TC-ADM-149</t>
        </is>
      </c>
      <c r="B150" s="15" t="inlineStr">
        <is>
          <t>Admin Console (đợt 1)</t>
        </is>
      </c>
      <c r="C150" s="15" t="inlineStr">
        <is>
          <t>Người dùng: Danh sách</t>
        </is>
      </c>
      <c r="D150" s="15" t="inlineStr">
        <is>
          <t>Lọc người dùng theo status=banned (API)</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50" s="15" t="inlineStr">
        <is>
          <t>1. GET /api/admin/users?status=banned</t>
        </is>
      </c>
      <c r="K150" s="15" t="inlineStr">
        <is>
          <t>status=banned</t>
        </is>
      </c>
      <c r="L150" s="15" t="inlineStr">
        <is>
          <t>Chỉ trả người dùng ở trạng thái đó (seed: sophia); statusReason/statusUntil/restrictions đúng seed (vd. maya: restrictions [post, comment], reason 'Spam').</t>
        </is>
      </c>
      <c r="M150" s="15" t="inlineStr"/>
      <c r="N150" s="18" t="inlineStr">
        <is>
          <t>Chưa test</t>
        </is>
      </c>
      <c r="O150" s="15" t="inlineStr"/>
      <c r="P150" s="15" t="inlineStr"/>
      <c r="Q150" s="18" t="inlineStr">
        <is>
          <t>Chưa test</t>
        </is>
      </c>
      <c r="R150" s="15" t="inlineStr"/>
    </row>
    <row r="151" ht="30" customHeight="1">
      <c r="A151" s="14" t="inlineStr">
        <is>
          <t>TC-ADM-150</t>
        </is>
      </c>
      <c r="B151" s="15" t="inlineStr">
        <is>
          <t>Admin Console (đợt 1)</t>
        </is>
      </c>
      <c r="C151" s="15" t="inlineStr">
        <is>
          <t>Người dùng: Danh sách</t>
        </is>
      </c>
      <c r="D151" s="15" t="inlineStr">
        <is>
          <t>Lọc người dùng theo status=restricted,suspended (API)</t>
        </is>
      </c>
      <c r="E151" s="15" t="inlineStr">
        <is>
          <t>Chức năng</t>
        </is>
      </c>
      <c r="F151" s="20" t="inlineStr">
        <is>
          <t>Trung bình</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51" s="15" t="inlineStr">
        <is>
          <t>1. GET /api/admin/users?status=restricted,suspended</t>
        </is>
      </c>
      <c r="K151" s="15" t="inlineStr">
        <is>
          <t>status=restricted,suspended</t>
        </is>
      </c>
      <c r="L151" s="15" t="inlineStr">
        <is>
          <t>Chỉ trả người dùng ở trạng thái đó (seed: maya, ethan, olivia, lucas); statusReason/statusUntil/restrictions đúng seed (vd. maya: restrictions [post, comment], reason 'Spam').</t>
        </is>
      </c>
      <c r="M151" s="15" t="inlineStr"/>
      <c r="N151" s="18" t="inlineStr">
        <is>
          <t>Chưa test</t>
        </is>
      </c>
      <c r="O151" s="15" t="inlineStr"/>
      <c r="P151" s="15" t="inlineStr"/>
      <c r="Q151" s="18" t="inlineStr">
        <is>
          <t>Chưa test</t>
        </is>
      </c>
      <c r="R151" s="15" t="inlineStr"/>
    </row>
    <row r="152" ht="60" customHeight="1">
      <c r="A152" s="14" t="inlineStr">
        <is>
          <t>TC-ADM-151</t>
        </is>
      </c>
      <c r="B152" s="15" t="inlineStr">
        <is>
          <t>Admin Console (đợt 1)</t>
        </is>
      </c>
      <c r="C152" s="15" t="inlineStr">
        <is>
          <t>Người dùng: Danh sách</t>
        </is>
      </c>
      <c r="D152" s="15" t="inlineStr">
        <is>
          <t>Lọc vai trò (member/creator) và gói (free/paid)</t>
        </is>
      </c>
      <c r="E152" s="15" t="inlineStr">
        <is>
          <t>Chức năng</t>
        </is>
      </c>
      <c r="F152" s="20" t="inlineStr">
        <is>
          <t>Trung bình</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52" s="15" t="inlineStr">
        <is>
          <t>1. GET /api/admin/users?role=creator
2. GET /api/admin/users?role=member
3. GET /api/admin/users?plan=paid
4. GET /api/admin/users?plan=free</t>
        </is>
      </c>
      <c r="K152" s="15" t="inlineStr">
        <is>
          <t>-</t>
        </is>
      </c>
      <c r="L152" s="15" t="inlineStr">
        <is>
          <t>creator = người sở hữu ≥ 1 cộng đồng (owner@, alex, daniel, ...); paid = có subscription active (member1, member2 theo seed); creator và member không giao nhau.</t>
        </is>
      </c>
      <c r="M152" s="15" t="inlineStr"/>
      <c r="N152" s="18" t="inlineStr">
        <is>
          <t>Chưa test</t>
        </is>
      </c>
      <c r="O152" s="15" t="inlineStr"/>
      <c r="P152" s="15" t="inlineStr"/>
      <c r="Q152" s="18" t="inlineStr">
        <is>
          <t>Chưa test</t>
        </is>
      </c>
      <c r="R152" s="15" t="inlineStr"/>
    </row>
    <row r="153" ht="60" customHeight="1">
      <c r="A153" s="14" t="inlineStr">
        <is>
          <t>TC-ADM-152</t>
        </is>
      </c>
      <c r="B153" s="15" t="inlineStr">
        <is>
          <t>Admin Console (đợt 1)</t>
        </is>
      </c>
      <c r="C153" s="15" t="inlineStr">
        <is>
          <t>Người dùng: Danh sách</t>
        </is>
      </c>
      <c r="D153" s="15" t="inlineStr">
        <is>
          <t>Giá trị lọc không hợp lệ trả 400</t>
        </is>
      </c>
      <c r="E153" s="15" t="inlineStr">
        <is>
          <t>Chức năng</t>
        </is>
      </c>
      <c r="F153" s="20" t="inlineStr">
        <is>
          <t>Trung bình</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53" s="15" t="inlineStr">
        <is>
          <t>1. GET /api/admin/users?status=vip
2. GET /api/admin/users?role=boss
3. GET /api/admin/users?plan=gold
4. GET /api/admin/users?sort=x</t>
        </is>
      </c>
      <c r="K153" s="15" t="inlineStr">
        <is>
          <t>-</t>
        </is>
      </c>
      <c r="L153" s="15" t="inlineStr">
        <is>
          <t>Cả bốn 400 VALIDATION_ERROR.</t>
        </is>
      </c>
      <c r="M153" s="15" t="inlineStr"/>
      <c r="N153" s="18" t="inlineStr">
        <is>
          <t>Chưa test</t>
        </is>
      </c>
      <c r="O153" s="15" t="inlineStr"/>
      <c r="P153" s="15" t="inlineStr"/>
      <c r="Q153" s="18" t="inlineStr">
        <is>
          <t>Chưa test</t>
        </is>
      </c>
      <c r="R153" s="15" t="inlineStr"/>
    </row>
    <row r="154" ht="30" customHeight="1">
      <c r="A154" s="14" t="inlineStr">
        <is>
          <t>TC-ADM-153</t>
        </is>
      </c>
      <c r="B154" s="15" t="inlineStr">
        <is>
          <t>Admin Console (đợt 1)</t>
        </is>
      </c>
      <c r="C154" s="15" t="inlineStr">
        <is>
          <t>Người dùng: Danh sách</t>
        </is>
      </c>
      <c r="D154" s="15" t="inlineStr">
        <is>
          <t>Sắp xếp người dùng theo 'oldest'</t>
        </is>
      </c>
      <c r="E154" s="15" t="inlineStr">
        <is>
          <t>Chức năng</t>
        </is>
      </c>
      <c r="F154" s="20" t="inlineStr">
        <is>
          <t>Trung bình</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54" s="15" t="inlineStr">
        <is>
          <t>1. GET /api/admin/users?sort=oldest&amp;limit=20</t>
        </is>
      </c>
      <c r="K154" s="15" t="inlineStr">
        <is>
          <t>sort=oldest</t>
        </is>
      </c>
      <c r="L154" s="15" t="inlineStr">
        <is>
          <t>200; thứ tự joinedAt tăng dần.</t>
        </is>
      </c>
      <c r="M154" s="15" t="inlineStr"/>
      <c r="N154" s="18" t="inlineStr">
        <is>
          <t>Chưa test</t>
        </is>
      </c>
      <c r="O154" s="15" t="inlineStr"/>
      <c r="P154" s="15" t="inlineStr"/>
      <c r="Q154" s="18" t="inlineStr">
        <is>
          <t>Chưa test</t>
        </is>
      </c>
      <c r="R154" s="15" t="inlineStr"/>
    </row>
    <row r="155" ht="30" customHeight="1">
      <c r="A155" s="14" t="inlineStr">
        <is>
          <t>TC-ADM-154</t>
        </is>
      </c>
      <c r="B155" s="15" t="inlineStr">
        <is>
          <t>Admin Console (đợt 1)</t>
        </is>
      </c>
      <c r="C155" s="15" t="inlineStr">
        <is>
          <t>Người dùng: Danh sách</t>
        </is>
      </c>
      <c r="D155" s="15" t="inlineStr">
        <is>
          <t>Sắp xếp người dùng theo 'name'</t>
        </is>
      </c>
      <c r="E155" s="15" t="inlineStr">
        <is>
          <t>Chức năng</t>
        </is>
      </c>
      <c r="F155" s="20" t="inlineStr">
        <is>
          <t>Trung bình</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55" s="15" t="inlineStr">
        <is>
          <t>1. GET /api/admin/users?sort=name&amp;limit=20</t>
        </is>
      </c>
      <c r="K155" s="15" t="inlineStr">
        <is>
          <t>sort=name</t>
        </is>
      </c>
      <c r="L155" s="15" t="inlineStr">
        <is>
          <t>200; thứ tự tên A-Z.</t>
        </is>
      </c>
      <c r="M155" s="15" t="inlineStr"/>
      <c r="N155" s="18" t="inlineStr">
        <is>
          <t>Chưa test</t>
        </is>
      </c>
      <c r="O155" s="15" t="inlineStr"/>
      <c r="P155" s="15" t="inlineStr"/>
      <c r="Q155" s="18" t="inlineStr">
        <is>
          <t>Chưa test</t>
        </is>
      </c>
      <c r="R155" s="15" t="inlineStr"/>
    </row>
    <row r="156" ht="30" customHeight="1">
      <c r="A156" s="14" t="inlineStr">
        <is>
          <t>TC-ADM-155</t>
        </is>
      </c>
      <c r="B156" s="15" t="inlineStr">
        <is>
          <t>Admin Console (đợt 1)</t>
        </is>
      </c>
      <c r="C156" s="15" t="inlineStr">
        <is>
          <t>Người dùng: Danh sách</t>
        </is>
      </c>
      <c r="D156" s="15" t="inlineStr">
        <is>
          <t>Sắp xếp người dùng theo 'revenue'</t>
        </is>
      </c>
      <c r="E156" s="15" t="inlineStr">
        <is>
          <t>Chức năng</t>
        </is>
      </c>
      <c r="F156" s="20" t="inlineStr">
        <is>
          <t>Trung bình</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56" s="15" t="inlineStr">
        <is>
          <t>1. GET /api/admin/users?sort=revenue&amp;limit=20</t>
        </is>
      </c>
      <c r="K156" s="15" t="inlineStr">
        <is>
          <t>sort=revenue</t>
        </is>
      </c>
      <c r="L156" s="15" t="inlineStr">
        <is>
          <t>200; thứ tự doanh thu giảm dần (member1 cao).</t>
        </is>
      </c>
      <c r="M156" s="15" t="inlineStr"/>
      <c r="N156" s="18" t="inlineStr">
        <is>
          <t>Chưa test</t>
        </is>
      </c>
      <c r="O156" s="15" t="inlineStr"/>
      <c r="P156" s="15" t="inlineStr"/>
      <c r="Q156" s="18" t="inlineStr">
        <is>
          <t>Chưa test</t>
        </is>
      </c>
      <c r="R156" s="15" t="inlineStr"/>
    </row>
    <row r="157" ht="30" customHeight="1">
      <c r="A157" s="14" t="inlineStr">
        <is>
          <t>TC-ADM-156</t>
        </is>
      </c>
      <c r="B157" s="15" t="inlineStr">
        <is>
          <t>Admin Console (đợt 1)</t>
        </is>
      </c>
      <c r="C157" s="15" t="inlineStr">
        <is>
          <t>Người dùng: Danh sách</t>
        </is>
      </c>
      <c r="D157" s="15" t="inlineStr">
        <is>
          <t>Sắp xếp người dùng theo 'reports'</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57" s="15" t="inlineStr">
        <is>
          <t>1. GET /api/admin/users?sort=reports&amp;limit=20</t>
        </is>
      </c>
      <c r="K157" s="15" t="inlineStr">
        <is>
          <t>sort=reports</t>
        </is>
      </c>
      <c r="L157" s="15" t="inlineStr">
        <is>
          <t>200; thứ tự số báo cáo nhận giảm dần (lucas đầu).</t>
        </is>
      </c>
      <c r="M157" s="15" t="inlineStr"/>
      <c r="N157" s="18" t="inlineStr">
        <is>
          <t>Chưa test</t>
        </is>
      </c>
      <c r="O157" s="15" t="inlineStr"/>
      <c r="P157" s="15" t="inlineStr"/>
      <c r="Q157" s="18" t="inlineStr">
        <is>
          <t>Chưa test</t>
        </is>
      </c>
      <c r="R157" s="15" t="inlineStr"/>
    </row>
    <row r="158" ht="45" customHeight="1">
      <c r="A158" s="14" t="inlineStr">
        <is>
          <t>TC-ADM-157</t>
        </is>
      </c>
      <c r="B158" s="15" t="inlineStr">
        <is>
          <t>Admin Console (đợt 1)</t>
        </is>
      </c>
      <c r="C158" s="15" t="inlineStr">
        <is>
          <t>Người dùng: Danh sách</t>
        </is>
      </c>
      <c r="D158" s="15" t="inlineStr">
        <is>
          <t>Phân trang người dùng: limit/page và biên</t>
        </is>
      </c>
      <c r="E158" s="15" t="inlineStr">
        <is>
          <t>Chức năng</t>
        </is>
      </c>
      <c r="F158" s="20" t="inlineStr">
        <is>
          <t>Trung bình</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58" s="15" t="inlineStr">
        <is>
          <t>1. GET /api/admin/users?limit=5&amp;page=2
2. GET /api/admin/users?limit=101
3. GET /api/admin/users?page=0</t>
        </is>
      </c>
      <c r="K158" s="15" t="inlineStr">
        <is>
          <t>-</t>
        </is>
      </c>
      <c r="L158" s="15" t="inlineStr">
        <is>
          <t>Trang 2 có 5 dòng khác trang 1; limit=101 và page=0 trả 400; meta.totalPages đúng.</t>
        </is>
      </c>
      <c r="M158" s="15" t="inlineStr"/>
      <c r="N158" s="18" t="inlineStr">
        <is>
          <t>Chưa test</t>
        </is>
      </c>
      <c r="O158" s="15" t="inlineStr"/>
      <c r="P158" s="15" t="inlineStr"/>
      <c r="Q158" s="18" t="inlineStr">
        <is>
          <t>Chưa test</t>
        </is>
      </c>
      <c r="R158" s="15" t="inlineStr"/>
    </row>
    <row r="159" ht="60" customHeight="1">
      <c r="A159" s="14" t="inlineStr">
        <is>
          <t>TC-ADM-158</t>
        </is>
      </c>
      <c r="B159" s="15" t="inlineStr">
        <is>
          <t>Admin Console (đợt 1)</t>
        </is>
      </c>
      <c r="C159" s="15" t="inlineStr">
        <is>
          <t>Người dùng: Danh sách</t>
        </is>
      </c>
      <c r="D159" s="15" t="inlineStr">
        <is>
          <t>Bộ lọc giao diện (Trạng thái, Vai trò, Gói, Sắp xếp) và xóa bộ lọc</t>
        </is>
      </c>
      <c r="E159" s="15" t="inlineStr">
        <is>
          <t>Chức năng</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59" s="15" t="inlineStr">
        <is>
          <t>1. Mở /admin/users
2. Chọn 'Trạng thái' = Bị cấm
3. Chọn 'Sắp xếp' = Nhiều báo cáo nhất
4. Bấm xóa bộ lọc</t>
        </is>
      </c>
      <c r="K159" s="15" t="inlineStr">
        <is>
          <t>-</t>
        </is>
      </c>
      <c r="L159" s="15" t="inlineStr">
        <is>
          <t>Mỗi chọn tải lại danh sách (về trang 1); 'Bị cấm' chỉ hiện Sophia Patel; xóa bộ lọc về mặc định (mới nhất trước).</t>
        </is>
      </c>
      <c r="M159" s="15" t="inlineStr"/>
      <c r="N159" s="18" t="inlineStr">
        <is>
          <t>Chưa test</t>
        </is>
      </c>
      <c r="O159" s="15" t="inlineStr"/>
      <c r="P159" s="15" t="inlineStr"/>
      <c r="Q159" s="18" t="inlineStr">
        <is>
          <t>Chưa test</t>
        </is>
      </c>
      <c r="R159" s="15" t="inlineStr"/>
    </row>
    <row r="160" ht="30" customHeight="1">
      <c r="A160" s="14" t="inlineStr">
        <is>
          <t>TC-ADM-159</t>
        </is>
      </c>
      <c r="B160" s="15" t="inlineStr">
        <is>
          <t>Admin Console (đợt 1)</t>
        </is>
      </c>
      <c r="C160" s="15" t="inlineStr">
        <is>
          <t>Người dùng: Danh sách</t>
        </is>
      </c>
      <c r="D160" s="15" t="inlineStr">
        <is>
          <t>Bấm KPI 'Bị hạn chế'/'Tạm ngưng'/'Bị cấm' chuyển đúng trang</t>
        </is>
      </c>
      <c r="E160" s="15" t="inlineStr">
        <is>
          <t>Chức năng</t>
        </is>
      </c>
      <c r="F160" s="17" t="inlineStr">
        <is>
          <t>Thấp</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60" s="15" t="inlineStr">
        <is>
          <t>1. Bấm thẻ 'Bị hạn chế'
2. Quay lại, bấm 'Bị cấm'</t>
        </is>
      </c>
      <c r="K160" s="15" t="inlineStr">
        <is>
          <t>-</t>
        </is>
      </c>
      <c r="L160" s="15" t="inlineStr">
        <is>
          <t>'Bị hạn chế' và 'Tạm ngưng' -&gt; /admin/users/restricted; 'Bị cấm' -&gt; /admin/users/banned.</t>
        </is>
      </c>
      <c r="M160" s="15" t="inlineStr"/>
      <c r="N160" s="18" t="inlineStr">
        <is>
          <t>Chưa test</t>
        </is>
      </c>
      <c r="O160" s="15" t="inlineStr"/>
      <c r="P160" s="15" t="inlineStr"/>
      <c r="Q160" s="18" t="inlineStr">
        <is>
          <t>Chưa test</t>
        </is>
      </c>
      <c r="R160" s="15" t="inlineStr"/>
    </row>
    <row r="161" ht="30" customHeight="1">
      <c r="A161" s="14" t="inlineStr">
        <is>
          <t>TC-ADM-160</t>
        </is>
      </c>
      <c r="B161" s="15" t="inlineStr">
        <is>
          <t>Admin Console (đợt 1)</t>
        </is>
      </c>
      <c r="C161" s="15" t="inlineStr">
        <is>
          <t>Người dùng: Danh sách</t>
        </is>
      </c>
      <c r="D161" s="15" t="inlineStr">
        <is>
          <t>Menu '…' của dòng người dùng thay đổi theo trạng thái</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61" s="15" t="inlineStr">
        <is>
          <t>1. Mở menu … của sarah (active), maya (restricted), olivia (suspended), sophia (banned)</t>
        </is>
      </c>
      <c r="K161" s="15" t="inlineStr">
        <is>
          <t>-</t>
        </is>
      </c>
      <c r="L161" s="15" t="inlineStr">
        <is>
          <t>active: Xem, Hạn chế, Tạm ngưng, Cấm, Cảnh cáo. restricted: Xem, Tạm ngưng, Cấm, Khôi phục, Cảnh cáo (không còn Hạn chế). suspended: Xem, Cấm, Khôi phục, Cảnh cáo. banned: Xem, Khôi phục, Cảnh cáo (không còn Cấm).</t>
        </is>
      </c>
      <c r="M161" s="15" t="inlineStr"/>
      <c r="N161" s="18" t="inlineStr">
        <is>
          <t>Chưa test</t>
        </is>
      </c>
      <c r="O161" s="15" t="inlineStr"/>
      <c r="P161" s="15" t="inlineStr"/>
      <c r="Q161" s="18" t="inlineStr">
        <is>
          <t>Chưa test</t>
        </is>
      </c>
      <c r="R161" s="15" t="inlineStr"/>
    </row>
    <row r="162" ht="30" customHeight="1">
      <c r="A162" s="14" t="inlineStr">
        <is>
          <t>TC-ADM-161</t>
        </is>
      </c>
      <c r="B162" s="15" t="inlineStr">
        <is>
          <t>Admin Console (đợt 1)</t>
        </is>
      </c>
      <c r="C162" s="15" t="inlineStr">
        <is>
          <t>Người dùng: Danh sách</t>
        </is>
      </c>
      <c r="D162" s="15" t="inlineStr">
        <is>
          <t>Trang /admin/users/restricted: cột Hạn chế/Thời hạn/Lý do/Thực hiện bởi</t>
        </is>
      </c>
      <c r="E162" s="15" t="inlineStr">
        <is>
          <t>Giao diện</t>
        </is>
      </c>
      <c r="F162" s="16" t="inlineStr">
        <is>
          <t>Cao</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62" s="15" t="inlineStr">
        <is>
          <t>1. Mở /admin/users/restricted</t>
        </is>
      </c>
      <c r="K162" s="15" t="inlineStr">
        <is>
          <t>-</t>
        </is>
      </c>
      <c r="L162"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62" s="15" t="inlineStr"/>
      <c r="N162" s="18" t="inlineStr">
        <is>
          <t>Chưa test</t>
        </is>
      </c>
      <c r="O162" s="15" t="inlineStr"/>
      <c r="P162" s="15" t="inlineStr"/>
      <c r="Q162" s="18" t="inlineStr">
        <is>
          <t>Chưa test</t>
        </is>
      </c>
      <c r="R162" s="15" t="inlineStr"/>
    </row>
    <row r="163" ht="30" customHeight="1">
      <c r="A163" s="14" t="inlineStr">
        <is>
          <t>TC-ADM-162</t>
        </is>
      </c>
      <c r="B163" s="15" t="inlineStr">
        <is>
          <t>Admin Console (đợt 1)</t>
        </is>
      </c>
      <c r="C163" s="15" t="inlineStr">
        <is>
          <t>Người dùng: Danh sách</t>
        </is>
      </c>
      <c r="D163" s="15" t="inlineStr">
        <is>
          <t>Trang /admin/users/restricted: lọc trạng thái, tìm kiếm và trạng thái rỗng</t>
        </is>
      </c>
      <c r="E163" s="15" t="inlineStr">
        <is>
          <t>Chức năng</t>
        </is>
      </c>
      <c r="F163" s="17" t="inlineStr">
        <is>
          <t>Thấp</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63" s="15" t="inlineStr">
        <is>
          <t>1. Lọc 'Trạng thái' = Tạm ngưng
2. Gõ 'zzz' vào ô tìm</t>
        </is>
      </c>
      <c r="K163" s="15" t="inlineStr">
        <is>
          <t>-</t>
        </is>
      </c>
      <c r="L163" s="15" t="inlineStr">
        <is>
          <t>Lọc Tạm ngưng chỉ còn olivia, lucas; tìm 'zzz' hiện 'Không có người dùng nào đang bị hạn chế hoặc tạm ngưng.'.</t>
        </is>
      </c>
      <c r="M163" s="15" t="inlineStr"/>
      <c r="N163" s="18" t="inlineStr">
        <is>
          <t>Chưa test</t>
        </is>
      </c>
      <c r="O163" s="15" t="inlineStr"/>
      <c r="P163" s="15" t="inlineStr"/>
      <c r="Q163" s="18" t="inlineStr">
        <is>
          <t>Chưa test</t>
        </is>
      </c>
      <c r="R163" s="15" t="inlineStr"/>
    </row>
    <row r="164" ht="30" customHeight="1">
      <c r="A164" s="14" t="inlineStr">
        <is>
          <t>TC-ADM-163</t>
        </is>
      </c>
      <c r="B164" s="15" t="inlineStr">
        <is>
          <t>Admin Console (đợt 1)</t>
        </is>
      </c>
      <c r="C164" s="15" t="inlineStr">
        <is>
          <t>Người dùng: Danh sách</t>
        </is>
      </c>
      <c r="D164" s="15" t="inlineStr">
        <is>
          <t>Trang /admin/users/banned: danh sách người bị cấm và menu chỉ có Xem/Khôi phục</t>
        </is>
      </c>
      <c r="E164" s="15" t="inlineStr">
        <is>
          <t>Giao diện</t>
        </is>
      </c>
      <c r="F164" s="16" t="inlineStr">
        <is>
          <t>Cao</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64" s="15" t="inlineStr">
        <is>
          <t>1. Mở /admin/users/banned
2. Mở menu … của Sophia Patel</t>
        </is>
      </c>
      <c r="K164" s="15" t="inlineStr">
        <is>
          <t>-</t>
        </is>
      </c>
      <c r="L164"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64" s="15" t="inlineStr"/>
      <c r="N164" s="18" t="inlineStr">
        <is>
          <t>Chưa test</t>
        </is>
      </c>
      <c r="O164" s="15" t="inlineStr"/>
      <c r="P164" s="15" t="inlineStr"/>
      <c r="Q164" s="18" t="inlineStr">
        <is>
          <t>Chưa test</t>
        </is>
      </c>
      <c r="R164" s="15" t="inlineStr"/>
    </row>
    <row r="165" ht="30" customHeight="1">
      <c r="A165" s="14" t="inlineStr">
        <is>
          <t>TC-ADM-164</t>
        </is>
      </c>
      <c r="B165" s="15" t="inlineStr">
        <is>
          <t>Admin Console (đợt 1)</t>
        </is>
      </c>
      <c r="C165" s="15" t="inlineStr">
        <is>
          <t>Người dùng: Chi tiết</t>
        </is>
      </c>
      <c r="D165" s="15" t="inlineStr">
        <is>
          <t>GET /admin/users/:id trả hồ sơ, thống kê, hoạt động gần đây và bảo mật</t>
        </is>
      </c>
      <c r="E165" s="15" t="inlineStr">
        <is>
          <t>Chức năng</t>
        </is>
      </c>
      <c r="F165" s="16" t="inlineStr">
        <is>
          <t>Cao</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65" s="15" t="inlineStr">
        <is>
          <t>1. Lấy id Sarah Kim từ GET /admin/users?q=sarah
2. GET /api/admin/users/&lt;id&gt;</t>
        </is>
      </c>
      <c r="K165" s="15" t="inlineStr">
        <is>
          <t>sarah</t>
        </is>
      </c>
      <c r="L165"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65" s="15" t="inlineStr"/>
      <c r="N165" s="18" t="inlineStr">
        <is>
          <t>Chưa test</t>
        </is>
      </c>
      <c r="O165" s="15" t="inlineStr"/>
      <c r="P165" s="15" t="inlineStr"/>
      <c r="Q165" s="18" t="inlineStr">
        <is>
          <t>Chưa test</t>
        </is>
      </c>
      <c r="R165" s="15" t="inlineStr"/>
    </row>
    <row r="166" ht="30" customHeight="1">
      <c r="A166" s="14" t="inlineStr">
        <is>
          <t>TC-ADM-165</t>
        </is>
      </c>
      <c r="B166" s="15" t="inlineStr">
        <is>
          <t>Admin Console (đợt 1)</t>
        </is>
      </c>
      <c r="C166" s="15" t="inlineStr">
        <is>
          <t>Người dùng: Chi tiết</t>
        </is>
      </c>
      <c r="D166" s="15" t="inlineStr">
        <is>
          <t>GET /admin/users/:id: không tồn tại 404; chi tiết admin có isPlatformAdmin=true</t>
        </is>
      </c>
      <c r="E166" s="15" t="inlineStr">
        <is>
          <t>Chức năng</t>
        </is>
      </c>
      <c r="F166" s="20" t="inlineStr">
        <is>
          <t>Trung bình</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66" s="15" t="inlineStr">
        <is>
          <t>1. GET /api/admin/users/khong-ton-tai-uuid
2. GET /api/admin/users/&lt;id của admin@sofinhub.test&gt;</t>
        </is>
      </c>
      <c r="K166" s="15" t="inlineStr">
        <is>
          <t>-</t>
        </is>
      </c>
      <c r="L166" s="15" t="inlineStr">
        <is>
          <t>Lệnh 1: 404 'Không tìm thấy người dùng'; lệnh 2: 200 isPlatformAdmin=true.</t>
        </is>
      </c>
      <c r="M166" s="15" t="inlineStr"/>
      <c r="N166" s="18" t="inlineStr">
        <is>
          <t>Chưa test</t>
        </is>
      </c>
      <c r="O166" s="15" t="inlineStr"/>
      <c r="P166" s="15" t="inlineStr"/>
      <c r="Q166" s="18" t="inlineStr">
        <is>
          <t>Chưa test</t>
        </is>
      </c>
      <c r="R166" s="15" t="inlineStr"/>
    </row>
    <row r="167" ht="30" customHeight="1">
      <c r="A167" s="14" t="inlineStr">
        <is>
          <t>TC-ADM-166</t>
        </is>
      </c>
      <c r="B167" s="15" t="inlineStr">
        <is>
          <t>Admin Console (đợt 1)</t>
        </is>
      </c>
      <c r="C167" s="15" t="inlineStr">
        <is>
          <t>Người dùng: Chi tiết</t>
        </is>
      </c>
      <c r="D167" s="15" t="inlineStr">
        <is>
          <t>Trang chi tiết người dùng: 6 tab, tiêu đề và breadcrumb</t>
        </is>
      </c>
      <c r="E167" s="15" t="inlineStr">
        <is>
          <t>Giao diện</t>
        </is>
      </c>
      <c r="F167" s="16" t="inlineStr">
        <is>
          <t>Cao</t>
        </is>
      </c>
      <c r="G167" s="17" t="inlineStr">
        <is>
          <t>Đã hoàn thiện</t>
        </is>
      </c>
      <c r="H167" s="17" t="inlineStr">
        <is>
          <t>Có</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67" s="15" t="inlineStr">
        <is>
          <t>1. Mở /admin/users/&lt;id sarah&gt;
2. Bấm lần lượt các tab</t>
        </is>
      </c>
      <c r="K167" s="15" t="inlineStr">
        <is>
          <t>sarah</t>
        </is>
      </c>
      <c r="L167" s="15" t="inlineStr">
        <is>
          <t>6 tab: Tổng quan, Cộng đồng đã tham gia, Hoạt động, Lịch sử mua, Báo cáo / Vi phạm, Bảo mật (?tab= đổi theo tab); tiêu đề 'Sarah Kim'; breadcrumb 'Sarah Kim › &lt;tên tab&gt;'.</t>
        </is>
      </c>
      <c r="M167" s="15" t="inlineStr"/>
      <c r="N167" s="18" t="inlineStr">
        <is>
          <t>Chưa test</t>
        </is>
      </c>
      <c r="O167" s="15" t="inlineStr"/>
      <c r="P167" s="15" t="inlineStr"/>
      <c r="Q167" s="18" t="inlineStr">
        <is>
          <t>Chưa test</t>
        </is>
      </c>
      <c r="R167" s="15" t="inlineStr"/>
    </row>
    <row r="168" ht="30" customHeight="1">
      <c r="A168" s="14" t="inlineStr">
        <is>
          <t>TC-ADM-167</t>
        </is>
      </c>
      <c r="B168" s="15" t="inlineStr">
        <is>
          <t>Admin Console (đợt 1)</t>
        </is>
      </c>
      <c r="C168" s="15" t="inlineStr">
        <is>
          <t>Người dùng: Chi tiết</t>
        </is>
      </c>
      <c r="D168" s="15" t="inlineStr">
        <is>
          <t>Tab Tổng quan: KPI, Hồ sơ, Hoạt động gần đây, Tình trạng tài khoản</t>
        </is>
      </c>
      <c r="E168" s="15" t="inlineStr">
        <is>
          <t>Giao diện</t>
        </is>
      </c>
      <c r="F168" s="20" t="inlineStr">
        <is>
          <t>Trung bình</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68" s="15" t="inlineStr">
        <is>
          <t>1. Mở tab Tổng quan của Sarah Kim và của Maya Chen</t>
        </is>
      </c>
      <c r="K168" s="15" t="inlineStr">
        <is>
          <t>sarah, maya</t>
        </is>
      </c>
      <c r="L168"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68" s="15" t="inlineStr"/>
      <c r="N168" s="18" t="inlineStr">
        <is>
          <t>Chưa test</t>
        </is>
      </c>
      <c r="O168" s="15" t="inlineStr"/>
      <c r="P168" s="15" t="inlineStr"/>
      <c r="Q168" s="18" t="inlineStr">
        <is>
          <t>Chưa test</t>
        </is>
      </c>
      <c r="R168" s="15" t="inlineStr"/>
    </row>
    <row r="169" ht="30" customHeight="1">
      <c r="A169" s="14" t="inlineStr">
        <is>
          <t>TC-ADM-168</t>
        </is>
      </c>
      <c r="B169" s="15" t="inlineStr">
        <is>
          <t>Admin Console (đợt 1)</t>
        </is>
      </c>
      <c r="C169" s="15" t="inlineStr">
        <is>
          <t>Người dùng: Chi tiết</t>
        </is>
      </c>
      <c r="D169" s="15" t="inlineStr">
        <is>
          <t>Tab Cộng đồng đã tham gia: vai trò, gói thành viên, trạng thái</t>
        </is>
      </c>
      <c r="E169" s="15" t="inlineStr">
        <is>
          <t>Chức năng</t>
        </is>
      </c>
      <c r="F169" s="20" t="inlineStr">
        <is>
          <t>Trung bình</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69" s="15" t="inlineStr">
        <is>
          <t>1. Mở tab 'Cộng đồng đã tham gia' của member1 (tìm bằng member1@sofinhub.test)
2. Menu … &gt; 'Mở cộng đồng'</t>
        </is>
      </c>
      <c r="K169" s="15" t="inlineStr">
        <is>
          <t>member1</t>
        </is>
      </c>
      <c r="L169"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9" s="15" t="inlineStr"/>
      <c r="N169" s="18" t="inlineStr">
        <is>
          <t>Chưa test</t>
        </is>
      </c>
      <c r="O169" s="15" t="inlineStr"/>
      <c r="P169" s="15" t="inlineStr"/>
      <c r="Q169" s="18" t="inlineStr">
        <is>
          <t>Chưa test</t>
        </is>
      </c>
      <c r="R169" s="15" t="inlineStr"/>
    </row>
    <row r="170" ht="60" customHeight="1">
      <c r="A170" s="14" t="inlineStr">
        <is>
          <t>TC-ADM-169</t>
        </is>
      </c>
      <c r="B170" s="15" t="inlineStr">
        <is>
          <t>Admin Console (đợt 1)</t>
        </is>
      </c>
      <c r="C170" s="15" t="inlineStr">
        <is>
          <t>Người dùng: Chi tiết</t>
        </is>
      </c>
      <c r="D170" s="15" t="inlineStr">
        <is>
          <t>API /users/:id/communities, /activity, /purchases, /reports trả cấu trúc và phân trang</t>
        </is>
      </c>
      <c r="E170" s="15" t="inlineStr">
        <is>
          <t>Chức năng</t>
        </is>
      </c>
      <c r="F170" s="16" t="inlineStr">
        <is>
          <t>Cao</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70" s="15" t="inlineStr">
        <is>
          <t>1. GET /api/admin/users/&lt;member1&gt;/communities
2. GET .../activity?type=payment&amp;limit=5
3. GET .../purchases
4. GET .../reports</t>
        </is>
      </c>
      <c r="K170" s="15" t="inlineStr">
        <is>
          <t>member1</t>
        </is>
      </c>
      <c r="L170"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70" s="15" t="inlineStr"/>
      <c r="N170" s="18" t="inlineStr">
        <is>
          <t>Chưa test</t>
        </is>
      </c>
      <c r="O170" s="15" t="inlineStr"/>
      <c r="P170" s="15" t="inlineStr"/>
      <c r="Q170" s="18" t="inlineStr">
        <is>
          <t>Chưa test</t>
        </is>
      </c>
      <c r="R170" s="15" t="inlineStr"/>
    </row>
    <row r="171" ht="75" customHeight="1">
      <c r="A171" s="14" t="inlineStr">
        <is>
          <t>TC-ADM-170</t>
        </is>
      </c>
      <c r="B171" s="15" t="inlineStr">
        <is>
          <t>Admin Console (đợt 1)</t>
        </is>
      </c>
      <c r="C171" s="15" t="inlineStr">
        <is>
          <t>Người dùng: Chi tiết</t>
        </is>
      </c>
      <c r="D171" s="15" t="inlineStr">
        <is>
          <t>activity?type không hợp lệ trả 400; các giá trị hợp lệ lọc đúng</t>
        </is>
      </c>
      <c r="E171" s="15" t="inlineStr">
        <is>
          <t>Chức năng</t>
        </is>
      </c>
      <c r="F171" s="17" t="inlineStr">
        <is>
          <t>Thấp</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71" s="15" t="inlineStr">
        <is>
          <t>1. GET /api/admin/users/&lt;id&gt;/activity?type=login
2. …type=community
3. …type=content
4. …type=moderation
5. …type=banana</t>
        </is>
      </c>
      <c r="K171" s="15" t="inlineStr">
        <is>
          <t>sarah</t>
        </is>
      </c>
      <c r="L171" s="15" t="inlineStr">
        <is>
          <t>4 loại hợp lệ trả 200 chỉ gồm loại đó; banana 400 VALIDATION_ERROR.</t>
        </is>
      </c>
      <c r="M171" s="15" t="inlineStr"/>
      <c r="N171" s="18" t="inlineStr">
        <is>
          <t>Chưa test</t>
        </is>
      </c>
      <c r="O171" s="15" t="inlineStr"/>
      <c r="P171" s="15" t="inlineStr"/>
      <c r="Q171" s="18" t="inlineStr">
        <is>
          <t>Chưa test</t>
        </is>
      </c>
      <c r="R171" s="15" t="inlineStr"/>
    </row>
    <row r="172" ht="30" customHeight="1">
      <c r="A172" s="14" t="inlineStr">
        <is>
          <t>TC-ADM-171</t>
        </is>
      </c>
      <c r="B172" s="15" t="inlineStr">
        <is>
          <t>Admin Console (đợt 1)</t>
        </is>
      </c>
      <c r="C172" s="15" t="inlineStr">
        <is>
          <t>Người dùng: Chi tiết</t>
        </is>
      </c>
      <c r="D172" s="15" t="inlineStr">
        <is>
          <t>Tab Hoạt động: bộ lọc loại (Tất cả/Đăng nhập/Cộng đồng/Nội dung/Thanh toán/Kiểm duyệt)</t>
        </is>
      </c>
      <c r="E172" s="15" t="inlineStr">
        <is>
          <t>Chức năng</t>
        </is>
      </c>
      <c r="F172" s="20" t="inlineStr">
        <is>
          <t>Trung bình</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72" s="15" t="inlineStr">
        <is>
          <t>1. Mở tab Hoạt động của Sarah Kim
2. Chọn lần lượt từng loại</t>
        </is>
      </c>
      <c r="K172" s="15" t="inlineStr">
        <is>
          <t>sarah</t>
        </is>
      </c>
      <c r="L172" s="15" t="inlineStr">
        <is>
          <t>Dòng thời gian cập nhật theo loại; mỗi mục có icon, tiêu đề, chi tiết, thời gian; loại không có dữ liệu hiện trạng thái rỗng, không lỗi.</t>
        </is>
      </c>
      <c r="M172" s="15" t="inlineStr"/>
      <c r="N172" s="18" t="inlineStr">
        <is>
          <t>Chưa test</t>
        </is>
      </c>
      <c r="O172" s="15" t="inlineStr"/>
      <c r="P172" s="15" t="inlineStr"/>
      <c r="Q172" s="18" t="inlineStr">
        <is>
          <t>Chưa test</t>
        </is>
      </c>
      <c r="R172" s="15" t="inlineStr"/>
    </row>
    <row r="173" ht="30" customHeight="1">
      <c r="A173" s="14" t="inlineStr">
        <is>
          <t>TC-ADM-172</t>
        </is>
      </c>
      <c r="B173" s="15" t="inlineStr">
        <is>
          <t>Admin Console (đợt 1)</t>
        </is>
      </c>
      <c r="C173" s="15" t="inlineStr">
        <is>
          <t>Người dùng: Chi tiết</t>
        </is>
      </c>
      <c r="D173" s="15" t="inlineStr">
        <is>
          <t>Tab Lịch sử mua: KPI và bảng giao dịch của member1</t>
        </is>
      </c>
      <c r="E173" s="15" t="inlineStr">
        <is>
          <t>Chức năng</t>
        </is>
      </c>
      <c r="F173" s="20" t="inlineStr">
        <is>
          <t>Trung bình</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73" s="15" t="inlineStr">
        <is>
          <t>1. Mở tab 'Lịch sử mua' của member1</t>
        </is>
      </c>
      <c r="K173" s="15" t="inlineStr">
        <is>
          <t>member1</t>
        </is>
      </c>
      <c r="L173"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73" s="15" t="inlineStr"/>
      <c r="N173" s="18" t="inlineStr">
        <is>
          <t>Chưa test</t>
        </is>
      </c>
      <c r="O173" s="15" t="inlineStr"/>
      <c r="P173" s="15" t="inlineStr"/>
      <c r="Q173" s="18" t="inlineStr">
        <is>
          <t>Chưa test</t>
        </is>
      </c>
      <c r="R173" s="15" t="inlineStr"/>
    </row>
    <row r="174" ht="30" customHeight="1">
      <c r="A174" s="14" t="inlineStr">
        <is>
          <t>TC-ADM-173</t>
        </is>
      </c>
      <c r="B174" s="15" t="inlineStr">
        <is>
          <t>Admin Console (đợt 1)</t>
        </is>
      </c>
      <c r="C174" s="15" t="inlineStr">
        <is>
          <t>Người dùng: Chi tiết</t>
        </is>
      </c>
      <c r="D174" s="15" t="inlineStr">
        <is>
          <t>Tab Báo cáo / Vi phạm của người bị báo cáo (lucas)</t>
        </is>
      </c>
      <c r="E174" s="15" t="inlineStr">
        <is>
          <t>Chức năng</t>
        </is>
      </c>
      <c r="F174" s="20" t="inlineStr">
        <is>
          <t>Trung bình</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174" s="15" t="inlineStr">
        <is>
          <t>1. Mở tab 'Báo cáo / Vi phạm' của Lucas Silva</t>
        </is>
      </c>
      <c r="K174" s="15" t="inlineStr">
        <is>
          <t>lucas</t>
        </is>
      </c>
      <c r="L174" s="15" t="inlineStr">
        <is>
          <t>KPI: Báo cáo nhận được (≥ 4: #1,#2,#3,#5), Vi phạm đã xác nhận, Cảnh cáo, Lần tạm ngưng; bảng vụ việc, menu '… &gt; Duyệt' -&gt; trang vụ việc. Người sạch (sarah): 'Người dùng này chưa bị báo cáo.'</t>
        </is>
      </c>
      <c r="M174" s="15" t="inlineStr"/>
      <c r="N174" s="18" t="inlineStr">
        <is>
          <t>Chưa test</t>
        </is>
      </c>
      <c r="O174" s="15" t="inlineStr"/>
      <c r="P174" s="15" t="inlineStr"/>
      <c r="Q174" s="18" t="inlineStr">
        <is>
          <t>Chưa test</t>
        </is>
      </c>
      <c r="R174" s="15" t="inlineStr"/>
    </row>
    <row r="175" ht="45" customHeight="1">
      <c r="A175" s="14" t="inlineStr">
        <is>
          <t>TC-ADM-174</t>
        </is>
      </c>
      <c r="B175" s="15" t="inlineStr">
        <is>
          <t>Admin Console (đợt 1)</t>
        </is>
      </c>
      <c r="C175" s="15" t="inlineStr">
        <is>
          <t>Người dùng: Chi tiết</t>
        </is>
      </c>
      <c r="D175" s="15" t="inlineStr">
        <is>
          <t>Tab Bảo mật: danh sách phiên và thu hồi phiên (UI)</t>
        </is>
      </c>
      <c r="E175" s="15" t="inlineStr">
        <is>
          <t>Chức năng</t>
        </is>
      </c>
      <c r="F175" s="16" t="inlineStr">
        <is>
          <t>Cao</t>
        </is>
      </c>
      <c r="G175" s="17" t="inlineStr">
        <is>
          <t>Đã hoàn thiện</t>
        </is>
      </c>
      <c r="H175" s="17" t="inlineStr">
        <is>
          <t>Có</t>
        </is>
      </c>
      <c r="I1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5" s="15" t="inlineStr">
        <is>
          <t>1. Mở tab 'Bảo mật' của Sarah Kim
2. Quan sát bảng 'Phiên đang hoạt động'
3. Menu … &gt; 'Thu hồi' ở phiên seed-admin-sess-sarah</t>
        </is>
      </c>
      <c r="K175" s="15" t="inlineStr">
        <is>
          <t>sarah</t>
        </is>
      </c>
      <c r="L175"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75" s="15" t="inlineStr"/>
      <c r="N175" s="18" t="inlineStr">
        <is>
          <t>Chưa test</t>
        </is>
      </c>
      <c r="O175" s="15" t="inlineStr"/>
      <c r="P175" s="15" t="inlineStr"/>
      <c r="Q175" s="18" t="inlineStr">
        <is>
          <t>Chưa test</t>
        </is>
      </c>
      <c r="R175" s="15" t="inlineStr"/>
    </row>
    <row r="176" ht="75" customHeight="1">
      <c r="A176" s="14" t="inlineStr">
        <is>
          <t>TC-ADM-175</t>
        </is>
      </c>
      <c r="B176" s="15" t="inlineStr">
        <is>
          <t>Admin Console (đợt 1)</t>
        </is>
      </c>
      <c r="C176" s="15" t="inlineStr">
        <is>
          <t>Người dùng: Chi tiết</t>
        </is>
      </c>
      <c r="D176" s="15" t="inlineStr">
        <is>
          <t>DELETE /admin/users/:id/sessions/:sid: thu hồi, 404 và hiệu lực token</t>
        </is>
      </c>
      <c r="E176" s="15" t="inlineStr">
        <is>
          <t>Chức năng</t>
        </is>
      </c>
      <c r="F176" s="16" t="inlineStr">
        <is>
          <t>Cao</t>
        </is>
      </c>
      <c r="G176" s="17" t="inlineStr">
        <is>
          <t>Đã hoàn thiện</t>
        </is>
      </c>
      <c r="H176" s="20" t="inlineStr">
        <is>
          <t>Một phần</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6" s="15" t="inlineStr">
        <is>
          <t>1. Đăng nhập sarah@sofinhub.test lấy token T; lấy sid từ GET /admin/users/&lt;sarah&gt; -&gt; security.activeSessions
2. DELETE /api/admin/users/&lt;sarah&gt;/sessions/&lt;sid&gt;
3. GET /api/auth/me bằng T
4. DELETE lại cùng sid
5. DELETE .../sessions/khong-co</t>
        </is>
      </c>
      <c r="K176" s="15" t="inlineStr">
        <is>
          <t>sarah</t>
        </is>
      </c>
      <c r="L176" s="15" t="inlineStr">
        <is>
          <t>Lệnh 1: 200 {data:{revoked:true}}; token T bị 401 ngay; lệnh lặp và sid lạ: 404 'Không tìm thấy phiên đăng nhập'; audit user.revoke_session.</t>
        </is>
      </c>
      <c r="M176" s="15" t="inlineStr"/>
      <c r="N176" s="18" t="inlineStr">
        <is>
          <t>Chưa test</t>
        </is>
      </c>
      <c r="O176" s="15" t="inlineStr"/>
      <c r="P176" s="15" t="inlineStr"/>
      <c r="Q176" s="18" t="inlineStr">
        <is>
          <t>Chưa test</t>
        </is>
      </c>
      <c r="R176" s="15" t="inlineStr"/>
    </row>
    <row r="177" ht="60" customHeight="1">
      <c r="A177" s="14" t="inlineStr">
        <is>
          <t>TC-ADM-176</t>
        </is>
      </c>
      <c r="B177" s="15" t="inlineStr">
        <is>
          <t>Admin Console (đợt 1)</t>
        </is>
      </c>
      <c r="C177" s="15" t="inlineStr">
        <is>
          <t>Người dùng: Hạn chế / Tạm ngưng / Cấm / Cảnh cáo</t>
        </is>
      </c>
      <c r="D177" s="15" t="inlineStr">
        <is>
          <t>Hạn chế người dùng (UI): chọn hạn chế, thời hạn, lý do</t>
        </is>
      </c>
      <c r="E177" s="15" t="inlineStr">
        <is>
          <t>Chức năng</t>
        </is>
      </c>
      <c r="F177" s="16" t="inlineStr">
        <is>
          <t>Cao</t>
        </is>
      </c>
      <c r="G177" s="17" t="inlineStr">
        <is>
          <t>Đã hoàn thiện</t>
        </is>
      </c>
      <c r="H177" s="17" t="inlineStr">
        <is>
          <t>Có</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7" s="15" t="inlineStr">
        <is>
          <t>1. Ở /admin/users menu … của Sarah Kim &gt; 'Hạn chế'
2. Hộp thoại 'Hạn chế Sarah Kim': chip 'Không được đăng bài' và 'Không được mua'
3. Thời hạn '7 ngày', Lý do 'Spam'
4. Xác nhận</t>
        </is>
      </c>
      <c r="K177" s="15" t="inlineStr">
        <is>
          <t>sarah</t>
        </is>
      </c>
      <c r="L177"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77" s="15" t="inlineStr"/>
      <c r="N177" s="18" t="inlineStr">
        <is>
          <t>Chưa test</t>
        </is>
      </c>
      <c r="O177" s="15" t="inlineStr"/>
      <c r="P177" s="15" t="inlineStr"/>
      <c r="Q177" s="18" t="inlineStr">
        <is>
          <t>Chưa test</t>
        </is>
      </c>
      <c r="R177" s="15" t="inlineStr"/>
    </row>
    <row r="178" ht="45" customHeight="1">
      <c r="A178" s="14" t="inlineStr">
        <is>
          <t>TC-ADM-177</t>
        </is>
      </c>
      <c r="B178" s="15" t="inlineStr">
        <is>
          <t>Admin Console (đợt 1)</t>
        </is>
      </c>
      <c r="C178" s="15" t="inlineStr">
        <is>
          <t>Người dùng: Hạn chế / Tạm ngưng / Cấm / Cảnh cáo</t>
        </is>
      </c>
      <c r="D178" s="15" t="inlineStr">
        <is>
          <t>POST restrict: mặc định post, comment, create_community; tùy chỉnh và thời hạn</t>
        </is>
      </c>
      <c r="E178" s="15" t="inlineStr">
        <is>
          <t>Chức năng</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8" s="15" t="inlineStr">
        <is>
          <t>1. POST /api/admin/users/&lt;alex&gt;/restrict {"reason":"Spam"}
2. GET /api/admin/users/&lt;alex&gt;
3. POST /api/admin/users/&lt;liam&gt;/restrict {"reason":"Quấy rối","restrictions":["dm","purchase"],"duration":"30d"}</t>
        </is>
      </c>
      <c r="K178" s="15" t="inlineStr">
        <is>
          <t>alex, liam</t>
        </is>
      </c>
      <c r="L178" s="15" t="inlineStr">
        <is>
          <t>alex: 200 status=restricted, restrictions=['post','comment','create_community'], statusUntil=null (vô thời hạn); liam: restrictions=['dm','purchase'], statusUntil ≈ +30 ngày; statusChangedBy = Platform Admin; audit user.restrict kèm metadata from/to.</t>
        </is>
      </c>
      <c r="M178" s="15" t="inlineStr"/>
      <c r="N178" s="18" t="inlineStr">
        <is>
          <t>Chưa test</t>
        </is>
      </c>
      <c r="O178" s="15" t="inlineStr"/>
      <c r="P178" s="15" t="inlineStr"/>
      <c r="Q178" s="18" t="inlineStr">
        <is>
          <t>Chưa test</t>
        </is>
      </c>
      <c r="R178" s="15" t="inlineStr"/>
    </row>
    <row r="179" ht="75" customHeight="1">
      <c r="A179" s="14" t="inlineStr">
        <is>
          <t>TC-ADM-178</t>
        </is>
      </c>
      <c r="B179" s="15" t="inlineStr">
        <is>
          <t>Admin Console (đợt 1)</t>
        </is>
      </c>
      <c r="C179" s="15" t="inlineStr">
        <is>
          <t>Người dùng: Hạn chế / Tạm ngưng / Cấm / Cảnh cáo</t>
        </is>
      </c>
      <c r="D179" s="15" t="inlineStr">
        <is>
          <t>restrict: validate (thiếu reason, restriction sai, until quá khứ) và trạng thái không hợp lệ</t>
        </is>
      </c>
      <c r="E179" s="15" t="inlineStr">
        <is>
          <t>Chức năng</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79" s="15" t="inlineStr">
        <is>
          <t>1. POST /api/admin/users/&lt;noah&gt;/restrict {}
2. POST ... {"reason":"x","restrictions":["fly"]}
3. POST ... {"reason":"x","until":"2020-01-01T00:00:00Z"}
4. POST /api/admin/users/&lt;olivia&gt;/restrict {"reason":"x"}
5. POST /api/admin/users/&lt;sophia&gt;/restrict {"reason":"x"}</t>
        </is>
      </c>
      <c r="K179" s="15" t="inlineStr">
        <is>
          <t>-</t>
        </is>
      </c>
      <c r="L179" s="15" t="inlineStr">
        <is>
          <t>3 lệnh đầu 400 VALIDATION_ERROR; lệnh với olivia (suspended) và sophia (banned): 409 'Hãy gỡ trạng thái hiện tại của tài khoản trước khi...'.</t>
        </is>
      </c>
      <c r="M179" s="15" t="inlineStr"/>
      <c r="N179" s="18" t="inlineStr">
        <is>
          <t>Chưa test</t>
        </is>
      </c>
      <c r="O179" s="15" t="inlineStr"/>
      <c r="P179" s="15" t="inlineStr"/>
      <c r="Q179" s="18" t="inlineStr">
        <is>
          <t>Chưa test</t>
        </is>
      </c>
      <c r="R179" s="15" t="inlineStr"/>
    </row>
    <row r="180" ht="30" customHeight="1">
      <c r="A180" s="14" t="inlineStr">
        <is>
          <t>TC-ADM-179</t>
        </is>
      </c>
      <c r="B180" s="15" t="inlineStr">
        <is>
          <t>Admin Console (đợt 1)</t>
        </is>
      </c>
      <c r="C180" s="15" t="inlineStr">
        <is>
          <t>Người dùng: Hạn chế / Tạm ngưng / Cấm / Cảnh cáo</t>
        </is>
      </c>
      <c r="D180" s="15" t="inlineStr">
        <is>
          <t>Người bị hạn chế 'post' không đăng bài được: 403 ACCOUNT_RESTRICTED</t>
        </is>
      </c>
      <c r="E180" s="15" t="inlineStr">
        <is>
          <t>Bảo mật</t>
        </is>
      </c>
      <c r="F180" s="16" t="inlineStr">
        <is>
          <t>Cao</t>
        </is>
      </c>
      <c r="G180" s="17" t="inlineStr">
        <is>
          <t>Đã hoàn thiện</t>
        </is>
      </c>
      <c r="H180" s="17" t="inlineStr">
        <is>
          <t>Có</t>
        </is>
      </c>
      <c r="I1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maya@sofinhub.test / Passw0rd!x (restricted: post, comment; maya là thành viên yt, mkt).</t>
        </is>
      </c>
      <c r="J180" s="15" t="inlineStr">
        <is>
          <t>1. Đăng nhập maya lấy token
2. POST /api/courses/yt/posts {"content":"hello"} (hoặc đăng bài trên UI /courses/yt/community)</t>
        </is>
      </c>
      <c r="K180" s="15" t="inlineStr">
        <is>
          <t>maya</t>
        </is>
      </c>
      <c r="L180" s="15" t="inlineStr">
        <is>
          <t>403, error.code=ACCOUNT_RESTRICTED, message 'Tài khoản của bạn đang bị hạn chế, không thể đăng bài.', details {reason:'Spam', until: ISO +7 ngày}; UI hiển thị lỗi, không tạo bài.</t>
        </is>
      </c>
      <c r="M180" s="15" t="inlineStr"/>
      <c r="N180" s="18" t="inlineStr">
        <is>
          <t>Chưa test</t>
        </is>
      </c>
      <c r="O180" s="15" t="inlineStr"/>
      <c r="P180" s="15" t="inlineStr"/>
      <c r="Q180" s="18" t="inlineStr">
        <is>
          <t>Chưa test</t>
        </is>
      </c>
      <c r="R180" s="15" t="inlineStr"/>
    </row>
    <row r="181" ht="45" customHeight="1">
      <c r="A181" s="14" t="inlineStr">
        <is>
          <t>TC-ADM-180</t>
        </is>
      </c>
      <c r="B181" s="15" t="inlineStr">
        <is>
          <t>Admin Console (đợt 1)</t>
        </is>
      </c>
      <c r="C181" s="15" t="inlineStr">
        <is>
          <t>Người dùng: Hạn chế / Tạm ngưng / Cấm / Cảnh cáo</t>
        </is>
      </c>
      <c r="D181" s="15" t="inlineStr">
        <is>
          <t>Người bị hạn chế 'comment' không bình luận được nhưng vẫn đọc/like được</t>
        </is>
      </c>
      <c r="E181" s="15" t="inlineStr">
        <is>
          <t>Bảo mật</t>
        </is>
      </c>
      <c r="F181" s="16" t="inlineStr">
        <is>
          <t>Cao</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maya@sofinhub.test (restricted: post, comment).</t>
        </is>
      </c>
      <c r="J181" s="15" t="inlineStr">
        <is>
          <t>1. POST bình luận vào một bài ở yt (POST /api/posts/&lt;postId&gt;/comments {"content":"hi"})
2. GET bảng tin yt
3. Like một bài</t>
        </is>
      </c>
      <c r="K181" s="15" t="inlineStr">
        <is>
          <t>maya</t>
        </is>
      </c>
      <c r="L181" s="15" t="inlineStr">
        <is>
          <t>Bình luận: 403 ACCOUNT_RESTRICTED 'không thể bình luận'; đọc bảng tin 200; like vẫn 200 (chỉ chặn đúng quyền bị hạn chế).</t>
        </is>
      </c>
      <c r="M181" s="15" t="inlineStr"/>
      <c r="N181" s="18" t="inlineStr">
        <is>
          <t>Chưa test</t>
        </is>
      </c>
      <c r="O181" s="15" t="inlineStr"/>
      <c r="P181" s="15" t="inlineStr"/>
      <c r="Q181" s="18" t="inlineStr">
        <is>
          <t>Chưa test</t>
        </is>
      </c>
      <c r="R181" s="15" t="inlineStr"/>
    </row>
    <row r="182" ht="45" customHeight="1">
      <c r="A182" s="14" t="inlineStr">
        <is>
          <t>TC-ADM-181</t>
        </is>
      </c>
      <c r="B182" s="15" t="inlineStr">
        <is>
          <t>Admin Console (đợt 1)</t>
        </is>
      </c>
      <c r="C182" s="15" t="inlineStr">
        <is>
          <t>Người dùng: Hạn chế / Tạm ngưng / Cấm / Cảnh cáo</t>
        </is>
      </c>
      <c r="D182" s="15" t="inlineStr">
        <is>
          <t>Người bị hạn chế 'create_community' và 'dm' bị chặn đúng quyền</t>
        </is>
      </c>
      <c r="E182" s="15" t="inlineStr">
        <is>
          <t>Bảo mật</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ethan@sofinhub.test (restricted: dm, create_community).</t>
        </is>
      </c>
      <c r="J182" s="15" t="inlineStr">
        <is>
          <t>1. POST /api/courses (tạo cộng đồng mới, body hợp lệ)
2. Gửi tin nhắn tới member bất kỳ chung cộng đồng (POST /api/conversations/&lt;id&gt;/messages hoặc từ UI chat)
3. Đăng bài ở cộng đồng ethan là thành viên (không bị chặn)</t>
        </is>
      </c>
      <c r="K182" s="15" t="inlineStr">
        <is>
          <t>ethan</t>
        </is>
      </c>
      <c r="L182" s="15" t="inlineStr">
        <is>
          <t>Tạo cộng đồng: 403 ACCOUNT_RESTRICTED 'không thể tạo cộng đồng'; nhắn tin: 403 ACCOUNT_RESTRICTED 'không thể nhắn tin'; đăng bài vẫn 201 (ethan không bị hạn chế post).</t>
        </is>
      </c>
      <c r="M182" s="15" t="inlineStr"/>
      <c r="N182" s="18" t="inlineStr">
        <is>
          <t>Chưa test</t>
        </is>
      </c>
      <c r="O182" s="15" t="inlineStr"/>
      <c r="P182" s="15" t="inlineStr"/>
      <c r="Q182" s="18" t="inlineStr">
        <is>
          <t>Chưa test</t>
        </is>
      </c>
      <c r="R182" s="15" t="inlineStr"/>
    </row>
    <row r="183" ht="30" customHeight="1">
      <c r="A183" s="14" t="inlineStr">
        <is>
          <t>TC-ADM-182</t>
        </is>
      </c>
      <c r="B183" s="15" t="inlineStr">
        <is>
          <t>Admin Console (đợt 1)</t>
        </is>
      </c>
      <c r="C183" s="15" t="inlineStr">
        <is>
          <t>Người dùng: Hạn chế / Tạm ngưng / Cấm / Cảnh cáo</t>
        </is>
      </c>
      <c r="D183" s="15" t="inlineStr">
        <is>
          <t>Người bị hạn chế 'purchase' không checkout được</t>
        </is>
      </c>
      <c r="E183" s="15" t="inlineStr">
        <is>
          <t>Bảo mật</t>
        </is>
      </c>
      <c r="F183" s="16" t="inlineStr">
        <is>
          <t>Cao</t>
        </is>
      </c>
      <c r="G183" s="17" t="inlineStr">
        <is>
          <t>Đã hoàn thiện</t>
        </is>
      </c>
      <c r="H183" s="17" t="inlineStr">
        <is>
          <t>Có</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Admin POST /api/admin/users/&lt;newbie&gt;/restrict {"reason":"Lừa đảo","restrictions":["purchase"]}
2. Đăng nhập newbie@sofinhub.test, POST /api/courses/paid-demo/checkout {"method":"stripe"}</t>
        </is>
      </c>
      <c r="K183" s="15" t="inlineStr">
        <is>
          <t>newbie</t>
        </is>
      </c>
      <c r="L183" s="15" t="inlineStr">
        <is>
          <t>403 ACCOUNT_RESTRICTED 'Tài khoản của bạn đang bị hạn chế, không thể mua hàng.'; không tạo giao dịch pending.</t>
        </is>
      </c>
      <c r="M183" s="15" t="inlineStr"/>
      <c r="N183" s="18" t="inlineStr">
        <is>
          <t>Chưa test</t>
        </is>
      </c>
      <c r="O183" s="15" t="inlineStr"/>
      <c r="P183" s="15" t="inlineStr"/>
      <c r="Q183" s="18" t="inlineStr">
        <is>
          <t>Chưa test</t>
        </is>
      </c>
      <c r="R183" s="15" t="inlineStr"/>
    </row>
    <row r="184" ht="30" customHeight="1">
      <c r="A184" s="14" t="inlineStr">
        <is>
          <t>TC-ADM-183</t>
        </is>
      </c>
      <c r="B184" s="15" t="inlineStr">
        <is>
          <t>Admin Console (đợt 1)</t>
        </is>
      </c>
      <c r="C184" s="15" t="inlineStr">
        <is>
          <t>Người dùng: Hạn chế / Tạm ngưng / Cấm / Cảnh cáo</t>
        </is>
      </c>
      <c r="D184" s="15" t="inlineStr">
        <is>
          <t>Hạn chế hết hạn (statusUntil) tự gỡ khi được kiểm tra</t>
        </is>
      </c>
      <c r="E184" s="15" t="inlineStr">
        <is>
          <t>Chức năng</t>
        </is>
      </c>
      <c r="F184" s="16" t="inlineStr">
        <is>
          <t>Cao</t>
        </is>
      </c>
      <c r="G184" s="17" t="inlineStr">
        <is>
          <t>Đã hoàn thiện</t>
        </is>
      </c>
      <c r="H184" s="20" t="inlineStr">
        <is>
          <t>Một phần</t>
        </is>
      </c>
      <c r="I184"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84" s="15" t="inlineStr">
        <is>
          <t>1. Đăng nhập ethan@sofinhub.test và POST /api/courses (tạo cộng đồng)
2. Mở /admin/users?q=ethan</t>
        </is>
      </c>
      <c r="K184" s="15" t="inlineStr">
        <is>
          <t>ethan</t>
        </is>
      </c>
      <c r="L184" s="15" t="inlineStr">
        <is>
          <t>Lệnh tạo cộng đồng KHÔNG còn bị chặn (hệ thống tự gỡ về active khi đọc), trạng thái hiển thị 'Hoạt động', statusReason/restrictions xóa; ethan biến khỏi trang Hạn chế / Tạm ngưng.</t>
        </is>
      </c>
      <c r="M184" s="15" t="inlineStr"/>
      <c r="N184" s="18" t="inlineStr">
        <is>
          <t>Chưa test</t>
        </is>
      </c>
      <c r="O184" s="15" t="inlineStr"/>
      <c r="P184" s="15" t="inlineStr"/>
      <c r="Q184" s="18" t="inlineStr">
        <is>
          <t>Chưa test</t>
        </is>
      </c>
      <c r="R184" s="15" t="inlineStr"/>
    </row>
    <row r="185" ht="45" customHeight="1">
      <c r="A185" s="14" t="inlineStr">
        <is>
          <t>TC-ADM-184</t>
        </is>
      </c>
      <c r="B185" s="15" t="inlineStr">
        <is>
          <t>Admin Console (đợt 1)</t>
        </is>
      </c>
      <c r="C185" s="15" t="inlineStr">
        <is>
          <t>Người dùng: Hạn chế / Tạm ngưng / Cấm / Cảnh cáo</t>
        </is>
      </c>
      <c r="D185" s="15" t="inlineStr">
        <is>
          <t>Tạm ngưng người dùng (UI): thời hạn + lý do + ghi chú</t>
        </is>
      </c>
      <c r="E185" s="15" t="inlineStr">
        <is>
          <t>Chức năng</t>
        </is>
      </c>
      <c r="F185" s="16" t="inlineStr">
        <is>
          <t>Cao</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5" s="15" t="inlineStr">
        <is>
          <t>1. Menu … của Alex Rivera &gt; 'Tạm ngưng'
2. Hộp thoại 'Tạm ngưng Alex Rivera?': thời hạn '24 giờ', lý do 'Quấy rối', ghi chú 'Bằng chứng ở vụ việc #4'
3. Xác nhận</t>
        </is>
      </c>
      <c r="K185" s="15" t="inlineStr">
        <is>
          <t>alex</t>
        </is>
      </c>
      <c r="L185" s="15" t="inlineStr">
        <is>
          <t>Toast 'Đã tạm ngưng · Alex Rivera'; trạng thái 'Tạm ngưng'; xuất hiện ở /admin/users/restricted với 'Không thể đăng nhập' và hạn +24 giờ.</t>
        </is>
      </c>
      <c r="M185" s="15" t="inlineStr"/>
      <c r="N185" s="18" t="inlineStr">
        <is>
          <t>Chưa test</t>
        </is>
      </c>
      <c r="O185" s="15" t="inlineStr"/>
      <c r="P185" s="15" t="inlineStr"/>
      <c r="Q185" s="18" t="inlineStr">
        <is>
          <t>Chưa test</t>
        </is>
      </c>
      <c r="R185" s="15" t="inlineStr"/>
    </row>
    <row r="186" ht="60" customHeight="1">
      <c r="A186" s="14" t="inlineStr">
        <is>
          <t>TC-ADM-185</t>
        </is>
      </c>
      <c r="B186" s="15" t="inlineStr">
        <is>
          <t>Admin Console (đợt 1)</t>
        </is>
      </c>
      <c r="C186" s="15" t="inlineStr">
        <is>
          <t>Người dùng: Hạn chế / Tạm ngưng / Cấm / Cảnh cáo</t>
        </is>
      </c>
      <c r="D186" s="15" t="inlineStr">
        <is>
          <t>POST suspend: active/restricted -&gt; suspended, thu hồi toàn bộ phiên</t>
        </is>
      </c>
      <c r="E186" s="15" t="inlineStr">
        <is>
          <t>Bảo mật</t>
        </is>
      </c>
      <c r="F186" s="16" t="inlineStr">
        <is>
          <t>Cao</t>
        </is>
      </c>
      <c r="G186" s="17" t="inlineStr">
        <is>
          <t>Đã hoàn thiện</t>
        </is>
      </c>
      <c r="H186" s="20" t="inlineStr">
        <is>
          <t>Một phần</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6" s="15" t="inlineStr">
        <is>
          <t>1. Đăng nhập daniel@sofinhub.test lấy token T và refresh cookie
2. Admin POST /api/admin/users/&lt;daniel&gt;/suspend {"reason":"Spam","duration":"7d"}
3. GET /api/auth/me bằng T
4. POST /api/auth/refresh với cookie cũ</t>
        </is>
      </c>
      <c r="K186" s="15" t="inlineStr">
        <is>
          <t>daniel</t>
        </is>
      </c>
      <c r="L186" s="15" t="inlineStr">
        <is>
          <t>Suspend 200 status=suspended, statusUntil ≈ +7 ngày; token T 401 ngay; refresh 401/403 (phiên đã thu hồi); audit user.suspend (metadata from/to).</t>
        </is>
      </c>
      <c r="M186" s="15" t="inlineStr"/>
      <c r="N186" s="18" t="inlineStr">
        <is>
          <t>Chưa test</t>
        </is>
      </c>
      <c r="O186" s="15" t="inlineStr"/>
      <c r="P186" s="15" t="inlineStr"/>
      <c r="Q186" s="18" t="inlineStr">
        <is>
          <t>Chưa test</t>
        </is>
      </c>
      <c r="R186" s="15" t="inlineStr"/>
    </row>
    <row r="187" ht="30" customHeight="1">
      <c r="A187" s="14" t="inlineStr">
        <is>
          <t>TC-ADM-186</t>
        </is>
      </c>
      <c r="B187" s="15" t="inlineStr">
        <is>
          <t>Admin Console (đợt 1)</t>
        </is>
      </c>
      <c r="C187" s="15" t="inlineStr">
        <is>
          <t>Người dùng: Hạn chế / Tạm ngưng / Cấm / Cảnh cáo</t>
        </is>
      </c>
      <c r="D187" s="15" t="inlineStr">
        <is>
          <t>Đăng nhập bị chặn với tài khoản tạm ngưng: 403 ACCOUNT_SUSPENDED kèm lý do và hạn</t>
        </is>
      </c>
      <c r="E187" s="15" t="inlineStr">
        <is>
          <t>Bảo mật</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Dùng olivia@sofinhub.test (suspended, Harassment, +14 ngày).</t>
        </is>
      </c>
      <c r="J187" s="15" t="inlineStr">
        <is>
          <t>1. POST /api/auth/login {"email":"olivia@sofinhub.test","password":"Passw0rd!x"}
2. Đăng nhập trên UI /login bằng tài khoản này</t>
        </is>
      </c>
      <c r="K187" s="15" t="inlineStr">
        <is>
          <t>olivia</t>
        </is>
      </c>
      <c r="L187"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87" s="15" t="inlineStr"/>
      <c r="N187" s="18" t="inlineStr">
        <is>
          <t>Chưa test</t>
        </is>
      </c>
      <c r="O187" s="15" t="inlineStr"/>
      <c r="P187" s="15" t="inlineStr"/>
      <c r="Q187" s="18" t="inlineStr">
        <is>
          <t>Chưa test</t>
        </is>
      </c>
      <c r="R187" s="15" t="inlineStr"/>
    </row>
    <row r="188" ht="30" customHeight="1">
      <c r="A188" s="14" t="inlineStr">
        <is>
          <t>TC-ADM-187</t>
        </is>
      </c>
      <c r="B188" s="15" t="inlineStr">
        <is>
          <t>Admin Console (đợt 1)</t>
        </is>
      </c>
      <c r="C188" s="15" t="inlineStr">
        <is>
          <t>Người dùng: Hạn chế / Tạm ngưng / Cấm / Cảnh cáo</t>
        </is>
      </c>
      <c r="D188" s="15" t="inlineStr">
        <is>
          <t>Sai mật khẩu trên tài khoản tạm ngưng vẫn trả 401 (không lộ trạng thái)</t>
        </is>
      </c>
      <c r="E188" s="15" t="inlineStr">
        <is>
          <t>Bảo mật</t>
        </is>
      </c>
      <c r="F188" s="20" t="inlineStr">
        <is>
          <t>Trung bình</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t>
        </is>
      </c>
      <c r="J188" s="15" t="inlineStr">
        <is>
          <t>1. POST /api/auth/login {"email":"olivia@sofinhub.test","password":"sai-mat-khau"}</t>
        </is>
      </c>
      <c r="K188" s="15" t="inlineStr">
        <is>
          <t>olivia</t>
        </is>
      </c>
      <c r="L188" s="15" t="inlineStr">
        <is>
          <t>401 sai thông tin đăng nhập (trạng thái chỉ kiểm sau khi mật khẩu đúng).</t>
        </is>
      </c>
      <c r="M188" s="15" t="inlineStr"/>
      <c r="N188" s="18" t="inlineStr">
        <is>
          <t>Chưa test</t>
        </is>
      </c>
      <c r="O188" s="15" t="inlineStr"/>
      <c r="P188" s="15" t="inlineStr"/>
      <c r="Q188" s="18" t="inlineStr">
        <is>
          <t>Chưa test</t>
        </is>
      </c>
      <c r="R188" s="15" t="inlineStr"/>
    </row>
    <row r="189" ht="30" customHeight="1">
      <c r="A189" s="14" t="inlineStr">
        <is>
          <t>TC-ADM-188</t>
        </is>
      </c>
      <c r="B189" s="15" t="inlineStr">
        <is>
          <t>Admin Console (đợt 1)</t>
        </is>
      </c>
      <c r="C189" s="15" t="inlineStr">
        <is>
          <t>Người dùng: Hạn chế / Tạm ngưng / Cấm / Cảnh cáo</t>
        </is>
      </c>
      <c r="D189" s="15" t="inlineStr">
        <is>
          <t>Tạm ngưng có hạn tự hết hiệu lực khi đăng nhập sau statusUntil</t>
        </is>
      </c>
      <c r="E189" s="15" t="inlineStr">
        <is>
          <t>Chức năng</t>
        </is>
      </c>
      <c r="F189" s="16" t="inlineStr">
        <is>
          <t>Cao</t>
        </is>
      </c>
      <c r="G189" s="17" t="inlineStr">
        <is>
          <t>Đã hoàn thiện</t>
        </is>
      </c>
      <c r="H189" s="20" t="inlineStr">
        <is>
          <t>Một phần</t>
        </is>
      </c>
      <c r="I189"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9" s="15" t="inlineStr">
        <is>
          <t>1. POST /api/auth/login olivia@sofinhub.test / Passw0rd!x
2. Mở /admin/users?q=olivia</t>
        </is>
      </c>
      <c r="K189" s="15" t="inlineStr">
        <is>
          <t>olivia</t>
        </is>
      </c>
      <c r="L189" s="15" t="inlineStr">
        <is>
          <t>Đăng nhập 200 thành công; trạng thái olivia trở thành 'Hoạt động' (statusReason/Until xóa); biến khỏi /admin/users/restricted.</t>
        </is>
      </c>
      <c r="M189" s="15" t="inlineStr"/>
      <c r="N189" s="18" t="inlineStr">
        <is>
          <t>Chưa test</t>
        </is>
      </c>
      <c r="O189" s="15" t="inlineStr"/>
      <c r="P189" s="15" t="inlineStr"/>
      <c r="Q189" s="18" t="inlineStr">
        <is>
          <t>Chưa test</t>
        </is>
      </c>
      <c r="R189" s="15" t="inlineStr"/>
    </row>
    <row r="190" ht="45" customHeight="1">
      <c r="A190" s="14" t="inlineStr">
        <is>
          <t>TC-ADM-189</t>
        </is>
      </c>
      <c r="B190" s="15" t="inlineStr">
        <is>
          <t>Admin Console (đợt 1)</t>
        </is>
      </c>
      <c r="C190" s="15" t="inlineStr">
        <is>
          <t>Người dùng: Hạn chế / Tạm ngưng / Cấm / Cảnh cáo</t>
        </is>
      </c>
      <c r="D190" s="15" t="inlineStr">
        <is>
          <t>suspend: validate và trạng thái không hợp lệ</t>
        </is>
      </c>
      <c r="E190" s="15" t="inlineStr">
        <is>
          <t>Chức năng</t>
        </is>
      </c>
      <c r="F190" s="20" t="inlineStr">
        <is>
          <t>Trung bình</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90" s="15" t="inlineStr">
        <is>
          <t>1. POST /api/admin/users/&lt;noah&gt;/suspend {}
2. POST /api/admin/users/&lt;olivia&gt;/suspend {"reason":"x"}
3. POST /api/admin/users/&lt;sophia&gt;/suspend {"reason":"x"}</t>
        </is>
      </c>
      <c r="K190" s="15" t="inlineStr">
        <is>
          <t>-</t>
        </is>
      </c>
      <c r="L190" s="15" t="inlineStr">
        <is>
          <t>Lệnh 1: 400; lệnh 2 và 3: 409 (phải gỡ trạng thái hiện tại trước).</t>
        </is>
      </c>
      <c r="M190" s="15" t="inlineStr"/>
      <c r="N190" s="18" t="inlineStr">
        <is>
          <t>Chưa test</t>
        </is>
      </c>
      <c r="O190" s="15" t="inlineStr"/>
      <c r="P190" s="15" t="inlineStr"/>
      <c r="Q190" s="18" t="inlineStr">
        <is>
          <t>Chưa test</t>
        </is>
      </c>
      <c r="R190" s="15" t="inlineStr"/>
    </row>
    <row r="191" ht="60" customHeight="1">
      <c r="A191" s="14" t="inlineStr">
        <is>
          <t>TC-ADM-190</t>
        </is>
      </c>
      <c r="B191" s="15" t="inlineStr">
        <is>
          <t>Admin Console (đợt 1)</t>
        </is>
      </c>
      <c r="C191" s="15" t="inlineStr">
        <is>
          <t>Người dùng: Hạn chế / Tạm ngưng / Cấm / Cảnh cáo</t>
        </is>
      </c>
      <c r="D191" s="15" t="inlineStr">
        <is>
          <t>Cấm người dùng (UI) bắt buộc gõ BAN</t>
        </is>
      </c>
      <c r="E191" s="15" t="inlineStr">
        <is>
          <t>Chức năng</t>
        </is>
      </c>
      <c r="F191" s="16" t="inlineStr">
        <is>
          <t>Cao</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1" s="15" t="inlineStr">
        <is>
          <t>1. Menu … của Daniel Park &gt; 'Cấm'
2. Hộp thoại 'Cấm vĩnh viễn Daniel Park?': lý do 'Lừa đảo', bằng chứng 'link vụ việc'
3. Để ô 'Gõ BAN để xác nhận' trống -&gt; quan sát nút
4. Gõ 'BAN' và xác nhận</t>
        </is>
      </c>
      <c r="K191" s="15" t="inlineStr">
        <is>
          <t>daniel</t>
        </is>
      </c>
      <c r="L191" s="15" t="inlineStr">
        <is>
          <t>Nút xác nhận vô hiệu cho tới khi gõ đúng 'BAN'; toast 'Đã cấm · Daniel Park'; trạng thái 'Bị cấm'; xuất hiện ở /admin/users/banned.</t>
        </is>
      </c>
      <c r="M191" s="15" t="inlineStr"/>
      <c r="N191" s="18" t="inlineStr">
        <is>
          <t>Chưa test</t>
        </is>
      </c>
      <c r="O191" s="15" t="inlineStr"/>
      <c r="P191" s="15" t="inlineStr"/>
      <c r="Q191" s="18" t="inlineStr">
        <is>
          <t>Chưa test</t>
        </is>
      </c>
      <c r="R191" s="15" t="inlineStr"/>
    </row>
    <row r="192" ht="75" customHeight="1">
      <c r="A192" s="14" t="inlineStr">
        <is>
          <t>TC-ADM-191</t>
        </is>
      </c>
      <c r="B192" s="15" t="inlineStr">
        <is>
          <t>Admin Console (đợt 1)</t>
        </is>
      </c>
      <c r="C192" s="15" t="inlineStr">
        <is>
          <t>Người dùng: Hạn chế / Tạm ngưng / Cấm / Cảnh cáo</t>
        </is>
      </c>
      <c r="D192" s="15" t="inlineStr">
        <is>
          <t>POST ban: mọi trạng thái trừ banned; thu hồi phiên; chặn đăng nhập ACCOUNT_BANNED</t>
        </is>
      </c>
      <c r="E192" s="15" t="inlineStr">
        <is>
          <t>Bảo mật</t>
        </is>
      </c>
      <c r="F192" s="16" t="inlineStr">
        <is>
          <t>Cao</t>
        </is>
      </c>
      <c r="G192" s="17" t="inlineStr">
        <is>
          <t>Đã hoàn thiện</t>
        </is>
      </c>
      <c r="H192" s="20" t="inlineStr">
        <is>
          <t>Một phần</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92" s="15" t="inlineStr">
        <is>
          <t>1. Đăng nhập emma@sofinhub.test lấy token T
2. Admin POST /api/admin/users/&lt;emma&gt;/ban {"reason":"Lừa đảo","evidence":"11 báo cáo"}
3. GET /api/auth/me bằng T
4. POST /api/auth/login emma
5. POST ban lần 2</t>
        </is>
      </c>
      <c r="K192" s="15" t="inlineStr">
        <is>
          <t>emma</t>
        </is>
      </c>
      <c r="L192" s="15" t="inlineStr">
        <is>
          <t>Ban 200 status=banned; T 401 ngay; đăng nhập 403 ACCOUNT_BANNED 'Tài khoản của bạn đã bị cấm vĩnh viễn khỏi SofinHub.' (details.reason='Lừa đảo'); ban lần 2: 409 'Tài khoản đã bị cấm'; audit user.ban có evidence.</t>
        </is>
      </c>
      <c r="M192" s="15" t="inlineStr"/>
      <c r="N192" s="18" t="inlineStr">
        <is>
          <t>Chưa test</t>
        </is>
      </c>
      <c r="O192" s="15" t="inlineStr"/>
      <c r="P192" s="15" t="inlineStr"/>
      <c r="Q192" s="18" t="inlineStr">
        <is>
          <t>Chưa test</t>
        </is>
      </c>
      <c r="R192" s="15" t="inlineStr"/>
    </row>
    <row r="193" ht="30" customHeight="1">
      <c r="A193" s="14" t="inlineStr">
        <is>
          <t>TC-ADM-192</t>
        </is>
      </c>
      <c r="B193" s="15" t="inlineStr">
        <is>
          <t>Admin Console (đợt 1)</t>
        </is>
      </c>
      <c r="C193" s="15" t="inlineStr">
        <is>
          <t>Người dùng: Hạn chế / Tạm ngưng / Cấm / Cảnh cáo</t>
        </is>
      </c>
      <c r="D193" s="15" t="inlineStr">
        <is>
          <t>Đăng nhập tài khoản bị cấm sẵn trong seed (sophia) trả 403 ACCOUNT_BANNED</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t>
        </is>
      </c>
      <c r="J193" s="15" t="inlineStr">
        <is>
          <t>1. POST /api/auth/login {"email":"sophia@sofinhub.test","password":"Passw0rd!x"}</t>
        </is>
      </c>
      <c r="K193" s="15" t="inlineStr">
        <is>
          <t>sophia</t>
        </is>
      </c>
      <c r="L193" s="15" t="inlineStr">
        <is>
          <t>403 ACCOUNT_BANNED, details.reason='Scam'.</t>
        </is>
      </c>
      <c r="M193" s="15" t="inlineStr"/>
      <c r="N193" s="18" t="inlineStr">
        <is>
          <t>Chưa test</t>
        </is>
      </c>
      <c r="O193" s="15" t="inlineStr"/>
      <c r="P193" s="15" t="inlineStr"/>
      <c r="Q193" s="18" t="inlineStr">
        <is>
          <t>Chưa test</t>
        </is>
      </c>
      <c r="R193" s="15" t="inlineStr"/>
    </row>
    <row r="194" ht="60" customHeight="1">
      <c r="A194" s="14" t="inlineStr">
        <is>
          <t>TC-ADM-193</t>
        </is>
      </c>
      <c r="B194" s="15" t="inlineStr">
        <is>
          <t>Admin Console (đợt 1)</t>
        </is>
      </c>
      <c r="C194" s="15" t="inlineStr">
        <is>
          <t>Người dùng: Hạn chế / Tạm ngưng / Cấm / Cảnh cáo</t>
        </is>
      </c>
      <c r="D194" s="15" t="inlineStr">
        <is>
          <t>Ban không gỡ ghi danh cộng đồng; khôi phục trả nguyên trạng</t>
        </is>
      </c>
      <c r="E194" s="15" t="inlineStr">
        <is>
          <t>Chức năng</t>
        </is>
      </c>
      <c r="F194" s="20" t="inlineStr">
        <is>
          <t>Trung bình</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94" s="15" t="inlineStr">
        <is>
          <t>1. Admin ban noah (thành viên/chủ cộng đồng)
2. GET /api/admin/users/&lt;noah&gt;/communities
3. POST /api/admin/users/&lt;noah&gt;/reinstate {}
4. Đăng nhập noah</t>
        </is>
      </c>
      <c r="K194" s="15" t="inlineStr">
        <is>
          <t>noah</t>
        </is>
      </c>
      <c r="L194" s="15" t="inlineStr">
        <is>
          <t>Sau ban danh sách cộng đồng của noah vẫn còn nguyên (không gỡ Enrollment); sau reinstate status=active, đăng nhập lại được, cộng đồng/vai trò nguyên vẹn.</t>
        </is>
      </c>
      <c r="M194" s="15" t="inlineStr"/>
      <c r="N194" s="18" t="inlineStr">
        <is>
          <t>Chưa test</t>
        </is>
      </c>
      <c r="O194" s="15" t="inlineStr"/>
      <c r="P194" s="15" t="inlineStr"/>
      <c r="Q194" s="18" t="inlineStr">
        <is>
          <t>Chưa test</t>
        </is>
      </c>
      <c r="R194" s="15" t="inlineStr"/>
    </row>
    <row r="195" ht="45" customHeight="1">
      <c r="A195" s="14" t="inlineStr">
        <is>
          <t>TC-ADM-194</t>
        </is>
      </c>
      <c r="B195" s="15" t="inlineStr">
        <is>
          <t>Admin Console (đợt 1)</t>
        </is>
      </c>
      <c r="C195" s="15" t="inlineStr">
        <is>
          <t>Người dùng: Hạn chế / Tạm ngưng / Cấm / Cảnh cáo</t>
        </is>
      </c>
      <c r="D195" s="15" t="inlineStr">
        <is>
          <t>Khôi phục người dùng (UI): restricted/suspended/banned về Hoạt động</t>
        </is>
      </c>
      <c r="E195" s="15" t="inlineStr">
        <is>
          <t>Chức năng</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5" s="15" t="inlineStr">
        <is>
          <t>1. Ở /admin/users/restricted menu … của Olivia Tran &gt; 'Khôi phục'
2. Hộp thoại 'Khôi phục Olivia Tran?' nhập ghi chú, xác nhận
3. Ở /admin/users/banned khôi phục Sophia Patel</t>
        </is>
      </c>
      <c r="K195" s="15" t="inlineStr">
        <is>
          <t>olivia, sophia</t>
        </is>
      </c>
      <c r="L195" s="15" t="inlineStr">
        <is>
          <t>Toast 'Đã khôi phục · &lt;tên&gt;'; trạng thái 'Hoạt động'; biến khỏi hai trang danh sách đặc biệt; olivia/sophia đăng nhập lại được.</t>
        </is>
      </c>
      <c r="M195" s="15" t="inlineStr"/>
      <c r="N195" s="18" t="inlineStr">
        <is>
          <t>Chưa test</t>
        </is>
      </c>
      <c r="O195" s="15" t="inlineStr"/>
      <c r="P195" s="15" t="inlineStr"/>
      <c r="Q195" s="18" t="inlineStr">
        <is>
          <t>Chưa test</t>
        </is>
      </c>
      <c r="R195" s="15" t="inlineStr"/>
    </row>
    <row r="196" ht="30" customHeight="1">
      <c r="A196" s="14" t="inlineStr">
        <is>
          <t>TC-ADM-195</t>
        </is>
      </c>
      <c r="B196" s="15" t="inlineStr">
        <is>
          <t>Admin Console (đợt 1)</t>
        </is>
      </c>
      <c r="C196" s="15" t="inlineStr">
        <is>
          <t>Người dùng: Hạn chế / Tạm ngưng / Cấm / Cảnh cáo</t>
        </is>
      </c>
      <c r="D196" s="15" t="inlineStr">
        <is>
          <t>POST reinstate: chỉ khi restricted/suspended/banned (active trả 409)</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96" s="15" t="inlineStr">
        <is>
          <t>1. POST /api/admin/users/&lt;maya&gt;/reinstate {"note":"hết hạn"}
2. POST /api/admin/users/&lt;ava&gt;/reinstate {}</t>
        </is>
      </c>
      <c r="K196" s="15" t="inlineStr">
        <is>
          <t>maya, ava</t>
        </is>
      </c>
      <c r="L196" s="15" t="inlineStr">
        <is>
          <t>Lệnh 1: 200 status=active, restrictions=[]; lệnh 2: 409 'Tài khoản đang hoạt động bình thường'; audit user.reinstate (lệnh 1).</t>
        </is>
      </c>
      <c r="M196" s="15" t="inlineStr"/>
      <c r="N196" s="18" t="inlineStr">
        <is>
          <t>Chưa test</t>
        </is>
      </c>
      <c r="O196" s="15" t="inlineStr"/>
      <c r="P196" s="15" t="inlineStr"/>
      <c r="Q196" s="18" t="inlineStr">
        <is>
          <t>Chưa test</t>
        </is>
      </c>
      <c r="R196" s="15" t="inlineStr"/>
    </row>
    <row r="197" ht="60" customHeight="1">
      <c r="A197" s="14" t="inlineStr">
        <is>
          <t>TC-ADM-196</t>
        </is>
      </c>
      <c r="B197" s="15" t="inlineStr">
        <is>
          <t>Admin Console (đợt 1)</t>
        </is>
      </c>
      <c r="C197" s="15" t="inlineStr">
        <is>
          <t>Người dùng: Hạn chế / Tạm ngưng / Cấm / Cảnh cáo</t>
        </is>
      </c>
      <c r="D197" s="15" t="inlineStr">
        <is>
          <t>Cảnh cáo người dùng (UI): không đổi trạng thái, gửi thông báo</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7" s="15" t="inlineStr">
        <is>
          <t>1. Menu … của Liam Nguyen &gt; 'Cảnh cáo'
2. Hộp thoại 'Gửi cảnh cáo': Vi phạm 'Spam', Tin nhắn 'Vui lòng ngừng đăng liên kết giới thiệu'
3. Xác nhận
4. Đăng nhập liam@sofinhub.test xem chuông thông báo</t>
        </is>
      </c>
      <c r="K197" s="15" t="inlineStr">
        <is>
          <t>liam</t>
        </is>
      </c>
      <c r="L197" s="15" t="inlineStr">
        <is>
          <t>Toast 'Đã gửi cảnh cáo · Liam Nguyen'; trạng thái liam vẫn 'Hoạt động'; liam nhận 1 thông báo loại system có nội dung cảnh cáo; /admin/moderation/warnings có dòng mới (không có mã vụ việc: '—').</t>
        </is>
      </c>
      <c r="M197" s="15" t="inlineStr"/>
      <c r="N197" s="18" t="inlineStr">
        <is>
          <t>Chưa test</t>
        </is>
      </c>
      <c r="O197" s="15" t="inlineStr"/>
      <c r="P197" s="15" t="inlineStr"/>
      <c r="Q197" s="18" t="inlineStr">
        <is>
          <t>Chưa test</t>
        </is>
      </c>
      <c r="R197" s="15" t="inlineStr"/>
    </row>
    <row r="198" ht="45" customHeight="1">
      <c r="A198" s="14" t="inlineStr">
        <is>
          <t>TC-ADM-197</t>
        </is>
      </c>
      <c r="B198" s="15" t="inlineStr">
        <is>
          <t>Admin Console (đợt 1)</t>
        </is>
      </c>
      <c r="C198" s="15" t="inlineStr">
        <is>
          <t>Người dùng: Hạn chế / Tạm ngưng / Cấm / Cảnh cáo</t>
        </is>
      </c>
      <c r="D198" s="15" t="inlineStr">
        <is>
          <t>POST warn: thông báo + audit user.warn; thiếu message trả 400</t>
        </is>
      </c>
      <c r="E198" s="15" t="inlineStr">
        <is>
          <t>Chức năng</t>
        </is>
      </c>
      <c r="F198" s="16" t="inlineStr">
        <is>
          <t>Cao</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98" s="15" t="inlineStr">
        <is>
          <t>1. POST /api/admin/users/&lt;liam&gt;/warn {"reason":"Spam"}
2. POST ... {"reason":"Spam","message":"Vui lòng ngừng spam"}
3. GET /api/notifications bằng token liam</t>
        </is>
      </c>
      <c r="K198" s="15" t="inlineStr">
        <is>
          <t>liam</t>
        </is>
      </c>
      <c r="L198" s="15" t="inlineStr">
        <is>
          <t>Lệnh 1: 400; lệnh 2: 200; thông báo type=system tới liam; audit user.warn với evidence = nội dung cảnh cáo; stats.warnings của liam tăng 1.</t>
        </is>
      </c>
      <c r="M198" s="15" t="inlineStr"/>
      <c r="N198" s="18" t="inlineStr">
        <is>
          <t>Chưa test</t>
        </is>
      </c>
      <c r="O198" s="15" t="inlineStr"/>
      <c r="P198" s="15" t="inlineStr"/>
      <c r="Q198" s="18" t="inlineStr">
        <is>
          <t>Chưa test</t>
        </is>
      </c>
      <c r="R198" s="15" t="inlineStr"/>
    </row>
    <row r="199" ht="45" customHeight="1">
      <c r="A199" s="14" t="inlineStr">
        <is>
          <t>TC-ADM-198</t>
        </is>
      </c>
      <c r="B199" s="15" t="inlineStr">
        <is>
          <t>Admin Console (đợt 1)</t>
        </is>
      </c>
      <c r="C199" s="15" t="inlineStr">
        <is>
          <t>Người dùng: Hạn chế / Tạm ngưng / Cấm / Cảnh cáo</t>
        </is>
      </c>
      <c r="D199" s="15" t="inlineStr">
        <is>
          <t>Không thể tác động lên chính mình, Platform Admin, tài khoản minh họa</t>
        </is>
      </c>
      <c r="E199" s="15" t="inlineStr">
        <is>
          <t>Bảo mật</t>
        </is>
      </c>
      <c r="F199" s="16" t="inlineStr">
        <is>
          <t>Cao</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199" s="15" t="inlineStr">
        <is>
          <t>1. POST /api/admin/users/&lt;id admin&gt;/suspend {"reason":"x"}
2. POST /api/admin/users/&lt;id admin&gt;/ban {"reason":"x"}
3. POST /api/admin/users/&lt;id một user isDemo, vd. demo-photo-1&gt;/warn {"reason":"x","message":"y"}</t>
        </is>
      </c>
      <c r="K199" s="15" t="inlineStr">
        <is>
          <t>admin, demo user</t>
        </is>
      </c>
      <c r="L199"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9" s="15" t="inlineStr"/>
      <c r="N199" s="18" t="inlineStr">
        <is>
          <t>Chưa test</t>
        </is>
      </c>
      <c r="O199" s="15" t="inlineStr"/>
      <c r="P199" s="15" t="inlineStr"/>
      <c r="Q199" s="18" t="inlineStr">
        <is>
          <t>Chưa test</t>
        </is>
      </c>
      <c r="R199" s="15" t="inlineStr"/>
    </row>
    <row r="200" ht="30" customHeight="1">
      <c r="A200" s="14" t="inlineStr">
        <is>
          <t>TC-ADM-199</t>
        </is>
      </c>
      <c r="B200" s="15" t="inlineStr">
        <is>
          <t>Admin Console (đợt 1)</t>
        </is>
      </c>
      <c r="C200" s="15" t="inlineStr">
        <is>
          <t>Người dùng: Hạn chế / Tạm ngưng / Cấm / Cảnh cáo</t>
        </is>
      </c>
      <c r="D200" s="15" t="inlineStr">
        <is>
          <t>Thao tác lên người dùng không tồn tại/đã xóa trả 404</t>
        </is>
      </c>
      <c r="E200" s="15" t="inlineStr">
        <is>
          <t>Chức năng</t>
        </is>
      </c>
      <c r="F200" s="20" t="inlineStr">
        <is>
          <t>Trung bình</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00" s="15" t="inlineStr">
        <is>
          <t>1. POST /api/admin/users/khong-ton-tai/ban {"reason":"x"}
2. POST /api/admin/users/&lt;id tài khoản đã xóa&gt;/restrict {"reason":"x"}</t>
        </is>
      </c>
      <c r="K200" s="15" t="inlineStr">
        <is>
          <t>-</t>
        </is>
      </c>
      <c r="L200" s="15" t="inlineStr">
        <is>
          <t>Cả hai 404 'Không tìm thấy người dùng'.</t>
        </is>
      </c>
      <c r="M200" s="15" t="inlineStr"/>
      <c r="N200" s="18" t="inlineStr">
        <is>
          <t>Chưa test</t>
        </is>
      </c>
      <c r="O200" s="15" t="inlineStr"/>
      <c r="P200" s="15" t="inlineStr"/>
      <c r="Q200" s="18" t="inlineStr">
        <is>
          <t>Chưa test</t>
        </is>
      </c>
      <c r="R200" s="15" t="inlineStr"/>
    </row>
    <row r="201" ht="30" customHeight="1">
      <c r="A201" s="14" t="inlineStr">
        <is>
          <t>TC-ADM-200</t>
        </is>
      </c>
      <c r="B201" s="15" t="inlineStr">
        <is>
          <t>Admin Console (đợt 1)</t>
        </is>
      </c>
      <c r="C201" s="15" t="inlineStr">
        <is>
          <t>Người dùng: Hạn chế / Tạm ngưng / Cấm / Cảnh cáo</t>
        </is>
      </c>
      <c r="D201" s="15" t="inlineStr">
        <is>
          <t>Lý do/ghi chú quá 500 ký tự bị từ chối</t>
        </is>
      </c>
      <c r="E201" s="15" t="inlineStr">
        <is>
          <t>Chức năng</t>
        </is>
      </c>
      <c r="F201" s="17" t="inlineStr">
        <is>
          <t>Thấp</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01" s="15" t="inlineStr">
        <is>
          <t>1. POST /api/admin/users/&lt;noah&gt;/warn {"reason":"&lt;501 ký tự&gt;","message":"y"}</t>
        </is>
      </c>
      <c r="K201" s="15" t="inlineStr">
        <is>
          <t>reason 501 ký tự</t>
        </is>
      </c>
      <c r="L201" s="15" t="inlineStr">
        <is>
          <t>400 VALIDATION_ERROR.</t>
        </is>
      </c>
      <c r="M201" s="15" t="inlineStr"/>
      <c r="N201" s="18" t="inlineStr">
        <is>
          <t>Chưa test</t>
        </is>
      </c>
      <c r="O201" s="15" t="inlineStr"/>
      <c r="P201" s="15" t="inlineStr"/>
      <c r="Q201" s="18" t="inlineStr">
        <is>
          <t>Chưa test</t>
        </is>
      </c>
      <c r="R201" s="15" t="inlineStr"/>
    </row>
    <row r="202" ht="30" customHeight="1">
      <c r="A202" s="14" t="inlineStr">
        <is>
          <t>TC-ADM-201</t>
        </is>
      </c>
      <c r="B202" s="15" t="inlineStr">
        <is>
          <t>Admin Console (đợt 1)</t>
        </is>
      </c>
      <c r="C202" s="15" t="inlineStr">
        <is>
          <t>Người dùng: Hạn chế / Tạm ngưng / Cấm / Cảnh cáo</t>
        </is>
      </c>
      <c r="D202" s="15" t="inlineStr">
        <is>
          <t>XSS: lý do/ghi chú chứa HTML hiển thị dạng text, không thực thi</t>
        </is>
      </c>
      <c r="E202" s="15" t="inlineStr">
        <is>
          <t>Bảo mật</t>
        </is>
      </c>
      <c r="F202" s="16" t="inlineStr">
        <is>
          <t>Cao</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2" s="15" t="inlineStr">
        <is>
          <t>1. Cảnh cáo Ava Johnson với tin nhắn '&lt;img src=x onerror=alert(1)&gt;'
2. Mở /admin/system/audit và /admin/moderation/warnings xem dòng vừa tạo</t>
        </is>
      </c>
      <c r="K202" s="15" t="inlineStr">
        <is>
          <t>&lt;img src=x onerror=alert(1)&gt;</t>
        </is>
      </c>
      <c r="L202" s="15" t="inlineStr">
        <is>
          <t>Hiển thị nguyên văn như chữ, không có hộp thoại alert, không có phần tử img được chèn vào DOM.</t>
        </is>
      </c>
      <c r="M202" s="15" t="inlineStr"/>
      <c r="N202" s="18" t="inlineStr">
        <is>
          <t>Chưa test</t>
        </is>
      </c>
      <c r="O202" s="15" t="inlineStr"/>
      <c r="P202" s="15" t="inlineStr"/>
      <c r="Q202" s="18" t="inlineStr">
        <is>
          <t>Chưa test</t>
        </is>
      </c>
      <c r="R202" s="15" t="inlineStr"/>
    </row>
    <row r="203" ht="45" customHeight="1">
      <c r="A203" s="14" t="inlineStr">
        <is>
          <t>TC-ADM-202</t>
        </is>
      </c>
      <c r="B203" s="15" t="inlineStr">
        <is>
          <t>Admin Console (đợt 1)</t>
        </is>
      </c>
      <c r="C203" s="15" t="inlineStr">
        <is>
          <t>Người dùng: Hạn chế / Tạm ngưng / Cấm / Cảnh cáo</t>
        </is>
      </c>
      <c r="D203" s="15" t="inlineStr">
        <is>
          <t>Tiêm SQL/ký tự đặc biệt ở tham số tìm kiếm không gây lỗi</t>
        </is>
      </c>
      <c r="E203" s="15" t="inlineStr">
        <is>
          <t>Bảo mật</t>
        </is>
      </c>
      <c r="F203" s="16" t="inlineStr">
        <is>
          <t>Cao</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03" s="15" t="inlineStr">
        <is>
          <t>1. GET /api/admin/users?q=' OR 1=1 --
2. GET /api/admin/communities?q=%27%3B%20DROP%20TABLE%20%22User%22%3B--
3. GET /api/admin/moderation/cases?q=&lt;script&gt;</t>
        </is>
      </c>
      <c r="K203" s="15" t="inlineStr">
        <is>
          <t>-</t>
        </is>
      </c>
      <c r="L203" s="15" t="inlineStr">
        <is>
          <t>200 với danh sách rỗng/không khớp; không 500; dữ liệu không đổi (truy vấn tham số hóa).</t>
        </is>
      </c>
      <c r="M203" s="15" t="inlineStr"/>
      <c r="N203" s="18" t="inlineStr">
        <is>
          <t>Chưa test</t>
        </is>
      </c>
      <c r="O203" s="15" t="inlineStr"/>
      <c r="P203" s="15" t="inlineStr"/>
      <c r="Q203" s="18" t="inlineStr">
        <is>
          <t>Chưa test</t>
        </is>
      </c>
      <c r="R203" s="15" t="inlineStr"/>
    </row>
    <row r="204" ht="30" customHeight="1">
      <c r="A204" s="14" t="inlineStr">
        <is>
          <t>TC-ADM-203</t>
        </is>
      </c>
      <c r="B204" s="15" t="inlineStr">
        <is>
          <t>Admin Console (đợt 1)</t>
        </is>
      </c>
      <c r="C204" s="15" t="inlineStr">
        <is>
          <t>Kiểm duyệt: Hàng đợi báo cáo</t>
        </is>
      </c>
      <c r="D204" s="15" t="inlineStr">
        <is>
          <t>Trang /admin/moderation: tiêu đề, 4 KPI, tab, bảng</t>
        </is>
      </c>
      <c r="E204" s="15" t="inlineStr">
        <is>
          <t>Giao diện</t>
        </is>
      </c>
      <c r="F204" s="16" t="inlineStr">
        <is>
          <t>Cao</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04" s="15" t="inlineStr">
        <is>
          <t>1. Mở /admin/moderation</t>
        </is>
      </c>
      <c r="K204" s="15" t="inlineStr">
        <is>
          <t>-</t>
        </is>
      </c>
      <c r="L204"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204" s="15" t="inlineStr"/>
      <c r="N204" s="18" t="inlineStr">
        <is>
          <t>Chưa test</t>
        </is>
      </c>
      <c r="O204" s="15" t="inlineStr"/>
      <c r="P204" s="15" t="inlineStr"/>
      <c r="Q204" s="18" t="inlineStr">
        <is>
          <t>Chưa test</t>
        </is>
      </c>
      <c r="R204" s="15" t="inlineStr"/>
    </row>
    <row r="205" ht="30" customHeight="1">
      <c r="A205" s="14" t="inlineStr">
        <is>
          <t>TC-ADM-204</t>
        </is>
      </c>
      <c r="B205" s="15" t="inlineStr">
        <is>
          <t>Admin Console (đợt 1)</t>
        </is>
      </c>
      <c r="C205" s="15" t="inlineStr">
        <is>
          <t>Kiểm duyệt: Hàng đợi báo cáo</t>
        </is>
      </c>
      <c r="D205" s="15" t="inlineStr">
        <is>
          <t>GET /admin/moderation/summary khớp dữ liệu seed</t>
        </is>
      </c>
      <c r="E205" s="15" t="inlineStr">
        <is>
          <t>Chức năng</t>
        </is>
      </c>
      <c r="F205" s="16" t="inlineStr">
        <is>
          <t>Cao</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05" s="15" t="inlineStr">
        <is>
          <t>1. GET /api/admin/moderation/summary
2. Đếm trực tiếp bảng Report theo status/risk</t>
        </is>
      </c>
      <c r="K205" s="15" t="inlineStr">
        <is>
          <t>-</t>
        </is>
      </c>
      <c r="L205" s="15" t="inlineStr">
        <is>
          <t>open, critical (≥ 4: #1,#2,#3,#9), underReview = 2 (#4,#10), resolvedToday, warnings, removedContent, suspendedUsers: mỗi số bằng đếm trực tiếp trong DB theo cùng định nghĩa và khớp KPI trên UI.</t>
        </is>
      </c>
      <c r="M205" s="15" t="inlineStr"/>
      <c r="N205" s="18" t="inlineStr">
        <is>
          <t>Chưa test</t>
        </is>
      </c>
      <c r="O205" s="15" t="inlineStr"/>
      <c r="P205" s="15" t="inlineStr"/>
      <c r="Q205" s="18" t="inlineStr">
        <is>
          <t>Chưa test</t>
        </is>
      </c>
      <c r="R205" s="15" t="inlineStr"/>
    </row>
    <row r="206" ht="30" customHeight="1">
      <c r="A206" s="14" t="inlineStr">
        <is>
          <t>TC-ADM-205</t>
        </is>
      </c>
      <c r="B206" s="15" t="inlineStr">
        <is>
          <t>Admin Console (đợt 1)</t>
        </is>
      </c>
      <c r="C206" s="15" t="inlineStr">
        <is>
          <t>Kiểm duyệt: Hàng đợi báo cáo</t>
        </is>
      </c>
      <c r="D206" s="15" t="inlineStr">
        <is>
          <t>Hàng đợi mặc định (tab Mở) gộp báo cáo trùng: bài post-1 chỉ hiện 1 dòng, reportCount=3</t>
        </is>
      </c>
      <c r="E206" s="15" t="inlineStr">
        <is>
          <t>Chức năng</t>
        </is>
      </c>
      <c r="F206" s="16" t="inlineStr">
        <is>
          <t>Cao</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06" s="15" t="inlineStr">
        <is>
          <t>1. GET /api/admin/moderation/cases?status=open
2. Tìm dòng của bài seed-admin-post-1</t>
        </is>
      </c>
      <c r="K206" s="15" t="inlineStr">
        <is>
          <t>post-1</t>
        </is>
      </c>
      <c r="L206" s="15" t="inlineStr">
        <is>
          <t>Chỉ có 1 dòng cho bài post-1: là báo cáo cũ nhất (#3), reportCount=3, risk critical; #1 và #2 không xuất hiện trong danh sách mặc định.</t>
        </is>
      </c>
      <c r="M206" s="15" t="inlineStr"/>
      <c r="N206" s="18" t="inlineStr">
        <is>
          <t>Chưa test</t>
        </is>
      </c>
      <c r="O206" s="15" t="inlineStr"/>
      <c r="P206" s="15" t="inlineStr"/>
      <c r="Q206" s="18" t="inlineStr">
        <is>
          <t>Chưa test</t>
        </is>
      </c>
      <c r="R206" s="15" t="inlineStr"/>
    </row>
    <row r="207" ht="30" customHeight="1">
      <c r="A207" s="14" t="inlineStr">
        <is>
          <t>TC-ADM-206</t>
        </is>
      </c>
      <c r="B207" s="15" t="inlineStr">
        <is>
          <t>Admin Console (đợt 1)</t>
        </is>
      </c>
      <c r="C207" s="15" t="inlineStr">
        <is>
          <t>Kiểm duyệt: Hàng đợi báo cáo</t>
        </is>
      </c>
      <c r="D207" s="15" t="inlineStr">
        <is>
          <t>includeDuplicates=true hiện đủ các báo cáo trùng</t>
        </is>
      </c>
      <c r="E207" s="15" t="inlineStr">
        <is>
          <t>Chức năng</t>
        </is>
      </c>
      <c r="F207" s="20" t="inlineStr">
        <is>
          <t>Trung bình</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07" s="15" t="inlineStr">
        <is>
          <t>1. GET /api/admin/moderation/cases?status=open&amp;includeDuplicates=true
2. So số dòng với lệnh mặc định</t>
        </is>
      </c>
      <c r="K207" s="15" t="inlineStr">
        <is>
          <t>-</t>
        </is>
      </c>
      <c r="L207" s="15" t="inlineStr">
        <is>
          <t>Nhiều hơn mặc định đúng 2 dòng (#1, #2); mỗi dòng của post-1 đều reportCount=3.</t>
        </is>
      </c>
      <c r="M207" s="15" t="inlineStr"/>
      <c r="N207" s="18" t="inlineStr">
        <is>
          <t>Chưa test</t>
        </is>
      </c>
      <c r="O207" s="15" t="inlineStr"/>
      <c r="P207" s="15" t="inlineStr"/>
      <c r="Q207" s="18" t="inlineStr">
        <is>
          <t>Chưa test</t>
        </is>
      </c>
      <c r="R207" s="15" t="inlineStr"/>
    </row>
    <row r="208" ht="60" customHeight="1">
      <c r="A208" s="14" t="inlineStr">
        <is>
          <t>TC-ADM-207</t>
        </is>
      </c>
      <c r="B208" s="15" t="inlineStr">
        <is>
          <t>Admin Console (đợt 1)</t>
        </is>
      </c>
      <c r="C208" s="15" t="inlineStr">
        <is>
          <t>Kiểm duyệt: Hàng đợi báo cáo</t>
        </is>
      </c>
      <c r="D208" s="15" t="inlineStr">
        <is>
          <t>Tab 'Đang xem xét' và 'Đã xử lý' trên giao diện</t>
        </is>
      </c>
      <c r="E208" s="15" t="inlineStr">
        <is>
          <t>Chức năng</t>
        </is>
      </c>
      <c r="F208" s="20" t="inlineStr">
        <is>
          <t>Trung bình</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08" s="15" t="inlineStr">
        <is>
          <t>1. Mở /admin/moderation
2. Bấm tab 'Đang xem xét'
3. Bấm tab 'Đã xử lý'
4. Bấm tab 'Tất cả'</t>
        </is>
      </c>
      <c r="K208" s="15" t="inlineStr">
        <is>
          <t>-</t>
        </is>
      </c>
      <c r="L208" s="15" t="inlineStr">
        <is>
          <t>'Đang xem xét' hiện #4 (bình luận sophia) và #10 (thành viên sophia); 'Đã xử lý' hiện #7 (Bỏ qua), #11, #12 (Đã xử lý); 'Tất cả' hiện mọi trạng thái; số đếm trên tab khớp KPI; đổi tab về trang 1.</t>
        </is>
      </c>
      <c r="M208" s="15" t="inlineStr"/>
      <c r="N208" s="18" t="inlineStr">
        <is>
          <t>Chưa test</t>
        </is>
      </c>
      <c r="O208" s="15" t="inlineStr"/>
      <c r="P208" s="15" t="inlineStr"/>
      <c r="Q208" s="18" t="inlineStr">
        <is>
          <t>Chưa test</t>
        </is>
      </c>
      <c r="R208" s="15" t="inlineStr"/>
    </row>
    <row r="209" ht="75" customHeight="1">
      <c r="A209" s="14" t="inlineStr">
        <is>
          <t>TC-ADM-208</t>
        </is>
      </c>
      <c r="B209" s="15" t="inlineStr">
        <is>
          <t>Admin Console (đợt 1)</t>
        </is>
      </c>
      <c r="C209" s="15" t="inlineStr">
        <is>
          <t>Kiểm duyệt: Hàng đợi báo cáo</t>
        </is>
      </c>
      <c r="D209" s="15" t="inlineStr">
        <is>
          <t>Lọc theo Rủi ro, Lý do, Người phụ trách</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09" s="15" t="inlineStr">
        <is>
          <t>1. Mở /admin/moderation tab 'Tất cả'
2. Lọc 'Rủi ro' = Nghiêm trọng
3. Đổi 'Lý do' = Lừa đảo
4. Lọc 'Người phụ trách' = Chưa phân công
5. Đổi thành 'Tôi'</t>
        </is>
      </c>
      <c r="K209" s="15" t="inlineStr">
        <is>
          <t>-</t>
        </is>
      </c>
      <c r="L209" s="15" t="inlineStr">
        <is>
          <t>Mỗi bộ lọc gọi lại API; Nghiêm trọng ra #3 (gộp #1,#2) và #9; Lừa đảo (scam) ra #3 (gộp) và #8; 'Chưa phân công' có #3, #6, #8; 'Tôi' rỗng nếu admin chưa nhận vụ nào (hiện trạng thái rỗng).</t>
        </is>
      </c>
      <c r="M209" s="15" t="inlineStr"/>
      <c r="N209" s="18" t="inlineStr">
        <is>
          <t>Chưa test</t>
        </is>
      </c>
      <c r="O209" s="15" t="inlineStr"/>
      <c r="P209" s="15" t="inlineStr"/>
      <c r="Q209" s="18" t="inlineStr">
        <is>
          <t>Chưa test</t>
        </is>
      </c>
      <c r="R209" s="15" t="inlineStr"/>
    </row>
    <row r="210" ht="120" customHeight="1">
      <c r="A210" s="14" t="inlineStr">
        <is>
          <t>TC-ADM-209</t>
        </is>
      </c>
      <c r="B210" s="15" t="inlineStr">
        <is>
          <t>Admin Console (đợt 1)</t>
        </is>
      </c>
      <c r="C210" s="15" t="inlineStr">
        <is>
          <t>Kiểm duyệt: Hàng đợi báo cáo</t>
        </is>
      </c>
      <c r="D210" s="15" t="inlineStr">
        <is>
          <t>API lọc cases: risk/reason/assignee/targetType/courseId và giá trị sai trả 400</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10" s="15" t="inlineStr">
        <is>
          <t>1. GET /api/admin/moderation/cases?risk=critical
2. …?reason=hate_speech
3. …?assignee=unassigned
4. …?assignee=&lt;id john&gt;
5. …?targetType=comment&amp;status=all
6. …?courseId=yt
7. …?risk=extreme
8. …?status=banana</t>
        </is>
      </c>
      <c r="K210" s="15" t="inlineStr">
        <is>
          <t>-</t>
        </is>
      </c>
      <c r="L210" s="15" t="inlineStr">
        <is>
          <t>Các lệnh hợp lệ 200 và đúng tập (hate_speech = #9; targetType=comment = #4,#6,#9,#12; courseId=yt = #5,#11); risk=extreme và status=banana 400 VALIDATION_ERROR.</t>
        </is>
      </c>
      <c r="M210" s="15" t="inlineStr"/>
      <c r="N210" s="18" t="inlineStr">
        <is>
          <t>Chưa test</t>
        </is>
      </c>
      <c r="O210" s="15" t="inlineStr"/>
      <c r="P210" s="15" t="inlineStr"/>
      <c r="Q210" s="18" t="inlineStr">
        <is>
          <t>Chưa test</t>
        </is>
      </c>
      <c r="R210" s="15" t="inlineStr"/>
    </row>
    <row r="211" ht="30" customHeight="1">
      <c r="A211" s="14" t="inlineStr">
        <is>
          <t>TC-ADM-210</t>
        </is>
      </c>
      <c r="B211" s="15" t="inlineStr">
        <is>
          <t>Admin Console (đợt 1)</t>
        </is>
      </c>
      <c r="C211" s="15" t="inlineStr">
        <is>
          <t>Kiểm duyệt: Hàng đợi báo cáo</t>
        </is>
      </c>
      <c r="D211" s="15" t="inlineStr">
        <is>
          <t>Sắp xếp theo rủi ro</t>
        </is>
      </c>
      <c r="E211" s="15" t="inlineStr">
        <is>
          <t>Chức năng</t>
        </is>
      </c>
      <c r="F211" s="20" t="inlineStr">
        <is>
          <t>Trung bình</t>
        </is>
      </c>
      <c r="G211" s="17" t="inlineStr">
        <is>
          <t>Đã hoàn thiện</t>
        </is>
      </c>
      <c r="H211" s="17" t="inlineStr">
        <is>
          <t>Có</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11" s="15" t="inlineStr">
        <is>
          <t>1. GET /api/admin/moderation/cases?status=open&amp;sort=risk</t>
        </is>
      </c>
      <c r="K211" s="15" t="inlineStr">
        <is>
          <t>sort=risk</t>
        </is>
      </c>
      <c r="L211" s="15" t="inlineStr">
        <is>
          <t>Thứ tự critical &gt; high &gt; medium &gt; low; cùng mức thì mới nhất trước.</t>
        </is>
      </c>
      <c r="M211" s="15" t="inlineStr"/>
      <c r="N211" s="18" t="inlineStr">
        <is>
          <t>Chưa test</t>
        </is>
      </c>
      <c r="O211" s="15" t="inlineStr"/>
      <c r="P211" s="15" t="inlineStr"/>
      <c r="Q211" s="18" t="inlineStr">
        <is>
          <t>Chưa test</t>
        </is>
      </c>
      <c r="R211" s="15" t="inlineStr"/>
    </row>
    <row r="212" ht="30" customHeight="1">
      <c r="A212" s="14" t="inlineStr">
        <is>
          <t>TC-ADM-211</t>
        </is>
      </c>
      <c r="B212" s="15" t="inlineStr">
        <is>
          <t>Admin Console (đợt 1)</t>
        </is>
      </c>
      <c r="C212" s="15" t="inlineStr">
        <is>
          <t>Kiểm duyệt: Hàng đợi báo cáo</t>
        </is>
      </c>
      <c r="D212" s="15" t="inlineStr">
        <is>
          <t>Tìm kiếm hàng đợi với 'CASE-00007'</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12" s="15" t="inlineStr">
        <is>
          <t>1. Mở /admin/moderation tab 'Tất cả'
2. Gõ 'CASE-00007' vào 'Tìm mã vụ việc, nội dung, người dùng...'</t>
        </is>
      </c>
      <c r="K212" s="15" t="inlineStr">
        <is>
          <t>q=CASE-00007</t>
        </is>
      </c>
      <c r="L212" s="15" t="inlineStr">
        <is>
          <t>Bảng chỉ còn vụ việc #7 (theo mã, bỏ qua số 0 đứng đầu); gọi GET /api/admin/moderation/cases?q=CASE-00007.</t>
        </is>
      </c>
      <c r="M212" s="15" t="inlineStr"/>
      <c r="N212" s="18" t="inlineStr">
        <is>
          <t>Chưa test</t>
        </is>
      </c>
      <c r="O212" s="15" t="inlineStr"/>
      <c r="P212" s="15" t="inlineStr"/>
      <c r="Q212" s="18" t="inlineStr">
        <is>
          <t>Chưa test</t>
        </is>
      </c>
      <c r="R212" s="15" t="inlineStr"/>
    </row>
    <row r="213" ht="30" customHeight="1">
      <c r="A213" s="14" t="inlineStr">
        <is>
          <t>TC-ADM-212</t>
        </is>
      </c>
      <c r="B213" s="15" t="inlineStr">
        <is>
          <t>Admin Console (đợt 1)</t>
        </is>
      </c>
      <c r="C213" s="15" t="inlineStr">
        <is>
          <t>Kiểm duyệt: Hàng đợi báo cáo</t>
        </is>
      </c>
      <c r="D213" s="15" t="inlineStr">
        <is>
          <t>Tìm kiếm hàng đợi với 'Telegram'</t>
        </is>
      </c>
      <c r="E213" s="15" t="inlineStr">
        <is>
          <t>Chức năng</t>
        </is>
      </c>
      <c r="F213" s="20" t="inlineStr">
        <is>
          <t>Trung bình</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13" s="15" t="inlineStr">
        <is>
          <t>1. Mở /admin/moderation tab 'Tất cả'
2. Gõ 'Telegram' vào 'Tìm mã vụ việc, nội dung, người dùng...'</t>
        </is>
      </c>
      <c r="K213" s="15" t="inlineStr">
        <is>
          <t>q=Telegram</t>
        </is>
      </c>
      <c r="L213" s="15" t="inlineStr">
        <is>
          <t>Bảng chỉ còn vụ việc #11 (theo nội dung); gọi GET /api/admin/moderation/cases?q=Telegram.</t>
        </is>
      </c>
      <c r="M213" s="15" t="inlineStr"/>
      <c r="N213" s="18" t="inlineStr">
        <is>
          <t>Chưa test</t>
        </is>
      </c>
      <c r="O213" s="15" t="inlineStr"/>
      <c r="P213" s="15" t="inlineStr"/>
      <c r="Q213" s="18" t="inlineStr">
        <is>
          <t>Chưa test</t>
        </is>
      </c>
      <c r="R213" s="15" t="inlineStr"/>
    </row>
    <row r="214" ht="30" customHeight="1">
      <c r="A214" s="14" t="inlineStr">
        <is>
          <t>TC-ADM-213</t>
        </is>
      </c>
      <c r="B214" s="15" t="inlineStr">
        <is>
          <t>Admin Console (đợt 1)</t>
        </is>
      </c>
      <c r="C214" s="15" t="inlineStr">
        <is>
          <t>Kiểm duyệt: Hàng đợi báo cáo</t>
        </is>
      </c>
      <c r="D214" s="15" t="inlineStr">
        <is>
          <t>Tìm kiếm hàng đợi với 'Lucas'</t>
        </is>
      </c>
      <c r="E214" s="15" t="inlineStr">
        <is>
          <t>Chức năng</t>
        </is>
      </c>
      <c r="F214" s="20" t="inlineStr">
        <is>
          <t>Trung bình</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14" s="15" t="inlineStr">
        <is>
          <t>1. Mở /admin/moderation tab 'Tất cả'
2. Gõ 'Lucas' vào 'Tìm mã vụ việc, nội dung, người dùng...'</t>
        </is>
      </c>
      <c r="K214" s="15" t="inlineStr">
        <is>
          <t>q=Lucas</t>
        </is>
      </c>
      <c r="L214" s="15" t="inlineStr">
        <is>
          <t>Bảng chỉ còn các vụ việc có người bị báo cáo Lucas Silva; gọi GET /api/admin/moderation/cases?q=Lucas.</t>
        </is>
      </c>
      <c r="M214" s="15" t="inlineStr"/>
      <c r="N214" s="18" t="inlineStr">
        <is>
          <t>Chưa test</t>
        </is>
      </c>
      <c r="O214" s="15" t="inlineStr"/>
      <c r="P214" s="15" t="inlineStr"/>
      <c r="Q214" s="18" t="inlineStr">
        <is>
          <t>Chưa test</t>
        </is>
      </c>
      <c r="R214" s="15" t="inlineStr"/>
    </row>
    <row r="215" ht="30" customHeight="1">
      <c r="A215" s="14" t="inlineStr">
        <is>
          <t>TC-ADM-214</t>
        </is>
      </c>
      <c r="B215" s="15" t="inlineStr">
        <is>
          <t>Admin Console (đợt 1)</t>
        </is>
      </c>
      <c r="C215" s="15" t="inlineStr">
        <is>
          <t>Kiểm duyệt: Hàng đợi báo cáo</t>
        </is>
      </c>
      <c r="D215" s="15" t="inlineStr">
        <is>
          <t>Tìm kiếm hàng đợi với 'Sarah'</t>
        </is>
      </c>
      <c r="E215" s="15" t="inlineStr">
        <is>
          <t>Chức năng</t>
        </is>
      </c>
      <c r="F215" s="20" t="inlineStr">
        <is>
          <t>Trung bình</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15" s="15" t="inlineStr">
        <is>
          <t>1. Mở /admin/moderation tab 'Tất cả'
2. Gõ 'Sarah' vào 'Tìm mã vụ việc, nội dung, người dùng...'</t>
        </is>
      </c>
      <c r="K215" s="15" t="inlineStr">
        <is>
          <t>q=Sarah</t>
        </is>
      </c>
      <c r="L215" s="15" t="inlineStr">
        <is>
          <t>Bảng chỉ còn vụ việc có người báo cáo Sarah Kim; gọi GET /api/admin/moderation/cases?q=Sarah.</t>
        </is>
      </c>
      <c r="M215" s="15" t="inlineStr"/>
      <c r="N215" s="18" t="inlineStr">
        <is>
          <t>Chưa test</t>
        </is>
      </c>
      <c r="O215" s="15" t="inlineStr"/>
      <c r="P215" s="15" t="inlineStr"/>
      <c r="Q215" s="18" t="inlineStr">
        <is>
          <t>Chưa test</t>
        </is>
      </c>
      <c r="R215" s="15" t="inlineStr"/>
    </row>
    <row r="216" ht="45" customHeight="1">
      <c r="A216" s="14" t="inlineStr">
        <is>
          <t>TC-ADM-215</t>
        </is>
      </c>
      <c r="B216" s="15" t="inlineStr">
        <is>
          <t>Admin Console (đợt 1)</t>
        </is>
      </c>
      <c r="C216" s="15" t="inlineStr">
        <is>
          <t>Kiểm duyệt: Hàng đợi báo cáo</t>
        </is>
      </c>
      <c r="D216" s="15" t="inlineStr">
        <is>
          <t>API cases: phân trang và biên</t>
        </is>
      </c>
      <c r="E216" s="15" t="inlineStr">
        <is>
          <t>Chức năng</t>
        </is>
      </c>
      <c r="F216" s="17" t="inlineStr">
        <is>
          <t>Thấp</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16" s="15" t="inlineStr">
        <is>
          <t>1. GET /api/admin/moderation/cases?status=all&amp;limit=3&amp;page=2
2. GET ...?limit=101
3. GET ...?page=0</t>
        </is>
      </c>
      <c r="K216" s="15" t="inlineStr">
        <is>
          <t>-</t>
        </is>
      </c>
      <c r="L216" s="15" t="inlineStr">
        <is>
          <t>Trang 2 gồm 3 dòng; limit=101/page=0 trả 400.</t>
        </is>
      </c>
      <c r="M216" s="15" t="inlineStr"/>
      <c r="N216" s="18" t="inlineStr">
        <is>
          <t>Chưa test</t>
        </is>
      </c>
      <c r="O216" s="15" t="inlineStr"/>
      <c r="P216" s="15" t="inlineStr"/>
      <c r="Q216" s="18" t="inlineStr">
        <is>
          <t>Chưa test</t>
        </is>
      </c>
      <c r="R216" s="15" t="inlineStr"/>
    </row>
    <row r="217" ht="30" customHeight="1">
      <c r="A217" s="14" t="inlineStr">
        <is>
          <t>TC-ADM-216</t>
        </is>
      </c>
      <c r="B217" s="15" t="inlineStr">
        <is>
          <t>Admin Console (đợt 1)</t>
        </is>
      </c>
      <c r="C217" s="15" t="inlineStr">
        <is>
          <t>Kiểm duyệt: Hàng đợi báo cáo</t>
        </is>
      </c>
      <c r="D217" s="15" t="inlineStr">
        <is>
          <t>Menu '…' của dòng vụ việc theo trạng thái và loại đối tượng</t>
        </is>
      </c>
      <c r="E217" s="15" t="inlineStr">
        <is>
          <t>Chức năng</t>
        </is>
      </c>
      <c r="F217" s="16" t="inlineStr">
        <is>
          <t>Cao</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17" s="15" t="inlineStr">
        <is>
          <t>1. Tab 'Tất cả', mở menu … của #9 (bình luận, open), #10 (thành viên, under_review), #12 (đã xử lý)</t>
        </is>
      </c>
      <c r="K217" s="15" t="inlineStr">
        <is>
          <t>-</t>
        </is>
      </c>
      <c r="L217"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17" s="15" t="inlineStr"/>
      <c r="N217" s="18" t="inlineStr">
        <is>
          <t>Chưa test</t>
        </is>
      </c>
      <c r="O217" s="15" t="inlineStr"/>
      <c r="P217" s="15" t="inlineStr"/>
      <c r="Q217" s="18" t="inlineStr">
        <is>
          <t>Chưa test</t>
        </is>
      </c>
      <c r="R217" s="15" t="inlineStr"/>
    </row>
    <row r="218" ht="30" customHeight="1">
      <c r="A218" s="14" t="inlineStr">
        <is>
          <t>TC-ADM-217</t>
        </is>
      </c>
      <c r="B218" s="15" t="inlineStr">
        <is>
          <t>Admin Console (đợt 1)</t>
        </is>
      </c>
      <c r="C218" s="15" t="inlineStr">
        <is>
          <t>Kiểm duyệt: Hàng đợi báo cáo</t>
        </is>
      </c>
      <c r="D218" s="15" t="inlineStr">
        <is>
          <t>'Nhận xử lý' từ hàng đợi: gán cho tôi, chuyển Đang xem xét</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8" s="15" t="inlineStr">
        <is>
          <t>1. Ở tab 'Mở' menu … của #6 &gt; 'Nhận xử lý'</t>
        </is>
      </c>
      <c r="K218" s="15" t="inlineStr">
        <is>
          <t>#6</t>
        </is>
      </c>
      <c r="L218" s="15" t="inlineStr">
        <is>
          <t>Toast 'Đã nhận xử lý · CASE-0000x'; dòng có Phụ trách = Platform Admin, trạng thái 'Đang xem xét'; chuyển sang tab 'Đang xem xét'; audit case.assign.</t>
        </is>
      </c>
      <c r="M218" s="15" t="inlineStr"/>
      <c r="N218" s="18" t="inlineStr">
        <is>
          <t>Chưa test</t>
        </is>
      </c>
      <c r="O218" s="15" t="inlineStr"/>
      <c r="P218" s="15" t="inlineStr"/>
      <c r="Q218" s="18" t="inlineStr">
        <is>
          <t>Chưa test</t>
        </is>
      </c>
      <c r="R218" s="15" t="inlineStr"/>
    </row>
    <row r="219" ht="30" customHeight="1">
      <c r="A219" s="14" t="inlineStr">
        <is>
          <t>TC-ADM-218</t>
        </is>
      </c>
      <c r="B219" s="15" t="inlineStr">
        <is>
          <t>Admin Console (đợt 1)</t>
        </is>
      </c>
      <c r="C219" s="15" t="inlineStr">
        <is>
          <t>Kiểm duyệt: Hàng đợi báo cáo</t>
        </is>
      </c>
      <c r="D219" s="15" t="inlineStr">
        <is>
          <t>GET /admin/moderation/assignees chỉ gồm Platform Admin và người đang được giao</t>
        </is>
      </c>
      <c r="E219" s="15" t="inlineStr">
        <is>
          <t>Chức năng</t>
        </is>
      </c>
      <c r="F219" s="20" t="inlineStr">
        <is>
          <t>Trung bình</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19" s="15" t="inlineStr">
        <is>
          <t>1. GET /api/admin/moderation/assignees</t>
        </is>
      </c>
      <c r="K219" s="15" t="inlineStr">
        <is>
          <t>-</t>
        </is>
      </c>
      <c r="L219" s="15" t="inlineStr">
        <is>
          <t>200 danh sách {id,name,email,canBeAssigned}: gồm Platform Admin, John Carter, Mia Lopez (đang có case được giao); canBeAssigned=true chỉ với Platform Admin (john/mia không có quyền admin).</t>
        </is>
      </c>
      <c r="M219" s="15" t="inlineStr"/>
      <c r="N219" s="18" t="inlineStr">
        <is>
          <t>Chưa test</t>
        </is>
      </c>
      <c r="O219" s="15" t="inlineStr"/>
      <c r="P219" s="15" t="inlineStr"/>
      <c r="Q219" s="18" t="inlineStr">
        <is>
          <t>Chưa test</t>
        </is>
      </c>
      <c r="R219" s="15" t="inlineStr"/>
    </row>
    <row r="220" ht="30" customHeight="1">
      <c r="A220" s="14" t="inlineStr">
        <is>
          <t>TC-ADM-219</t>
        </is>
      </c>
      <c r="B220" s="15" t="inlineStr">
        <is>
          <t>Admin Console (đợt 1)</t>
        </is>
      </c>
      <c r="C220" s="15" t="inlineStr">
        <is>
          <t>Kiểm duyệt: Hàng đợi báo cáo</t>
        </is>
      </c>
      <c r="D220" s="15" t="inlineStr">
        <is>
          <t>Trạng thái rỗng khi không còn báo cáo mở</t>
        </is>
      </c>
      <c r="E220" s="15" t="inlineStr">
        <is>
          <t>Giao diện</t>
        </is>
      </c>
      <c r="F220" s="17" t="inlineStr">
        <is>
          <t>Thấp</t>
        </is>
      </c>
      <c r="G220" s="17" t="inlineStr">
        <is>
          <t>Đã hoàn thiện</t>
        </is>
      </c>
      <c r="H220" s="20" t="inlineStr">
        <is>
          <t>Một phần</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20" s="15" t="inlineStr">
        <is>
          <t>1. Mở /admin/moderation tab 'Mở'</t>
        </is>
      </c>
      <c r="K220" s="15" t="inlineStr">
        <is>
          <t>-</t>
        </is>
      </c>
      <c r="L220" s="15" t="inlineStr">
        <is>
          <t>Hiện 'Không có báo cáo nào đang chờ xử lý.'; KPI 'Báo cáo mở' = 0.</t>
        </is>
      </c>
      <c r="M220" s="15" t="inlineStr"/>
      <c r="N220" s="18" t="inlineStr">
        <is>
          <t>Chưa test</t>
        </is>
      </c>
      <c r="O220" s="15" t="inlineStr"/>
      <c r="P220" s="15" t="inlineStr"/>
      <c r="Q220" s="18" t="inlineStr">
        <is>
          <t>Chưa test</t>
        </is>
      </c>
      <c r="R220" s="15" t="inlineStr"/>
    </row>
    <row r="221" ht="30" customHeight="1">
      <c r="A221" s="14" t="inlineStr">
        <is>
          <t>TC-ADM-220</t>
        </is>
      </c>
      <c r="B221" s="15" t="inlineStr">
        <is>
          <t>Admin Console (đợt 1)</t>
        </is>
      </c>
      <c r="C221" s="15" t="inlineStr">
        <is>
          <t>Kiểm duyệt: Hàng đợi báo cáo</t>
        </is>
      </c>
      <c r="D221" s="15" t="inlineStr">
        <is>
          <t>Bấm dòng mở trang chi tiết vụ việc</t>
        </is>
      </c>
      <c r="E221" s="15" t="inlineStr">
        <is>
          <t>Chức năng</t>
        </is>
      </c>
      <c r="F221" s="20" t="inlineStr">
        <is>
          <t>Trung bình</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21" s="15" t="inlineStr">
        <is>
          <t>1. Bấm dòng #9</t>
        </is>
      </c>
      <c r="K221" s="15" t="inlineStr">
        <is>
          <t>#9</t>
        </is>
      </c>
      <c r="L221" s="15" t="inlineStr">
        <is>
          <t>Chuyển /admin/moderation/cases/&lt;id&gt; hiển thị 'Báo cáo CASE-0000x'.</t>
        </is>
      </c>
      <c r="M221" s="15" t="inlineStr"/>
      <c r="N221" s="18" t="inlineStr">
        <is>
          <t>Chưa test</t>
        </is>
      </c>
      <c r="O221" s="15" t="inlineStr"/>
      <c r="P221" s="15" t="inlineStr"/>
      <c r="Q221" s="18" t="inlineStr">
        <is>
          <t>Chưa test</t>
        </is>
      </c>
      <c r="R221" s="15" t="inlineStr"/>
    </row>
    <row r="222" ht="30" customHeight="1">
      <c r="A222" s="14" t="inlineStr">
        <is>
          <t>TC-ADM-221</t>
        </is>
      </c>
      <c r="B222" s="15" t="inlineStr">
        <is>
          <t>Admin Console (đợt 1)</t>
        </is>
      </c>
      <c r="C222" s="15" t="inlineStr">
        <is>
          <t>Kiểm duyệt: Chi tiết &amp; Xử lý vụ việc</t>
        </is>
      </c>
      <c r="D222" s="15" t="inlineStr">
        <is>
          <t>Trang chi tiết vụ việc: tiêu đề, nội dung bị báo cáo, thông tin báo cáo, rủi ro người dùng</t>
        </is>
      </c>
      <c r="E222" s="15" t="inlineStr">
        <is>
          <t>Giao diện</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22" s="15" t="inlineStr">
        <is>
          <t>1. Mở vụ việc #9 từ hàng đợi</t>
        </is>
      </c>
      <c r="K222" s="15" t="inlineStr">
        <is>
          <t>#9 (bình luận của olivia, hate_speech, critical)</t>
        </is>
      </c>
      <c r="L222"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22" s="15" t="inlineStr"/>
      <c r="N222" s="18" t="inlineStr">
        <is>
          <t>Chưa test</t>
        </is>
      </c>
      <c r="O222" s="15" t="inlineStr"/>
      <c r="P222" s="15" t="inlineStr"/>
      <c r="Q222" s="18" t="inlineStr">
        <is>
          <t>Chưa test</t>
        </is>
      </c>
      <c r="R222" s="15" t="inlineStr"/>
    </row>
    <row r="223" ht="30" customHeight="1">
      <c r="A223" s="14" t="inlineStr">
        <is>
          <t>TC-ADM-222</t>
        </is>
      </c>
      <c r="B223" s="15" t="inlineStr">
        <is>
          <t>Admin Console (đợt 1)</t>
        </is>
      </c>
      <c r="C223" s="15" t="inlineStr">
        <is>
          <t>Kiểm duyệt: Chi tiết &amp; Xử lý vụ việc</t>
        </is>
      </c>
      <c r="D223" s="15" t="inlineStr">
        <is>
          <t>GET /admin/moderation/cases/:id trả đủ cấu trúc chi tiết</t>
        </is>
      </c>
      <c r="E223" s="15" t="inlineStr">
        <is>
          <t>Chức năng</t>
        </is>
      </c>
      <c r="F223" s="16" t="inlineStr">
        <is>
          <t>Cao</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23" s="15" t="inlineStr">
        <is>
          <t>1. Lấy id của seed-admin-report-3
2. GET /api/admin/moderation/cases/&lt;id&gt;</t>
        </is>
      </c>
      <c r="K223" s="15" t="inlineStr">
        <is>
          <t>#3</t>
        </is>
      </c>
      <c r="L223"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23" s="15" t="inlineStr"/>
      <c r="N223" s="18" t="inlineStr">
        <is>
          <t>Chưa test</t>
        </is>
      </c>
      <c r="O223" s="15" t="inlineStr"/>
      <c r="P223" s="15" t="inlineStr"/>
      <c r="Q223" s="18" t="inlineStr">
        <is>
          <t>Chưa test</t>
        </is>
      </c>
      <c r="R223" s="15" t="inlineStr"/>
    </row>
    <row r="224" ht="30" customHeight="1">
      <c r="A224" s="14" t="inlineStr">
        <is>
          <t>TC-ADM-223</t>
        </is>
      </c>
      <c r="B224" s="15" t="inlineStr">
        <is>
          <t>Admin Console (đợt 1)</t>
        </is>
      </c>
      <c r="C224" s="15" t="inlineStr">
        <is>
          <t>Kiểm duyệt: Chi tiết &amp; Xử lý vụ việc</t>
        </is>
      </c>
      <c r="D224" s="15" t="inlineStr">
        <is>
          <t>Chi tiết vụ việc không tồn tại trả 404</t>
        </is>
      </c>
      <c r="E224" s="15" t="inlineStr">
        <is>
          <t>Chức năng</t>
        </is>
      </c>
      <c r="F224" s="17" t="inlineStr">
        <is>
          <t>Thấp</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24" s="15" t="inlineStr">
        <is>
          <t>1. GET /api/admin/moderation/cases/khong-ton-tai</t>
        </is>
      </c>
      <c r="K224" s="15" t="inlineStr">
        <is>
          <t>-</t>
        </is>
      </c>
      <c r="L224" s="15" t="inlineStr">
        <is>
          <t>404 NOT_FOUND 'Không tìm thấy báo cáo'; UI /admin/moderation/cases/khong-ton-tai hiện khối lỗi tiếng Việt.</t>
        </is>
      </c>
      <c r="M224" s="15" t="inlineStr"/>
      <c r="N224" s="18" t="inlineStr">
        <is>
          <t>Chưa test</t>
        </is>
      </c>
      <c r="O224" s="15" t="inlineStr"/>
      <c r="P224" s="15" t="inlineStr"/>
      <c r="Q224" s="18" t="inlineStr">
        <is>
          <t>Chưa test</t>
        </is>
      </c>
      <c r="R224" s="15" t="inlineStr"/>
    </row>
    <row r="225" ht="30" customHeight="1">
      <c r="A225" s="14" t="inlineStr">
        <is>
          <t>TC-ADM-224</t>
        </is>
      </c>
      <c r="B225" s="15" t="inlineStr">
        <is>
          <t>Admin Console (đợt 1)</t>
        </is>
      </c>
      <c r="C225" s="15" t="inlineStr">
        <is>
          <t>Kiểm duyệt: Chi tiết &amp; Xử lý vụ việc</t>
        </is>
      </c>
      <c r="D225" s="15" t="inlineStr">
        <is>
          <t>Vụ việc đã đóng: các nút quyết định bị vô hiệu</t>
        </is>
      </c>
      <c r="E225" s="15" t="inlineStr">
        <is>
          <t>Chức năng</t>
        </is>
      </c>
      <c r="F225" s="20" t="inlineStr">
        <is>
          <t>Trung bình</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25" s="15" t="inlineStr">
        <is>
          <t>1. Mở vụ việc #12 (Đã xử lý)
2. Quan sát khối 'Quyết định'</t>
        </is>
      </c>
      <c r="K225" s="15" t="inlineStr">
        <is>
          <t>#12</t>
        </is>
      </c>
      <c r="L225" s="15" t="inlineStr">
        <is>
          <t>Các nút 'Không vi phạm', 'Cảnh cáo', 'Hạn chế', 'Tạm ngưng', 'Cấm' ở trạng thái disabled; lịch sử hiển thị 'đã đóng vụ việc' của Mia Lopez.</t>
        </is>
      </c>
      <c r="M225" s="15" t="inlineStr"/>
      <c r="N225" s="18" t="inlineStr">
        <is>
          <t>Chưa test</t>
        </is>
      </c>
      <c r="O225" s="15" t="inlineStr"/>
      <c r="P225" s="15" t="inlineStr"/>
      <c r="Q225" s="18" t="inlineStr">
        <is>
          <t>Chưa test</t>
        </is>
      </c>
      <c r="R225" s="15" t="inlineStr"/>
    </row>
    <row r="226" ht="30" customHeight="1">
      <c r="A226" s="14" t="inlineStr">
        <is>
          <t>TC-ADM-225</t>
        </is>
      </c>
      <c r="B226" s="15" t="inlineStr">
        <is>
          <t>Admin Console (đợt 1)</t>
        </is>
      </c>
      <c r="C226" s="15" t="inlineStr">
        <is>
          <t>Kiểm duyệt: Chi tiết &amp; Xử lý vụ việc</t>
        </is>
      </c>
      <c r="D226" s="15" t="inlineStr">
        <is>
          <t>Vụ việc kiểu 'Thành viên' không có hành động Gỡ nội dung</t>
        </is>
      </c>
      <c r="E226" s="15" t="inlineStr">
        <is>
          <t>Chức năng</t>
        </is>
      </c>
      <c r="F226" s="20" t="inlineStr">
        <is>
          <t>Trung bình</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26" s="15" t="inlineStr">
        <is>
          <t>1. Mở vụ việc #10 (báo cáo thành viên sophia)
2. Quan sát nút trong 'Quyết định' và menu hàng đợi</t>
        </is>
      </c>
      <c r="K226" s="15" t="inlineStr">
        <is>
          <t>#10</t>
        </is>
      </c>
      <c r="L226" s="15" t="inlineStr">
        <is>
          <t>Không có 'Gỡ nội dung'; khối 'Nội dung bị báo cáo' mô tả thành viên bị báo cáo.</t>
        </is>
      </c>
      <c r="M226" s="15" t="inlineStr"/>
      <c r="N226" s="18" t="inlineStr">
        <is>
          <t>Chưa test</t>
        </is>
      </c>
      <c r="O226" s="15" t="inlineStr"/>
      <c r="P226" s="15" t="inlineStr"/>
      <c r="Q226" s="18" t="inlineStr">
        <is>
          <t>Chưa test</t>
        </is>
      </c>
      <c r="R226" s="15" t="inlineStr"/>
    </row>
    <row r="227" ht="60" customHeight="1">
      <c r="A227" s="14" t="inlineStr">
        <is>
          <t>TC-ADM-226</t>
        </is>
      </c>
      <c r="B227" s="15" t="inlineStr">
        <is>
          <t>Admin Console (đợt 1)</t>
        </is>
      </c>
      <c r="C227" s="15" t="inlineStr">
        <is>
          <t>Kiểm duyệt: Chi tiết &amp; Xử lý vụ việc</t>
        </is>
      </c>
      <c r="D227" s="15" t="inlineStr">
        <is>
          <t>Assign: nhận xử lý (open -&gt; under_review) và bỏ gán</t>
        </is>
      </c>
      <c r="E227" s="15" t="inlineStr">
        <is>
          <t>Chức năng</t>
        </is>
      </c>
      <c r="F227" s="16" t="inlineStr">
        <is>
          <t>Cao</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/api/admin/moderation/cases/&lt;#8&gt;/assign {}
2. GET chi tiết #8
3. POST .../assign {"adminId":null}
4. POST .../assign {"adminId":"&lt;id member1&gt;"}</t>
        </is>
      </c>
      <c r="K227" s="15" t="inlineStr">
        <is>
          <t>#8</t>
        </is>
      </c>
      <c r="L227" s="15" t="inlineStr">
        <is>
          <t>Lệnh 1: 200 status=under_review, assignee = Platform Admin, history thêm 'đã nhận xử lý vụ việc'; lệnh 3: assignee=null; lệnh 4: 400 'Chỉ giao được cho thành viên đội admin'; audit case.assign cho lệnh 1.</t>
        </is>
      </c>
      <c r="M227" s="15" t="inlineStr"/>
      <c r="N227" s="18" t="inlineStr">
        <is>
          <t>Chưa test</t>
        </is>
      </c>
      <c r="O227" s="15" t="inlineStr"/>
      <c r="P227" s="15" t="inlineStr"/>
      <c r="Q227" s="18" t="inlineStr">
        <is>
          <t>Chưa test</t>
        </is>
      </c>
      <c r="R227" s="15" t="inlineStr"/>
    </row>
    <row r="228" ht="45" customHeight="1">
      <c r="A228" s="14" t="inlineStr">
        <is>
          <t>TC-ADM-227</t>
        </is>
      </c>
      <c r="B228" s="15" t="inlineStr">
        <is>
          <t>Admin Console (đợt 1)</t>
        </is>
      </c>
      <c r="C228" s="15" t="inlineStr">
        <is>
          <t>Kiểm duyệt: Chi tiết &amp; Xử lý vụ việc</t>
        </is>
      </c>
      <c r="D228" s="15" t="inlineStr">
        <is>
          <t>Cảnh cáo qua vụ việc: gửi thông báo, đóng vụ việc (resolved, action warn_user)</t>
        </is>
      </c>
      <c r="E228" s="15" t="inlineStr">
        <is>
          <t>Chức năng</t>
        </is>
      </c>
      <c r="F228" s="16" t="inlineStr">
        <is>
          <t>Cao</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8" s="15" t="inlineStr">
        <is>
          <t>1. Mở vụ việc #6 (bình luận của noah)
2. Bấm 'Cảnh cáo' &gt; nhập Tin nhắn 'Vui lòng giữ thái độ văn minh', xác nhận
3. Đăng nhập noah@sofinhub.test xem thông báo</t>
        </is>
      </c>
      <c r="K228" s="15" t="inlineStr">
        <is>
          <t>#6, noah</t>
        </is>
      </c>
      <c r="L228" s="15" t="inlineStr">
        <is>
          <t>Toast 'Đã gửi cảnh cáo · Noah Williams'; vụ việc 'Đã xử lý'; lịch sử có 'đã cảnh cáo người dùng'; noah có thông báo mới; ở /admin/moderation/warnings có dòng với mã vụ việc.</t>
        </is>
      </c>
      <c r="M228" s="15" t="inlineStr"/>
      <c r="N228" s="18" t="inlineStr">
        <is>
          <t>Chưa test</t>
        </is>
      </c>
      <c r="O228" s="15" t="inlineStr"/>
      <c r="P228" s="15" t="inlineStr"/>
      <c r="Q228" s="18" t="inlineStr">
        <is>
          <t>Chưa test</t>
        </is>
      </c>
      <c r="R228" s="15" t="inlineStr"/>
    </row>
    <row r="229" ht="60" customHeight="1">
      <c r="A229" s="14" t="inlineStr">
        <is>
          <t>TC-ADM-228</t>
        </is>
      </c>
      <c r="B229" s="15" t="inlineStr">
        <is>
          <t>Admin Console (đợt 1)</t>
        </is>
      </c>
      <c r="C229" s="15" t="inlineStr">
        <is>
          <t>Kiểm duyệt: Chi tiết &amp; Xử lý vụ việc</t>
        </is>
      </c>
      <c r="D229" s="15" t="inlineStr">
        <is>
          <t>POST case warn: closeCase=false giữ under_review; thiếu message trả 400</t>
        </is>
      </c>
      <c r="E229" s="15" t="inlineStr">
        <is>
          <t>Chức năng</t>
        </is>
      </c>
      <c r="F229" s="20" t="inlineStr">
        <is>
          <t>Trung bình</t>
        </is>
      </c>
      <c r="G229" s="17" t="inlineStr">
        <is>
          <t>Đã hoàn thiện</t>
        </is>
      </c>
      <c r="H229" s="17" t="inlineStr">
        <is>
          <t>Có</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/api/admin/moderation/cases/&lt;#6&gt;/warn {}
2. POST ... {"message":"Cảnh cáo lần 1","closeCase":false}
3. GET chi tiết #6
4. POST ... {"message":"Cảnh cáo lần 2"}</t>
        </is>
      </c>
      <c r="K229" s="15" t="inlineStr">
        <is>
          <t>#6</t>
        </is>
      </c>
      <c r="L229" s="15" t="inlineStr">
        <is>
          <t>Lệnh 1: 400; lệnh 2: 200 status=under_review (chưa đóng); lệnh 4: 200 status=resolved action=warn_user; lịch sử có 2 sự kiện warn; audit case.warn x2.</t>
        </is>
      </c>
      <c r="M229" s="15" t="inlineStr"/>
      <c r="N229" s="18" t="inlineStr">
        <is>
          <t>Chưa test</t>
        </is>
      </c>
      <c r="O229" s="15" t="inlineStr"/>
      <c r="P229" s="15" t="inlineStr"/>
      <c r="Q229" s="18" t="inlineStr">
        <is>
          <t>Chưa test</t>
        </is>
      </c>
      <c r="R229" s="15" t="inlineStr"/>
    </row>
    <row r="230" ht="75" customHeight="1">
      <c r="A230" s="14" t="inlineStr">
        <is>
          <t>TC-ADM-229</t>
        </is>
      </c>
      <c r="B230" s="15" t="inlineStr">
        <is>
          <t>Admin Console (đợt 1)</t>
        </is>
      </c>
      <c r="C230" s="15" t="inlineStr">
        <is>
          <t>Kiểm duyệt: Chi tiết &amp; Xử lý vụ việc</t>
        </is>
      </c>
      <c r="D230" s="15" t="inlineStr">
        <is>
          <t>Gỡ nội dung (bài viết): ẩn bài, thông báo tác giả, đóng vụ việc</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30"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30" s="15" t="inlineStr">
        <is>
          <t>#5, seed-admin-post-2</t>
        </is>
      </c>
      <c r="L230" s="15" t="inlineStr">
        <is>
          <t>Toast 'Đã gỡ nội dung'; vụ việc 'Đã xử lý'; bài post-2 bị ẩn (hidden=true) - member thường không còn thấy và GET bài trả 404; /admin/moderation/removals có dòng 'Đã gỡ nội dung'; audit case.remove_content.</t>
        </is>
      </c>
      <c r="M230" s="15" t="inlineStr"/>
      <c r="N230" s="18" t="inlineStr">
        <is>
          <t>Chưa test</t>
        </is>
      </c>
      <c r="O230" s="15" t="inlineStr"/>
      <c r="P230" s="15" t="inlineStr"/>
      <c r="Q230" s="18" t="inlineStr">
        <is>
          <t>Chưa test</t>
        </is>
      </c>
      <c r="R230" s="15" t="inlineStr"/>
    </row>
    <row r="231" ht="45" customHeight="1">
      <c r="A231" s="14" t="inlineStr">
        <is>
          <t>TC-ADM-230</t>
        </is>
      </c>
      <c r="B231" s="15" t="inlineStr">
        <is>
          <t>Admin Console (đợt 1)</t>
        </is>
      </c>
      <c r="C231" s="15" t="inlineStr">
        <is>
          <t>Kiểm duyệt: Chi tiết &amp; Xử lý vụ việc</t>
        </is>
      </c>
      <c r="D231" s="15" t="inlineStr">
        <is>
          <t>POST remove-content: bình luận, closeCase=false, vụ việc kiểu member trả 400</t>
        </is>
      </c>
      <c r="E231" s="15" t="inlineStr">
        <is>
          <t>Chức năng</t>
        </is>
      </c>
      <c r="F231" s="16" t="inlineStr">
        <is>
          <t>Cao</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1" s="15" t="inlineStr">
        <is>
          <t>1. POST /api/admin/moderation/cases/&lt;#9&gt;/remove-content {"reason":"Ngôn từ thù ghét","closeCase":false}
2. POST .../&lt;#10&gt;/remove-content {"reason":"x"}
3. POST .../&lt;#9&gt;/remove-content {}</t>
        </is>
      </c>
      <c r="K231" s="15" t="inlineStr">
        <is>
          <t>#9, #10</t>
        </is>
      </c>
      <c r="L231" s="15" t="inlineStr">
        <is>
          <t>Lệnh 1: 200, bình luận seed-admin-cmt-3 ẩn, vụ việc vẫn under_review; lệnh 2: 400 'Chỉ gỡ được bài viết hoặc bình luận'; lệnh 3: 400 (thiếu reason).</t>
        </is>
      </c>
      <c r="M231" s="15" t="inlineStr"/>
      <c r="N231" s="18" t="inlineStr">
        <is>
          <t>Chưa test</t>
        </is>
      </c>
      <c r="O231" s="15" t="inlineStr"/>
      <c r="P231" s="15" t="inlineStr"/>
      <c r="Q231" s="18" t="inlineStr">
        <is>
          <t>Chưa test</t>
        </is>
      </c>
      <c r="R231" s="15" t="inlineStr"/>
    </row>
    <row r="232" ht="30" customHeight="1">
      <c r="A232" s="14" t="inlineStr">
        <is>
          <t>TC-ADM-231</t>
        </is>
      </c>
      <c r="B232" s="15" t="inlineStr">
        <is>
          <t>Admin Console (đợt 1)</t>
        </is>
      </c>
      <c r="C232" s="15" t="inlineStr">
        <is>
          <t>Kiểm duyệt: Chi tiết &amp; Xử lý vụ việc</t>
        </is>
      </c>
      <c r="D232" s="15" t="inlineStr">
        <is>
          <t>Hạn chế người dùng qua vụ việc (restrict-user)</t>
        </is>
      </c>
      <c r="E232" s="15" t="inlineStr">
        <is>
          <t>Chức năng</t>
        </is>
      </c>
      <c r="F232" s="20" t="inlineStr">
        <is>
          <t>Trung bình</t>
        </is>
      </c>
      <c r="G232" s="17" t="inlineStr">
        <is>
          <t>Đã hoàn thiện</t>
        </is>
      </c>
      <c r="H232" s="17" t="inlineStr">
        <is>
          <t>Có</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POST /api/admin/moderation/cases/&lt;#6&gt;/restrict-user {"reason":"Quấy rối","restrictions":["comment"],"duration":"7d"}
2. GET /api/admin/users/&lt;noah&gt;</t>
        </is>
      </c>
      <c r="K232" s="15" t="inlineStr">
        <is>
          <t>#6 -&gt; noah</t>
        </is>
      </c>
      <c r="L232" s="15" t="inlineStr">
        <is>
          <t>200; noah status=restricted, restrictions ['comment'], hạn +7 ngày; lịch sử 'đã hạn chế người dùng'; audit case.restrict_user.</t>
        </is>
      </c>
      <c r="M232" s="15" t="inlineStr"/>
      <c r="N232" s="18" t="inlineStr">
        <is>
          <t>Chưa test</t>
        </is>
      </c>
      <c r="O232" s="15" t="inlineStr"/>
      <c r="P232" s="15" t="inlineStr"/>
      <c r="Q232" s="18" t="inlineStr">
        <is>
          <t>Chưa test</t>
        </is>
      </c>
      <c r="R232" s="15" t="inlineStr"/>
    </row>
    <row r="233" ht="45" customHeight="1">
      <c r="A233" s="14" t="inlineStr">
        <is>
          <t>TC-ADM-232</t>
        </is>
      </c>
      <c r="B233" s="15" t="inlineStr">
        <is>
          <t>Admin Console (đợt 1)</t>
        </is>
      </c>
      <c r="C233" s="15" t="inlineStr">
        <is>
          <t>Kiểm duyệt: Chi tiết &amp; Xử lý vụ việc</t>
        </is>
      </c>
      <c r="D233" s="15" t="inlineStr">
        <is>
          <t>Tạm ngưng người dùng qua vụ việc (suspend-user)</t>
        </is>
      </c>
      <c r="E233" s="15" t="inlineStr">
        <is>
          <t>Chức năng</t>
        </is>
      </c>
      <c r="F233" s="16" t="inlineStr">
        <is>
          <t>Cao</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33" s="15" t="inlineStr">
        <is>
          <t>1. Mở vụ việc #8 (ethan, đang restricted) -&gt; bấm 'Tạm ngưng'
2. Chọn thời hạn '30 ngày', lý do 'Lừa đảo', xác nhận
3. Thử với #5 (lucas đã suspended sẵn)</t>
        </is>
      </c>
      <c r="K233" s="15" t="inlineStr">
        <is>
          <t>#8 -&gt; ethan; #5 -&gt; lucas</t>
        </is>
      </c>
      <c r="L233"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33" s="15" t="inlineStr"/>
      <c r="N233" s="18" t="inlineStr">
        <is>
          <t>Chưa test</t>
        </is>
      </c>
      <c r="O233" s="15" t="inlineStr"/>
      <c r="P233" s="15" t="inlineStr"/>
      <c r="Q233" s="18" t="inlineStr">
        <is>
          <t>Chưa test</t>
        </is>
      </c>
      <c r="R233" s="15" t="inlineStr"/>
    </row>
    <row r="234" ht="30" customHeight="1">
      <c r="A234" s="14" t="inlineStr">
        <is>
          <t>TC-ADM-233</t>
        </is>
      </c>
      <c r="B234" s="15" t="inlineStr">
        <is>
          <t>Admin Console (đợt 1)</t>
        </is>
      </c>
      <c r="C234" s="15" t="inlineStr">
        <is>
          <t>Kiểm duyệt: Chi tiết &amp; Xử lý vụ việc</t>
        </is>
      </c>
      <c r="D234" s="15" t="inlineStr">
        <is>
          <t>Cấm người dùng qua vụ việc (ban-user)</t>
        </is>
      </c>
      <c r="E234" s="15" t="inlineStr">
        <is>
          <t>Chức năng</t>
        </is>
      </c>
      <c r="F234" s="16" t="inlineStr">
        <is>
          <t>Cao</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4" s="15" t="inlineStr">
        <is>
          <t>1. POST /api/admin/moderation/cases/&lt;#8&gt;/ban-user {"reason":"Lừa đảo","evidence":"link"}
2. POST .../&lt;#10&gt;/ban-user {"reason":"x"}</t>
        </is>
      </c>
      <c r="K234" s="15" t="inlineStr">
        <is>
          <t>#8 -&gt; ethan; #10 -&gt; sophia</t>
        </is>
      </c>
      <c r="L234" s="15" t="inlineStr">
        <is>
          <t>Lệnh 1: 200 ethan status=banned, audit case.ban_user có evidence; lệnh 2: 409 'Tài khoản đã bị cấm' (sophia đã banned sẵn).</t>
        </is>
      </c>
      <c r="M234" s="15" t="inlineStr"/>
      <c r="N234" s="18" t="inlineStr">
        <is>
          <t>Chưa test</t>
        </is>
      </c>
      <c r="O234" s="15" t="inlineStr"/>
      <c r="P234" s="15" t="inlineStr"/>
      <c r="Q234" s="18" t="inlineStr">
        <is>
          <t>Chưa test</t>
        </is>
      </c>
      <c r="R234" s="15" t="inlineStr"/>
    </row>
    <row r="235" ht="45" customHeight="1">
      <c r="A235" s="14" t="inlineStr">
        <is>
          <t>TC-ADM-234</t>
        </is>
      </c>
      <c r="B235" s="15" t="inlineStr">
        <is>
          <t>Admin Console (đợt 1)</t>
        </is>
      </c>
      <c r="C235" s="15" t="inlineStr">
        <is>
          <t>Kiểm duyệt: Chi tiết &amp; Xử lý vụ việc</t>
        </is>
      </c>
      <c r="D235" s="15" t="inlineStr">
        <is>
          <t>Dismiss (Không vi phạm): đóng vụ việc status=dismissed</t>
        </is>
      </c>
      <c r="E235" s="15" t="inlineStr">
        <is>
          <t>Chức năng</t>
        </is>
      </c>
      <c r="F235" s="16" t="inlineStr">
        <is>
          <t>Cao</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35" s="15" t="inlineStr">
        <is>
          <t>1. Mở vụ việc #8
2. Bấm 'Không vi phạm'
3. Hộp thoại 'Bỏ qua CASE-0000x?' nhập ghi chú, xác nhận</t>
        </is>
      </c>
      <c r="K235" s="15" t="inlineStr">
        <is>
          <t>#8</t>
        </is>
      </c>
      <c r="L235" s="15" t="inlineStr">
        <is>
          <t>Trạng thái 'Bỏ qua'; lịch sử 'đã đóng vụ việc (không vi phạm)'; chuyển sang tab 'Đã xử lý'; audit case.dismiss; không có hình phạt nào áp lên ethan.</t>
        </is>
      </c>
      <c r="M235" s="15" t="inlineStr"/>
      <c r="N235" s="18" t="inlineStr">
        <is>
          <t>Chưa test</t>
        </is>
      </c>
      <c r="O235" s="15" t="inlineStr"/>
      <c r="P235" s="15" t="inlineStr"/>
      <c r="Q235" s="18" t="inlineStr">
        <is>
          <t>Chưa test</t>
        </is>
      </c>
      <c r="R235" s="15" t="inlineStr"/>
    </row>
    <row r="236" ht="45" customHeight="1">
      <c r="A236" s="14" t="inlineStr">
        <is>
          <t>TC-ADM-235</t>
        </is>
      </c>
      <c r="B236" s="15" t="inlineStr">
        <is>
          <t>Admin Console (đợt 1)</t>
        </is>
      </c>
      <c r="C236" s="15" t="inlineStr">
        <is>
          <t>Kiểm duyệt: Chi tiết &amp; Xử lý vụ việc</t>
        </is>
      </c>
      <c r="D236" s="15" t="inlineStr">
        <is>
          <t>Escalate nâng rủi ro một bậc, đưa về Đang xem xét; critical không tăng thêm</t>
        </is>
      </c>
      <c r="E236" s="15" t="inlineStr">
        <is>
          <t>Chức năng</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6" s="15" t="inlineStr">
        <is>
          <t>1. POST /api/admin/moderation/cases/&lt;#6&gt;/escalate {}
2. GET chi tiết #6
3. POST .../&lt;#9&gt;/escalate {}</t>
        </is>
      </c>
      <c r="K236" s="15" t="inlineStr">
        <is>
          <t>#6 (low), #9 (critical)</t>
        </is>
      </c>
      <c r="L236" s="15" t="inlineStr">
        <is>
          <t>#6: risk low -&gt; medium, status=under_review, audit case.escalate, lịch sử 'đã nâng mức rủi ro'; #9: vẫn critical (không vượt trần).</t>
        </is>
      </c>
      <c r="M236" s="15" t="inlineStr"/>
      <c r="N236" s="18" t="inlineStr">
        <is>
          <t>Chưa test</t>
        </is>
      </c>
      <c r="O236" s="15" t="inlineStr"/>
      <c r="P236" s="15" t="inlineStr"/>
      <c r="Q236" s="18" t="inlineStr">
        <is>
          <t>Chưa test</t>
        </is>
      </c>
      <c r="R236" s="15" t="inlineStr"/>
    </row>
    <row r="237" ht="30" customHeight="1">
      <c r="A237" s="14" t="inlineStr">
        <is>
          <t>TC-ADM-236</t>
        </is>
      </c>
      <c r="B237" s="15" t="inlineStr">
        <is>
          <t>Admin Console (đợt 1)</t>
        </is>
      </c>
      <c r="C237" s="15" t="inlineStr">
        <is>
          <t>Kiểm duyệt: Chi tiết &amp; Xử lý vụ việc</t>
        </is>
      </c>
      <c r="D237" s="15" t="inlineStr">
        <is>
          <t>Resolve đóng vụ việc không kèm hành động (action none)</t>
        </is>
      </c>
      <c r="E237" s="15" t="inlineStr">
        <is>
          <t>Chức năng</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7" s="15" t="inlineStr">
        <is>
          <t>1. POST /api/admin/moderation/cases/&lt;#4&gt;/resolve {"note":"Đã nhắc nhở ngoài hệ thống"}</t>
        </is>
      </c>
      <c r="K237" s="15" t="inlineStr">
        <is>
          <t>#4</t>
        </is>
      </c>
      <c r="L237" s="15" t="inlineStr">
        <is>
          <t>200 status=resolved, action=none, note lưu; audit case.resolve.</t>
        </is>
      </c>
      <c r="M237" s="15" t="inlineStr"/>
      <c r="N237" s="18" t="inlineStr">
        <is>
          <t>Chưa test</t>
        </is>
      </c>
      <c r="O237" s="15" t="inlineStr"/>
      <c r="P237" s="15" t="inlineStr"/>
      <c r="Q237" s="18" t="inlineStr">
        <is>
          <t>Chưa test</t>
        </is>
      </c>
      <c r="R237" s="15" t="inlineStr"/>
    </row>
    <row r="238" ht="45" customHeight="1">
      <c r="A238" s="14" t="inlineStr">
        <is>
          <t>TC-ADM-237</t>
        </is>
      </c>
      <c r="B238" s="15" t="inlineStr">
        <is>
          <t>Admin Console (đợt 1)</t>
        </is>
      </c>
      <c r="C238" s="15" t="inlineStr">
        <is>
          <t>Kiểm duyệt: Chi tiết &amp; Xử lý vụ việc</t>
        </is>
      </c>
      <c r="D238" s="15" t="inlineStr">
        <is>
          <t>Đóng một vụ việc thì đóng luôn các báo cáo trùng đang mở và báo tin cho người báo cáo</t>
        </is>
      </c>
      <c r="E238" s="15" t="inlineStr">
        <is>
          <t>Chức năng</t>
        </is>
      </c>
      <c r="F238" s="16" t="inlineStr">
        <is>
          <t>Cao</t>
        </is>
      </c>
      <c r="G238" s="17" t="inlineStr">
        <is>
          <t>Đã hoàn thiện</t>
        </is>
      </c>
      <c r="H238" s="20" t="inlineStr">
        <is>
          <t>Một phần</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8" s="15" t="inlineStr">
        <is>
          <t>1. POST /api/admin/moderation/cases/&lt;#3&gt;/resolve {}
2. GET /api/admin/moderation/cases?status=open&amp;includeDuplicates=true (tìm #1, #2)
3. Đăng nhập sarah / alex xem thông báo</t>
        </is>
      </c>
      <c r="K238" s="15" t="inlineStr">
        <is>
          <t>#3 (đại diện của #1,#2,#3)</t>
        </is>
      </c>
      <c r="L238" s="15" t="inlineStr">
        <is>
          <t>Cả #1, #2, #3 đều resolved cùng kết quả; không còn dòng nào của post-1 ở tab Mở; người báo cáo (sarah, alex) nhận thông báo vụ việc đã được xử lý.</t>
        </is>
      </c>
      <c r="M238" s="15" t="inlineStr"/>
      <c r="N238" s="18" t="inlineStr">
        <is>
          <t>Chưa test</t>
        </is>
      </c>
      <c r="O238" s="15" t="inlineStr"/>
      <c r="P238" s="15" t="inlineStr"/>
      <c r="Q238" s="18" t="inlineStr">
        <is>
          <t>Chưa test</t>
        </is>
      </c>
      <c r="R238" s="15" t="inlineStr"/>
    </row>
    <row r="239" ht="60" customHeight="1">
      <c r="A239" s="14" t="inlineStr">
        <is>
          <t>TC-ADM-238</t>
        </is>
      </c>
      <c r="B239" s="15" t="inlineStr">
        <is>
          <t>Admin Console (đợt 1)</t>
        </is>
      </c>
      <c r="C239" s="15" t="inlineStr">
        <is>
          <t>Kiểm duyệt: Chi tiết &amp; Xử lý vụ việc</t>
        </is>
      </c>
      <c r="D239" s="15" t="inlineStr">
        <is>
          <t>Hành động trên vụ việc đã đóng trả 409</t>
        </is>
      </c>
      <c r="E239" s="15" t="inlineStr">
        <is>
          <t>Chức năng</t>
        </is>
      </c>
      <c r="F239" s="16" t="inlineStr">
        <is>
          <t>Cao</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39" s="15" t="inlineStr">
        <is>
          <t>1. POST /api/admin/moderation/cases/&lt;#7&gt;/dismiss {}
2. POST .../&lt;#11&gt;/warn {"message":"x"}
3. POST .../&lt;#12&gt;/resolve {}
4. POST .../&lt;#7&gt;/escalate {}</t>
        </is>
      </c>
      <c r="K239" s="15" t="inlineStr">
        <is>
          <t>#7 dismissed, #11/#12 resolved</t>
        </is>
      </c>
      <c r="L239" s="15" t="inlineStr">
        <is>
          <t>Cả bốn 409 CONFLICT 'Báo cáo này đã được xử lý'; trạng thái và lịch sử không đổi; không có audit mới.</t>
        </is>
      </c>
      <c r="M239" s="15" t="inlineStr"/>
      <c r="N239" s="18" t="inlineStr">
        <is>
          <t>Chưa test</t>
        </is>
      </c>
      <c r="O239" s="15" t="inlineStr"/>
      <c r="P239" s="15" t="inlineStr"/>
      <c r="Q239" s="18" t="inlineStr">
        <is>
          <t>Chưa test</t>
        </is>
      </c>
      <c r="R239" s="15" t="inlineStr"/>
    </row>
    <row r="240" ht="30" customHeight="1">
      <c r="A240" s="14" t="inlineStr">
        <is>
          <t>TC-ADM-239</t>
        </is>
      </c>
      <c r="B240" s="15" t="inlineStr">
        <is>
          <t>Admin Console (đợt 1)</t>
        </is>
      </c>
      <c r="C240" s="15" t="inlineStr">
        <is>
          <t>Kiểm duyệt: Chi tiết &amp; Xử lý vụ việc</t>
        </is>
      </c>
      <c r="D240" s="15" t="inlineStr">
        <is>
          <t>Hành động trên vụ việc không tồn tại trả 404; note &gt; 500 ký tự trả 400</t>
        </is>
      </c>
      <c r="E240" s="15" t="inlineStr">
        <is>
          <t>Chức năng</t>
        </is>
      </c>
      <c r="F240" s="17" t="inlineStr">
        <is>
          <t>Thấp</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40" s="15" t="inlineStr">
        <is>
          <t>1. POST /api/admin/moderation/cases/khong-co/dismiss {}
2. POST .../&lt;#8&gt;/dismiss {"note":"&lt;501 ký tự&gt;"}</t>
        </is>
      </c>
      <c r="K240" s="15" t="inlineStr">
        <is>
          <t>-</t>
        </is>
      </c>
      <c r="L240" s="15" t="inlineStr">
        <is>
          <t>404 NOT_FOUND; 400 VALIDATION_ERROR.</t>
        </is>
      </c>
      <c r="M240" s="15" t="inlineStr"/>
      <c r="N240" s="18" t="inlineStr">
        <is>
          <t>Chưa test</t>
        </is>
      </c>
      <c r="O240" s="15" t="inlineStr"/>
      <c r="P240" s="15" t="inlineStr"/>
      <c r="Q240" s="18" t="inlineStr">
        <is>
          <t>Chưa test</t>
        </is>
      </c>
      <c r="R240" s="15" t="inlineStr"/>
    </row>
    <row r="241" ht="45" customHeight="1">
      <c r="A241" s="14" t="inlineStr">
        <is>
          <t>TC-ADM-240</t>
        </is>
      </c>
      <c r="B241" s="15" t="inlineStr">
        <is>
          <t>Admin Console (đợt 1)</t>
        </is>
      </c>
      <c r="C241" s="15" t="inlineStr">
        <is>
          <t>Kiểm duyệt: Chi tiết &amp; Xử lý vụ việc</t>
        </is>
      </c>
      <c r="D241" s="15" t="inlineStr">
        <is>
          <t>Rủi ro tự tính: lý do nặng và số báo cáo, không bao giờ tự hạ</t>
        </is>
      </c>
      <c r="E241" s="15" t="inlineStr">
        <is>
          <t>Chức năng</t>
        </is>
      </c>
      <c r="F241" s="20" t="inlineStr">
        <is>
          <t>Trung bình</t>
        </is>
      </c>
      <c r="G241" s="17" t="inlineStr">
        <is>
          <t>Đã hoàn thiện</t>
        </is>
      </c>
      <c r="H241" s="20" t="inlineStr">
        <is>
          <t>Một phần</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1" s="15" t="inlineStr">
        <is>
          <t>1. Tạo báo cáo mới bằng member: POST /api/posts/&lt;postId&gt;/report {"reason":"inappropriate"} (nhiều tài khoản khác nhau)
2. Tạo 3 báo cáo cùng 1 bài từ 3 tài khoản khác nhau
3. GET chi tiết các case</t>
        </is>
      </c>
      <c r="K241" s="15" t="inlineStr">
        <is>
          <t>-</t>
        </is>
      </c>
      <c r="L241" s="15" t="inlineStr">
        <is>
          <t>hate_speech/scam -&gt; risk high; harassment/copyright/nsfw -&gt; medium; 3 báo cáo cùng đối tượng -&gt; ≥ medium, 5 -&gt; ≥ high, 10 -&gt; critical; risk đã nâng (escalate) không bị hạ khi thêm báo cáo.</t>
        </is>
      </c>
      <c r="M241" s="15" t="inlineStr"/>
      <c r="N241" s="18" t="inlineStr">
        <is>
          <t>Chưa test</t>
        </is>
      </c>
      <c r="O241" s="15" t="inlineStr"/>
      <c r="P241" s="15" t="inlineStr"/>
      <c r="Q241" s="18" t="inlineStr">
        <is>
          <t>Chưa test</t>
        </is>
      </c>
      <c r="R241" s="15" t="inlineStr"/>
    </row>
    <row r="242" ht="45" customHeight="1">
      <c r="A242" s="14" t="inlineStr">
        <is>
          <t>TC-ADM-241</t>
        </is>
      </c>
      <c r="B242" s="15" t="inlineStr">
        <is>
          <t>Admin Console (đợt 1)</t>
        </is>
      </c>
      <c r="C242" s="15" t="inlineStr">
        <is>
          <t>Kiểm duyệt: Chi tiết &amp; Xử lý vụ việc</t>
        </is>
      </c>
      <c r="D242" s="15" t="inlineStr">
        <is>
          <t>API báo cáo cũ vẫn hoạt động: GET /admin/reports và PATCH /reports/:id</t>
        </is>
      </c>
      <c r="E242" s="15" t="inlineStr">
        <is>
          <t>Tích hợp</t>
        </is>
      </c>
      <c r="F242" s="20" t="inlineStr">
        <is>
          <t>Trung bình</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GET /api/admin/reports?status=open
2. PATCH /api/reports/&lt;id seed-report-photo-open&gt; {"status":"resolved","action":"dismiss"} bằng token admin
3. GET /api/admin/audit-logs?action=report.resolve</t>
        </is>
      </c>
      <c r="K242" s="15" t="inlineStr">
        <is>
          <t>seed-report-photo-open</t>
        </is>
      </c>
      <c r="L242" s="15" t="inlineStr">
        <is>
          <t>GET 200 danh sách báo cáo; PATCH 200; audit có report.resolve do Platform Admin; case hiện trong hàng đợi mới như một vụ việc bình thường.</t>
        </is>
      </c>
      <c r="M242" s="15" t="inlineStr"/>
      <c r="N242" s="18" t="inlineStr">
        <is>
          <t>Chưa test</t>
        </is>
      </c>
      <c r="O242" s="15" t="inlineStr"/>
      <c r="P242" s="15" t="inlineStr"/>
      <c r="Q242" s="18" t="inlineStr">
        <is>
          <t>Chưa test</t>
        </is>
      </c>
      <c r="R242" s="15" t="inlineStr"/>
    </row>
    <row r="243" ht="30" customHeight="1">
      <c r="A243" s="14" t="inlineStr">
        <is>
          <t>TC-ADM-242</t>
        </is>
      </c>
      <c r="B243" s="15" t="inlineStr">
        <is>
          <t>Admin Console (đợt 1)</t>
        </is>
      </c>
      <c r="C243" s="15" t="inlineStr">
        <is>
          <t>Kiểm duyệt: Nhật ký quyết định</t>
        </is>
      </c>
      <c r="D243" s="15" t="inlineStr">
        <is>
          <t>Trang /admin/moderation/warnings: tiêu đề, cột và dữ liệu seed</t>
        </is>
      </c>
      <c r="E243" s="15" t="inlineStr">
        <is>
          <t>Giao diện</t>
        </is>
      </c>
      <c r="F243" s="20" t="inlineStr">
        <is>
          <t>Trung bình</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43" s="15" t="inlineStr">
        <is>
          <t>1. Mở /admin/moderation/warnings</t>
        </is>
      </c>
      <c r="K243" s="15" t="inlineStr">
        <is>
          <t>warnings</t>
        </is>
      </c>
      <c r="L243"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43" s="15" t="inlineStr"/>
      <c r="N243" s="18" t="inlineStr">
        <is>
          <t>Chưa test</t>
        </is>
      </c>
      <c r="O243" s="15" t="inlineStr"/>
      <c r="P243" s="15" t="inlineStr"/>
      <c r="Q243" s="18" t="inlineStr">
        <is>
          <t>Chưa test</t>
        </is>
      </c>
      <c r="R243" s="15" t="inlineStr"/>
    </row>
    <row r="244" ht="30" customHeight="1">
      <c r="A244" s="14" t="inlineStr">
        <is>
          <t>TC-ADM-243</t>
        </is>
      </c>
      <c r="B244" s="15" t="inlineStr">
        <is>
          <t>Admin Console (đợt 1)</t>
        </is>
      </c>
      <c r="C244" s="15" t="inlineStr">
        <is>
          <t>Kiểm duyệt: Nhật ký quyết định</t>
        </is>
      </c>
      <c r="D244" s="15" t="inlineStr">
        <is>
          <t>Trang /admin/moderation/removals: tiêu đề, cột và dữ liệu seed</t>
        </is>
      </c>
      <c r="E244" s="15" t="inlineStr">
        <is>
          <t>Giao diện</t>
        </is>
      </c>
      <c r="F244" s="20" t="inlineStr">
        <is>
          <t>Trung bình</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44" s="15" t="inlineStr">
        <is>
          <t>1. Mở /admin/moderation/removals</t>
        </is>
      </c>
      <c r="K244" s="15" t="inlineStr">
        <is>
          <t>removals</t>
        </is>
      </c>
      <c r="L244"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44" s="15" t="inlineStr"/>
      <c r="N244" s="18" t="inlineStr">
        <is>
          <t>Chưa test</t>
        </is>
      </c>
      <c r="O244" s="15" t="inlineStr"/>
      <c r="P244" s="15" t="inlineStr"/>
      <c r="Q244" s="18" t="inlineStr">
        <is>
          <t>Chưa test</t>
        </is>
      </c>
      <c r="R244" s="15" t="inlineStr"/>
    </row>
    <row r="245" ht="30" customHeight="1">
      <c r="A245" s="14" t="inlineStr">
        <is>
          <t>TC-ADM-244</t>
        </is>
      </c>
      <c r="B245" s="15" t="inlineStr">
        <is>
          <t>Admin Console (đợt 1)</t>
        </is>
      </c>
      <c r="C245" s="15" t="inlineStr">
        <is>
          <t>Kiểm duyệt: Nhật ký quyết định</t>
        </is>
      </c>
      <c r="D245" s="15" t="inlineStr">
        <is>
          <t>Trang /admin/moderation/suspensions: tiêu đề, cột và dữ liệu seed</t>
        </is>
      </c>
      <c r="E245" s="15" t="inlineStr">
        <is>
          <t>Giao diện</t>
        </is>
      </c>
      <c r="F245" s="20" t="inlineStr">
        <is>
          <t>Trung bình</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45" s="15" t="inlineStr">
        <is>
          <t>1. Mở /admin/moderation/suspensions</t>
        </is>
      </c>
      <c r="K245" s="15" t="inlineStr">
        <is>
          <t>suspensions</t>
        </is>
      </c>
      <c r="L245"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45" s="15" t="inlineStr"/>
      <c r="N245" s="18" t="inlineStr">
        <is>
          <t>Chưa test</t>
        </is>
      </c>
      <c r="O245" s="15" t="inlineStr"/>
      <c r="P245" s="15" t="inlineStr"/>
      <c r="Q245" s="18" t="inlineStr">
        <is>
          <t>Chưa test</t>
        </is>
      </c>
      <c r="R245" s="15" t="inlineStr"/>
    </row>
    <row r="246" ht="30" customHeight="1">
      <c r="A246" s="14" t="inlineStr">
        <is>
          <t>TC-ADM-245</t>
        </is>
      </c>
      <c r="B246" s="15" t="inlineStr">
        <is>
          <t>Admin Console (đợt 1)</t>
        </is>
      </c>
      <c r="C246" s="15" t="inlineStr">
        <is>
          <t>Kiểm duyệt: Nhật ký quyết định</t>
        </is>
      </c>
      <c r="D246" s="15" t="inlineStr">
        <is>
          <t>Trang /admin/moderation/bans: tiêu đề, cột và dữ liệu seed</t>
        </is>
      </c>
      <c r="E246" s="15" t="inlineStr">
        <is>
          <t>Giao diện</t>
        </is>
      </c>
      <c r="F246" s="20" t="inlineStr">
        <is>
          <t>Trung bình</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46" s="15" t="inlineStr">
        <is>
          <t>1. Mở /admin/moderation/bans</t>
        </is>
      </c>
      <c r="K246" s="15" t="inlineStr">
        <is>
          <t>bans</t>
        </is>
      </c>
      <c r="L246"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46" s="15" t="inlineStr"/>
      <c r="N246" s="18" t="inlineStr">
        <is>
          <t>Chưa test</t>
        </is>
      </c>
      <c r="O246" s="15" t="inlineStr"/>
      <c r="P246" s="15" t="inlineStr"/>
      <c r="Q246" s="18" t="inlineStr">
        <is>
          <t>Chưa test</t>
        </is>
      </c>
      <c r="R246" s="15" t="inlineStr"/>
    </row>
    <row r="247" ht="90" customHeight="1">
      <c r="A247" s="14" t="inlineStr">
        <is>
          <t>TC-ADM-246</t>
        </is>
      </c>
      <c r="B247" s="15" t="inlineStr">
        <is>
          <t>Admin Console (đợt 1)</t>
        </is>
      </c>
      <c r="C247" s="15" t="inlineStr">
        <is>
          <t>Kiểm duyệt: Nhật ký quyết định</t>
        </is>
      </c>
      <c r="D247" s="15" t="inlineStr">
        <is>
          <t>GET /admin/moderation/decisions: lọc type và q, type sai trả 400</t>
        </is>
      </c>
      <c r="E247" s="15" t="inlineStr">
        <is>
          <t>Chức năng</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47" s="15" t="inlineStr">
        <is>
          <t>1. GET /api/admin/moderation/decisions?type=ban
2. …?type=warning
3. …?type=removal
4. …?type=restriction
5. …?type=suspension&amp;q=olivia
6. …?type=banana</t>
        </is>
      </c>
      <c r="K247" s="15" t="inlineStr">
        <is>
          <t>-</t>
        </is>
      </c>
      <c r="L247" s="15" t="inlineStr">
        <is>
          <t>Mỗi type trả đúng loại quyết định từ audit log với {id, case|null, target{type,id,name}, decision, admin, reason, evidence, createdAt}; q lọc theo tên/mã vụ việc; type=banana 400.</t>
        </is>
      </c>
      <c r="M247" s="15" t="inlineStr"/>
      <c r="N247" s="18" t="inlineStr">
        <is>
          <t>Chưa test</t>
        </is>
      </c>
      <c r="O247" s="15" t="inlineStr"/>
      <c r="P247" s="15" t="inlineStr"/>
      <c r="Q247" s="18" t="inlineStr">
        <is>
          <t>Chưa test</t>
        </is>
      </c>
      <c r="R247" s="15" t="inlineStr"/>
    </row>
    <row r="248" ht="30" customHeight="1">
      <c r="A248" s="14" t="inlineStr">
        <is>
          <t>TC-ADM-247</t>
        </is>
      </c>
      <c r="B248" s="15" t="inlineStr">
        <is>
          <t>Admin Console (đợt 1)</t>
        </is>
      </c>
      <c r="C248" s="15" t="inlineStr">
        <is>
          <t>Kiểm duyệt: Nhật ký quyết định</t>
        </is>
      </c>
      <c r="D248" s="15" t="inlineStr">
        <is>
          <t>Bấm dòng nhật ký quyết định mở vụ việc tương ứng</t>
        </is>
      </c>
      <c r="E248" s="15" t="inlineStr">
        <is>
          <t>Chức năng</t>
        </is>
      </c>
      <c r="F248" s="17" t="inlineStr">
        <is>
          <t>Thấp</t>
        </is>
      </c>
      <c r="G248" s="17" t="inlineStr">
        <is>
          <t>Đã hoàn thiện</t>
        </is>
      </c>
      <c r="H248" s="17" t="inlineStr">
        <is>
          <t>Có</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48" s="15" t="inlineStr">
        <is>
          <t>1. Ở /admin/moderation/warnings bấm dòng Maya Chen (có mã vụ việc)
2. Bấm dòng không có mã vụ việc (nếu có)</t>
        </is>
      </c>
      <c r="K248" s="15" t="inlineStr">
        <is>
          <t>-</t>
        </is>
      </c>
      <c r="L248" s="15" t="inlineStr">
        <is>
          <t>Dòng có vụ việc -&gt; /admin/moderation/cases/&lt;id&gt;; dòng không có vụ việc không điều hướng, không lỗi.</t>
        </is>
      </c>
      <c r="M248" s="15" t="inlineStr"/>
      <c r="N248" s="18" t="inlineStr">
        <is>
          <t>Chưa test</t>
        </is>
      </c>
      <c r="O248" s="15" t="inlineStr"/>
      <c r="P248" s="15" t="inlineStr"/>
      <c r="Q248" s="18" t="inlineStr">
        <is>
          <t>Chưa test</t>
        </is>
      </c>
      <c r="R248" s="15" t="inlineStr"/>
    </row>
    <row r="249" ht="30" customHeight="1">
      <c r="A249" s="14" t="inlineStr">
        <is>
          <t>TC-ADM-248</t>
        </is>
      </c>
      <c r="B249" s="15" t="inlineStr">
        <is>
          <t>Admin Console (đợt 1)</t>
        </is>
      </c>
      <c r="C249" s="15" t="inlineStr">
        <is>
          <t>Kiểm duyệt: Nhật ký quyết định</t>
        </is>
      </c>
      <c r="D249" s="15" t="inlineStr">
        <is>
          <t>Quyết định mới xuất hiện ngay trong nhật ký sau khi xử lý</t>
        </is>
      </c>
      <c r="E249" s="15" t="inlineStr">
        <is>
          <t>Chức năng</t>
        </is>
      </c>
      <c r="F249" s="20" t="inlineStr">
        <is>
          <t>Trung bình</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9" s="15" t="inlineStr">
        <is>
          <t>1. Cấm một người dùng qua vụ việc hoặc trang Người dùng
2. Mở /admin/moderation/bans</t>
        </is>
      </c>
      <c r="K249" s="15" t="inlineStr">
        <is>
          <t>-</t>
        </is>
      </c>
      <c r="L249" s="15" t="inlineStr">
        <is>
          <t>Dòng mới ở đầu danh sách, quản trị viên = Platform Admin, lý do/bằng chứng đúng nội dung đã nhập.</t>
        </is>
      </c>
      <c r="M249" s="15" t="inlineStr"/>
      <c r="N249" s="18" t="inlineStr">
        <is>
          <t>Chưa test</t>
        </is>
      </c>
      <c r="O249" s="15" t="inlineStr"/>
      <c r="P249" s="15" t="inlineStr"/>
      <c r="Q249" s="18" t="inlineStr">
        <is>
          <t>Chưa test</t>
        </is>
      </c>
      <c r="R249" s="15" t="inlineStr"/>
    </row>
    <row r="250" ht="30" customHeight="1">
      <c r="A250" s="14" t="inlineStr">
        <is>
          <t>TC-ADM-249</t>
        </is>
      </c>
      <c r="B250" s="15" t="inlineStr">
        <is>
          <t>Admin Console (đợt 1)</t>
        </is>
      </c>
      <c r="C250" s="15" t="inlineStr">
        <is>
          <t>Nhật ký hoạt động (Audit log)</t>
        </is>
      </c>
      <c r="D250" s="15" t="inlineStr">
        <is>
          <t>Trang /admin/system/audit: cột, 11 dòng seed, thứ tự mới nhất trước</t>
        </is>
      </c>
      <c r="E250" s="15" t="inlineStr">
        <is>
          <t>Giao diện</t>
        </is>
      </c>
      <c r="F250" s="16" t="inlineStr">
        <is>
          <t>Cao</t>
        </is>
      </c>
      <c r="G250" s="17" t="inlineStr">
        <is>
          <t>Đã hoàn thiện</t>
        </is>
      </c>
      <c r="H250" s="17" t="inlineStr">
        <is>
          <t>Có</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50" s="15" t="inlineStr">
        <is>
          <t>1. Mở /admin/system/audit</t>
        </is>
      </c>
      <c r="K250" s="15" t="inlineStr">
        <is>
          <t>-</t>
        </is>
      </c>
      <c r="L250" s="15" t="inlineStr">
        <is>
          <t>Tiêu đề 'Nhật ký hoạt động' (mô tả 'Mọi thao tác quản trị đều được ghi lại: ai làm, làm gì, trên đối tượng nào và vì sao.'); cột Thời gian, Quản trị viên, Hành động (nhãn tiếng Việt, vd. 'Cấm người dùng'), Đối tượng ('Sophia Patel (Người dùng)'), Lý do, Ghi chú; ≥ 11 dòng seed, mới nhất đứng đầu; phân trang 30/dòng.</t>
        </is>
      </c>
      <c r="M250" s="15" t="inlineStr"/>
      <c r="N250" s="18" t="inlineStr">
        <is>
          <t>Chưa test</t>
        </is>
      </c>
      <c r="O250" s="15" t="inlineStr"/>
      <c r="P250" s="15" t="inlineStr"/>
      <c r="Q250" s="18" t="inlineStr">
        <is>
          <t>Chưa test</t>
        </is>
      </c>
      <c r="R250" s="15" t="inlineStr"/>
    </row>
    <row r="251" ht="60" customHeight="1">
      <c r="A251" s="14" t="inlineStr">
        <is>
          <t>TC-ADM-250</t>
        </is>
      </c>
      <c r="B251" s="15" t="inlineStr">
        <is>
          <t>Admin Console (đợt 1)</t>
        </is>
      </c>
      <c r="C251" s="15" t="inlineStr">
        <is>
          <t>Nhật ký hoạt động (Audit log)</t>
        </is>
      </c>
      <c r="D251" s="15" t="inlineStr">
        <is>
          <t>Lọc theo nhóm hành động và tìm kiếm trong nhật ký</t>
        </is>
      </c>
      <c r="E251" s="15" t="inlineStr">
        <is>
          <t>Chức năng</t>
        </is>
      </c>
      <c r="F251" s="20" t="inlineStr">
        <is>
          <t>Trung bình</t>
        </is>
      </c>
      <c r="G251" s="17" t="inlineStr">
        <is>
          <t>Đã hoàn thiện</t>
        </is>
      </c>
      <c r="H251" s="17" t="inlineStr">
        <is>
          <t>Có</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51" s="15" t="inlineStr">
        <is>
          <t>1. Chọn 'Loại hành động' = Người dùng
2. Chọn 'Cộng đồng'
3. Chọn 'Vụ việc kiểm duyệt'
4. Gõ 'Sophia' vào ô tìm</t>
        </is>
      </c>
      <c r="K251" s="15" t="inlineStr">
        <is>
          <t>-</t>
        </is>
      </c>
      <c r="L251" s="15" t="inlineStr">
        <is>
          <t>Lọc theo tiền tố action (user. / community. / case.): Người dùng gồm user.ban/suspend/restrict seed; Cộng đồng gồm suspend, delete, reject, request_changes seed; Vụ việc gồm case.dismiss/resolve/warn/remove_content seed; tìm 'Sophia' ra dòng cấm Sophia Patel; không khớp: 'Chưa có thao tác nào được ghi lại.'.</t>
        </is>
      </c>
      <c r="M251" s="15" t="inlineStr"/>
      <c r="N251" s="18" t="inlineStr">
        <is>
          <t>Chưa test</t>
        </is>
      </c>
      <c r="O251" s="15" t="inlineStr"/>
      <c r="P251" s="15" t="inlineStr"/>
      <c r="Q251" s="18" t="inlineStr">
        <is>
          <t>Chưa test</t>
        </is>
      </c>
      <c r="R251" s="15" t="inlineStr"/>
    </row>
    <row r="252" ht="75" customHeight="1">
      <c r="A252" s="14" t="inlineStr">
        <is>
          <t>TC-ADM-251</t>
        </is>
      </c>
      <c r="B252" s="15" t="inlineStr">
        <is>
          <t>Admin Console (đợt 1)</t>
        </is>
      </c>
      <c r="C252" s="15" t="inlineStr">
        <is>
          <t>Nhật ký hoạt động (Audit log)</t>
        </is>
      </c>
      <c r="D252" s="15" t="inlineStr">
        <is>
          <t>API audit-logs: lọc action (tiền tố và đầy đủ), targetType, targetId, q</t>
        </is>
      </c>
      <c r="E252" s="15" t="inlineStr">
        <is>
          <t>Chức năng</t>
        </is>
      </c>
      <c r="F252" s="16" t="inlineStr">
        <is>
          <t>Cao</t>
        </is>
      </c>
      <c r="G252" s="17" t="inlineStr">
        <is>
          <t>Đã hoàn thiện</t>
        </is>
      </c>
      <c r="H252" s="17" t="inlineStr">
        <is>
          <t>Có</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52" s="15" t="inlineStr">
        <is>
          <t>1. GET /api/admin/audit-logs?action=user.
2. …?action=user.ban
3. …?targetType=community
4. …?targetId=photo-walks
5. …?q=Sophia</t>
        </is>
      </c>
      <c r="K252" s="15" t="inlineStr">
        <is>
          <t>-</t>
        </is>
      </c>
      <c r="L252" s="15" t="inlineStr">
        <is>
          <t>action=user. trả mọi hành động bắt đầu bằng user.; action=user.ban chỉ trả dòng cấm (Sophia Patel, reason 'Scam', evidence 'Payment link, 11 reports', metadata {from:'active',to:'banned'}); targetType/targetId/q lọc đúng.</t>
        </is>
      </c>
      <c r="M252" s="15" t="inlineStr"/>
      <c r="N252" s="18" t="inlineStr">
        <is>
          <t>Chưa test</t>
        </is>
      </c>
      <c r="O252" s="15" t="inlineStr"/>
      <c r="P252" s="15" t="inlineStr"/>
      <c r="Q252" s="18" t="inlineStr">
        <is>
          <t>Chưa test</t>
        </is>
      </c>
      <c r="R252" s="15" t="inlineStr"/>
    </row>
    <row r="253" ht="45" customHeight="1">
      <c r="A253" s="14" t="inlineStr">
        <is>
          <t>TC-ADM-252</t>
        </is>
      </c>
      <c r="B253" s="15" t="inlineStr">
        <is>
          <t>Admin Console (đợt 1)</t>
        </is>
      </c>
      <c r="C253" s="15" t="inlineStr">
        <is>
          <t>Nhật ký hoạt động (Audit log)</t>
        </is>
      </c>
      <c r="D253" s="15" t="inlineStr">
        <is>
          <t>API audit-logs: lọc actor và khoảng thời gian from/to</t>
        </is>
      </c>
      <c r="E253" s="15" t="inlineStr">
        <is>
          <t>Chức năng</t>
        </is>
      </c>
      <c r="F253" s="20" t="inlineStr">
        <is>
          <t>Trung bình</t>
        </is>
      </c>
      <c r="G253" s="17" t="inlineStr">
        <is>
          <t>Đã hoàn thiện</t>
        </is>
      </c>
      <c r="H253" s="17" t="inlineStr">
        <is>
          <t>Có</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53" s="15" t="inlineStr">
        <is>
          <t>1. GET /api/admin/audit-logs?actor=&lt;id admin&gt;
2. …?from=&lt;ISO 3 ngày trước&gt;&amp;to=&lt;ISO hiện tại&gt;
3. …?from=&lt;ISO ngày mai&gt;</t>
        </is>
      </c>
      <c r="K253" s="15" t="inlineStr">
        <is>
          <t>-</t>
        </is>
      </c>
      <c r="L253" s="15" t="inlineStr">
        <is>
          <t>actor lọc theo người thực hiện; from/to chỉ trả dòng trong khoảng (seed cũ nhất 96 giờ trước bị loại khi from = 3 ngày); from ở tương lai trả rỗng.</t>
        </is>
      </c>
      <c r="M253" s="15" t="inlineStr"/>
      <c r="N253" s="18" t="inlineStr">
        <is>
          <t>Chưa test</t>
        </is>
      </c>
      <c r="O253" s="15" t="inlineStr"/>
      <c r="P253" s="15" t="inlineStr"/>
      <c r="Q253" s="18" t="inlineStr">
        <is>
          <t>Chưa test</t>
        </is>
      </c>
      <c r="R253" s="15" t="inlineStr"/>
    </row>
    <row r="254" ht="45" customHeight="1">
      <c r="A254" s="14" t="inlineStr">
        <is>
          <t>TC-ADM-253</t>
        </is>
      </c>
      <c r="B254" s="15" t="inlineStr">
        <is>
          <t>Admin Console (đợt 1)</t>
        </is>
      </c>
      <c r="C254" s="15" t="inlineStr">
        <is>
          <t>Nhật ký hoạt động (Audit log)</t>
        </is>
      </c>
      <c r="D254" s="15" t="inlineStr">
        <is>
          <t>audit-logs: phân trang và tham số sai</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54" s="15" t="inlineStr">
        <is>
          <t>1. GET /api/admin/audit-logs?limit=5&amp;page=2
2. GET …?limit=101
3. GET …?from=khong-phai-ngay</t>
        </is>
      </c>
      <c r="K254" s="15" t="inlineStr">
        <is>
          <t>-</t>
        </is>
      </c>
      <c r="L254" s="15" t="inlineStr">
        <is>
          <t>Trang 2 có 5 dòng; limit=101 và from sai định dạng trả 400 VALIDATION_ERROR.</t>
        </is>
      </c>
      <c r="M254" s="15" t="inlineStr"/>
      <c r="N254" s="18" t="inlineStr">
        <is>
          <t>Chưa test</t>
        </is>
      </c>
      <c r="O254" s="15" t="inlineStr"/>
      <c r="P254" s="15" t="inlineStr"/>
      <c r="Q254" s="18" t="inlineStr">
        <is>
          <t>Chưa test</t>
        </is>
      </c>
      <c r="R254" s="15" t="inlineStr"/>
    </row>
    <row r="255" ht="45" customHeight="1">
      <c r="A255" s="14" t="inlineStr">
        <is>
          <t>TC-ADM-254</t>
        </is>
      </c>
      <c r="B255" s="15" t="inlineStr">
        <is>
          <t>Admin Console (đợt 1)</t>
        </is>
      </c>
      <c r="C255" s="15" t="inlineStr">
        <is>
          <t>Nhật ký hoạt động (Audit log)</t>
        </is>
      </c>
      <c r="D255" s="15" t="inlineStr">
        <is>
          <t>Mỗi thao tác ghi tạo đúng 1 dòng audit (community.approve)</t>
        </is>
      </c>
      <c r="E255" s="15" t="inlineStr">
        <is>
          <t>Chức năng</t>
        </is>
      </c>
      <c r="F255" s="16" t="inlineStr">
        <is>
          <t>Cao</t>
        </is>
      </c>
      <c r="G255" s="17" t="inlineStr">
        <is>
          <t>Đã hoàn thiện</t>
        </is>
      </c>
      <c r="H255" s="17" t="inlineStr">
        <is>
          <t>Có</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55" s="15" t="inlineStr">
        <is>
          <t>1. Ghi lại meta.total của GET /api/admin/audit-logs
2. Thực hiện: Duyệt creator-academy
3. GET /api/admin/audit-logs?limit=1</t>
        </is>
      </c>
      <c r="K255" s="15" t="inlineStr">
        <is>
          <t>community.approve</t>
        </is>
      </c>
      <c r="L255" s="15" t="inlineStr">
        <is>
          <t>meta.total tăng đúng 1; dòng mới nhất có action=community.approve, actor = Platform Admin (id + tên + email), targetType/targetId/targetLabel đúng đối tượng, reason/note/evidence đúng dữ liệu gửi, createdAt ≈ hiện tại.</t>
        </is>
      </c>
      <c r="M255" s="15" t="inlineStr"/>
      <c r="N255" s="18" t="inlineStr">
        <is>
          <t>Chưa test</t>
        </is>
      </c>
      <c r="O255" s="15" t="inlineStr"/>
      <c r="P255" s="15" t="inlineStr"/>
      <c r="Q255" s="18" t="inlineStr">
        <is>
          <t>Chưa test</t>
        </is>
      </c>
      <c r="R255" s="15" t="inlineStr"/>
    </row>
    <row r="256" ht="45" customHeight="1">
      <c r="A256" s="14" t="inlineStr">
        <is>
          <t>TC-ADM-255</t>
        </is>
      </c>
      <c r="B256" s="15" t="inlineStr">
        <is>
          <t>Admin Console (đợt 1)</t>
        </is>
      </c>
      <c r="C256" s="15" t="inlineStr">
        <is>
          <t>Nhật ký hoạt động (Audit log)</t>
        </is>
      </c>
      <c r="D256" s="15" t="inlineStr">
        <is>
          <t>Mỗi thao tác ghi tạo đúng 1 dòng audit (user.restrict)</t>
        </is>
      </c>
      <c r="E256" s="15" t="inlineStr">
        <is>
          <t>Chức năng</t>
        </is>
      </c>
      <c r="F256" s="16" t="inlineStr">
        <is>
          <t>Cao</t>
        </is>
      </c>
      <c r="G256" s="17" t="inlineStr">
        <is>
          <t>Đã hoàn thiện</t>
        </is>
      </c>
      <c r="H256" s="17" t="inlineStr">
        <is>
          <t>Có</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56" s="15" t="inlineStr">
        <is>
          <t>1. Ghi lại meta.total của GET /api/admin/audit-logs
2. Thực hiện: Hạn chế sarah
3. GET /api/admin/audit-logs?limit=1</t>
        </is>
      </c>
      <c r="K256" s="15" t="inlineStr">
        <is>
          <t>user.restrict</t>
        </is>
      </c>
      <c r="L256" s="15" t="inlineStr">
        <is>
          <t>meta.total tăng đúng 1; dòng mới nhất có action=user.restrict, actor = Platform Admin (id + tên + email), targetType/targetId/targetLabel đúng đối tượng, reason/note/evidence đúng dữ liệu gửi, createdAt ≈ hiện tại.</t>
        </is>
      </c>
      <c r="M256" s="15" t="inlineStr"/>
      <c r="N256" s="18" t="inlineStr">
        <is>
          <t>Chưa test</t>
        </is>
      </c>
      <c r="O256" s="15" t="inlineStr"/>
      <c r="P256" s="15" t="inlineStr"/>
      <c r="Q256" s="18" t="inlineStr">
        <is>
          <t>Chưa test</t>
        </is>
      </c>
      <c r="R256" s="15" t="inlineStr"/>
    </row>
    <row r="257" ht="45" customHeight="1">
      <c r="A257" s="14" t="inlineStr">
        <is>
          <t>TC-ADM-256</t>
        </is>
      </c>
      <c r="B257" s="15" t="inlineStr">
        <is>
          <t>Admin Console (đợt 1)</t>
        </is>
      </c>
      <c r="C257" s="15" t="inlineStr">
        <is>
          <t>Nhật ký hoạt động (Audit log)</t>
        </is>
      </c>
      <c r="D257" s="15" t="inlineStr">
        <is>
          <t>Mỗi thao tác ghi tạo đúng 1 dòng audit (case.dismiss)</t>
        </is>
      </c>
      <c r="E257" s="15" t="inlineStr">
        <is>
          <t>Chức năng</t>
        </is>
      </c>
      <c r="F257" s="16" t="inlineStr">
        <is>
          <t>Cao</t>
        </is>
      </c>
      <c r="G257" s="17" t="inlineStr">
        <is>
          <t>Đã hoàn thiện</t>
        </is>
      </c>
      <c r="H257" s="17" t="inlineStr">
        <is>
          <t>Có</t>
        </is>
      </c>
      <c r="I2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57" s="15" t="inlineStr">
        <is>
          <t>1. Ghi lại meta.total của GET /api/admin/audit-logs
2. Thực hiện: Bỏ qua vụ việc #8
3. GET /api/admin/audit-logs?limit=1</t>
        </is>
      </c>
      <c r="K257" s="15" t="inlineStr">
        <is>
          <t>case.dismiss</t>
        </is>
      </c>
      <c r="L257" s="15" t="inlineStr">
        <is>
          <t>meta.total tăng đúng 1; dòng mới nhất có action=case.dismiss, actor = Platform Admin (id + tên + email), targetType/targetId/targetLabel đúng đối tượng, reason/note/evidence đúng dữ liệu gửi, createdAt ≈ hiện tại.</t>
        </is>
      </c>
      <c r="M257" s="15" t="inlineStr"/>
      <c r="N257" s="18" t="inlineStr">
        <is>
          <t>Chưa test</t>
        </is>
      </c>
      <c r="O257" s="15" t="inlineStr"/>
      <c r="P257" s="15" t="inlineStr"/>
      <c r="Q257" s="18" t="inlineStr">
        <is>
          <t>Chưa test</t>
        </is>
      </c>
      <c r="R257" s="15" t="inlineStr"/>
    </row>
    <row r="258" ht="45" customHeight="1">
      <c r="A258" s="14" t="inlineStr">
        <is>
          <t>TC-ADM-257</t>
        </is>
      </c>
      <c r="B258" s="15" t="inlineStr">
        <is>
          <t>Admin Console (đợt 1)</t>
        </is>
      </c>
      <c r="C258" s="15" t="inlineStr">
        <is>
          <t>Nhật ký hoạt động (Audit log)</t>
        </is>
      </c>
      <c r="D258" s="15" t="inlineStr">
        <is>
          <t>Mỗi thao tác ghi tạo đúng 1 dòng audit (user.warn)</t>
        </is>
      </c>
      <c r="E258" s="15" t="inlineStr">
        <is>
          <t>Chức năng</t>
        </is>
      </c>
      <c r="F258" s="16" t="inlineStr">
        <is>
          <t>Cao</t>
        </is>
      </c>
      <c r="G258" s="17" t="inlineStr">
        <is>
          <t>Đã hoàn thiện</t>
        </is>
      </c>
      <c r="H258" s="17" t="inlineStr">
        <is>
          <t>Có</t>
        </is>
      </c>
      <c r="I2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58" s="15" t="inlineStr">
        <is>
          <t>1. Ghi lại meta.total của GET /api/admin/audit-logs
2. Thực hiện: Cảnh cáo liam
3. GET /api/admin/audit-logs?limit=1</t>
        </is>
      </c>
      <c r="K258" s="15" t="inlineStr">
        <is>
          <t>user.warn</t>
        </is>
      </c>
      <c r="L258" s="15" t="inlineStr">
        <is>
          <t>meta.total tăng đúng 1; dòng mới nhất có action=user.warn, actor = Platform Admin (id + tên + email), targetType/targetId/targetLabel đúng đối tượng, reason/note/evidence đúng dữ liệu gửi, createdAt ≈ hiện tại.</t>
        </is>
      </c>
      <c r="M258" s="15" t="inlineStr"/>
      <c r="N258" s="18" t="inlineStr">
        <is>
          <t>Chưa test</t>
        </is>
      </c>
      <c r="O258" s="15" t="inlineStr"/>
      <c r="P258" s="15" t="inlineStr"/>
      <c r="Q258" s="18" t="inlineStr">
        <is>
          <t>Chưa test</t>
        </is>
      </c>
      <c r="R258" s="15" t="inlineStr"/>
    </row>
    <row r="259" ht="45" customHeight="1">
      <c r="A259" s="14" t="inlineStr">
        <is>
          <t>TC-ADM-258</t>
        </is>
      </c>
      <c r="B259" s="15" t="inlineStr">
        <is>
          <t>Admin Console (đợt 1)</t>
        </is>
      </c>
      <c r="C259" s="15" t="inlineStr">
        <is>
          <t>Nhật ký hoạt động (Audit log)</t>
        </is>
      </c>
      <c r="D259" s="15" t="inlineStr">
        <is>
          <t>Thao tác thất bại (409/400/403) KHÔNG ghi audit</t>
        </is>
      </c>
      <c r="E259" s="15" t="inlineStr">
        <is>
          <t>Chức năng</t>
        </is>
      </c>
      <c r="F259" s="16" t="inlineStr">
        <is>
          <t>Cao</t>
        </is>
      </c>
      <c r="G259" s="17" t="inlineStr">
        <is>
          <t>Đã hoàn thiện</t>
        </is>
      </c>
      <c r="H259" s="17" t="inlineStr">
        <is>
          <t>Có</t>
        </is>
      </c>
      <c r="I2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59" s="15" t="inlineStr">
        <is>
          <t>1. Ghi lại meta.total
2. POST approve cộng đồng photo (409), POST ban sophia (409), POST warn thiếu message (400), POST ban chính admin (403)
3. So lại meta.total</t>
        </is>
      </c>
      <c r="K259" s="15" t="inlineStr">
        <is>
          <t>-</t>
        </is>
      </c>
      <c r="L259" s="15" t="inlineStr">
        <is>
          <t>meta.total không đổi sau 4 lệnh thất bại.</t>
        </is>
      </c>
      <c r="M259" s="15" t="inlineStr"/>
      <c r="N259" s="18" t="inlineStr">
        <is>
          <t>Chưa test</t>
        </is>
      </c>
      <c r="O259" s="15" t="inlineStr"/>
      <c r="P259" s="15" t="inlineStr"/>
      <c r="Q259" s="18" t="inlineStr">
        <is>
          <t>Chưa test</t>
        </is>
      </c>
      <c r="R259" s="15" t="inlineStr"/>
    </row>
    <row r="260" ht="45" customHeight="1">
      <c r="A260" s="14" t="inlineStr">
        <is>
          <t>TC-ADM-259</t>
        </is>
      </c>
      <c r="B260" s="15" t="inlineStr">
        <is>
          <t>Admin Console (đợt 1)</t>
        </is>
      </c>
      <c r="C260" s="15" t="inlineStr">
        <is>
          <t>Nhật ký hoạt động (Audit log)</t>
        </is>
      </c>
      <c r="D260" s="15" t="inlineStr">
        <is>
          <t>Nhật ký append-only: không có endpoint sửa/xóa</t>
        </is>
      </c>
      <c r="E260" s="15" t="inlineStr">
        <is>
          <t>Bảo mật</t>
        </is>
      </c>
      <c r="F260" s="20" t="inlineStr">
        <is>
          <t>Trung bình</t>
        </is>
      </c>
      <c r="G260" s="17" t="inlineStr">
        <is>
          <t>Đã hoàn thiện</t>
        </is>
      </c>
      <c r="H260" s="17" t="inlineStr">
        <is>
          <t>Có</t>
        </is>
      </c>
      <c r="I2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t>
        </is>
      </c>
      <c r="J260" s="15" t="inlineStr">
        <is>
          <t>1. DELETE /api/admin/audit-logs/&lt;id&gt;
2. PATCH /api/admin/audit-logs/&lt;id&gt; {"reason":"x"}
3. POST /api/admin/audit-logs {}</t>
        </is>
      </c>
      <c r="K260" s="15" t="inlineStr">
        <is>
          <t>-</t>
        </is>
      </c>
      <c r="L260" s="15" t="inlineStr">
        <is>
          <t>Cả ba 404 (không có route) hoặc 405; dòng không thể bị thay đổi qua API.</t>
        </is>
      </c>
      <c r="M260" s="15" t="inlineStr"/>
      <c r="N260" s="18" t="inlineStr">
        <is>
          <t>Chưa test</t>
        </is>
      </c>
      <c r="O260" s="15" t="inlineStr"/>
      <c r="P260" s="15" t="inlineStr"/>
      <c r="Q260" s="18" t="inlineStr">
        <is>
          <t>Chưa test</t>
        </is>
      </c>
      <c r="R260" s="15" t="inlineStr"/>
    </row>
    <row r="261" ht="60" customHeight="1">
      <c r="A261" s="14" t="inlineStr">
        <is>
          <t>TC-ADM-260</t>
        </is>
      </c>
      <c r="B261" s="15" t="inlineStr">
        <is>
          <t>Admin Console (đợt 1)</t>
        </is>
      </c>
      <c r="C261" s="15" t="inlineStr">
        <is>
          <t>Nhật ký hoạt động (Audit log)</t>
        </is>
      </c>
      <c r="D261" s="15" t="inlineStr">
        <is>
          <t>Route admin cũ cũng ghi audit (refund_resolve, payout_resolve, lock/unlock)</t>
        </is>
      </c>
      <c r="E261" s="15" t="inlineStr">
        <is>
          <t>Tích hợp</t>
        </is>
      </c>
      <c r="F261" s="16" t="inlineStr">
        <is>
          <t>Cao</t>
        </is>
      </c>
      <c r="G261" s="17" t="inlineStr">
        <is>
          <t>Đã hoàn thiện</t>
        </is>
      </c>
      <c r="H261" s="20" t="inlineStr">
        <is>
          <t>Một phần</t>
        </is>
      </c>
      <c r="I2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61" s="15" t="inlineStr">
        <is>
          <t>1. PATCH /api/admin/refunds/&lt;id yêu cầu hoàn tiền pending&gt; {"status":"approved"}
2. PATCH /api/admin/payouts/&lt;id payout requested&gt; {"status":"paid"}
3. POST /api/admin/courses/des/lock {"reason":"x"} rồi /unlock
4. GET /api/admin/audit-logs?action=payment.</t>
        </is>
      </c>
      <c r="K261" s="15" t="inlineStr">
        <is>
          <t>refund/payout/des</t>
        </is>
      </c>
      <c r="L261" s="15" t="inlineStr">
        <is>
          <t>Có các dòng payment.refund_resolve, payment.payout_resolve, community.lock, community.unlock với actor Platform Admin; targetType refund/payout/community.</t>
        </is>
      </c>
      <c r="M261" s="15" t="inlineStr"/>
      <c r="N261" s="18" t="inlineStr">
        <is>
          <t>Chưa test</t>
        </is>
      </c>
      <c r="O261" s="15" t="inlineStr"/>
      <c r="P261" s="15" t="inlineStr"/>
      <c r="Q261" s="18" t="inlineStr">
        <is>
          <t>Chưa test</t>
        </is>
      </c>
      <c r="R261" s="15" t="inlineStr"/>
    </row>
    <row r="262" ht="30" customHeight="1">
      <c r="A262" s="14" t="inlineStr">
        <is>
          <t>TC-ADM-261</t>
        </is>
      </c>
      <c r="B262" s="15" t="inlineStr">
        <is>
          <t>Admin Console (đợt 1)</t>
        </is>
      </c>
      <c r="C262" s="15" t="inlineStr">
        <is>
          <t>Nhật ký hoạt động (Audit log)</t>
        </is>
      </c>
      <c r="D262" s="15" t="inlineStr">
        <is>
          <t>Hiệu năng: audit-logs với vài nghìn dòng vẫn phân trang nhanh</t>
        </is>
      </c>
      <c r="E262" s="15" t="inlineStr">
        <is>
          <t>Hiệu năng</t>
        </is>
      </c>
      <c r="F262" s="17" t="inlineStr">
        <is>
          <t>Thấp</t>
        </is>
      </c>
      <c r="G262" s="17" t="inlineStr">
        <is>
          <t>Đã hoàn thiện</t>
        </is>
      </c>
      <c r="H262" s="16" t="inlineStr">
        <is>
          <t>Không</t>
        </is>
      </c>
      <c r="I2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Đã tạo nhiều dòng audit (script gọi API).</t>
        </is>
      </c>
      <c r="J262" s="15" t="inlineStr">
        <is>
          <t>1. Đo GET /api/admin/audit-logs?limit=100
2. Lọc action=user.</t>
        </is>
      </c>
      <c r="K262" s="15" t="inlineStr">
        <is>
          <t>-</t>
        </is>
      </c>
      <c r="L262" s="15" t="inlineStr">
        <is>
          <t>Phản hồi ≤ 1 giây; số trang đúng.</t>
        </is>
      </c>
      <c r="M262" s="15" t="inlineStr"/>
      <c r="N262" s="18" t="inlineStr">
        <is>
          <t>Chưa test</t>
        </is>
      </c>
      <c r="O262" s="15" t="inlineStr"/>
      <c r="P262" s="15" t="inlineStr"/>
      <c r="Q262" s="18" t="inlineStr">
        <is>
          <t>Chưa test</t>
        </is>
      </c>
      <c r="R262" s="15" t="inlineStr"/>
    </row>
    <row r="263" ht="30" customHeight="1">
      <c r="A263" s="14" t="inlineStr">
        <is>
          <t>TC-ADM-262</t>
        </is>
      </c>
      <c r="B263" s="15" t="inlineStr">
        <is>
          <t>Admin Console (đợt 1)</t>
        </is>
      </c>
      <c r="C263" s="15" t="inlineStr">
        <is>
          <t>Hồi quy: Hoàn tiền / Chi trả / Khóa (trong khung mới)</t>
        </is>
      </c>
      <c r="D263" s="15" t="inlineStr">
        <is>
          <t>/admin/payments/refunds hiển thị trong khung admin mới, mục 'Hoàn tiền' được tô sáng</t>
        </is>
      </c>
      <c r="E263" s="15" t="inlineStr">
        <is>
          <t>Giao diện</t>
        </is>
      </c>
      <c r="F263" s="16" t="inlineStr">
        <is>
          <t>Cao</t>
        </is>
      </c>
      <c r="G263" s="17" t="inlineStr">
        <is>
          <t>Đã hoàn thiện</t>
        </is>
      </c>
      <c r="H263" s="17" t="inlineStr">
        <is>
          <t>Có</t>
        </is>
      </c>
      <c r="I2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63" s="15" t="inlineStr">
        <is>
          <t>1. Mở /admin/payments/refunds</t>
        </is>
      </c>
      <c r="K263" s="15" t="inlineStr">
        <is>
          <t>-</t>
        </is>
      </c>
      <c r="L263" s="15" t="inlineStr">
        <is>
          <t>Hiển thị RefundsTab cũ (danh sách yêu cầu hoàn tiền, bộ lọc trạng thái) bên trong sidebar/topbar mới; nhóm 'Thanh toán' mở, mục 'Hoàn tiền' sáng.</t>
        </is>
      </c>
      <c r="M263" s="15" t="inlineStr"/>
      <c r="N263" s="18" t="inlineStr">
        <is>
          <t>Chưa test</t>
        </is>
      </c>
      <c r="O263" s="15" t="inlineStr"/>
      <c r="P263" s="15" t="inlineStr"/>
      <c r="Q263" s="18" t="inlineStr">
        <is>
          <t>Chưa test</t>
        </is>
      </c>
      <c r="R263" s="15" t="inlineStr"/>
    </row>
    <row r="264" ht="45" customHeight="1">
      <c r="A264" s="14" t="inlineStr">
        <is>
          <t>TC-ADM-263</t>
        </is>
      </c>
      <c r="B264" s="15" t="inlineStr">
        <is>
          <t>Admin Console (đợt 1)</t>
        </is>
      </c>
      <c r="C264" s="15" t="inlineStr">
        <is>
          <t>Hồi quy: Hoàn tiền / Chi trả / Khóa (trong khung mới)</t>
        </is>
      </c>
      <c r="D264" s="15" t="inlineStr">
        <is>
          <t>Hoàn tiền: duyệt yêu cầu pending ngoài cửa sổ 7 ngày (demo-paid-demo-2) + audit</t>
        </is>
      </c>
      <c r="E264" s="15" t="inlineStr">
        <is>
          <t>Chức năng</t>
        </is>
      </c>
      <c r="F264" s="16" t="inlineStr">
        <is>
          <t>Cao</t>
        </is>
      </c>
      <c r="G264" s="17" t="inlineStr">
        <is>
          <t>Đã hoàn thiện</t>
        </is>
      </c>
      <c r="H264" s="17" t="inlineStr">
        <is>
          <t>Có</t>
        </is>
      </c>
      <c r="I2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64" s="15" t="inlineStr">
        <is>
          <t>1. Mở /admin/payments/refunds, lọc 'pending'
2. Bấm duyệt dòng của demo-paid-demo-2, nhập ghi chú, xác nhận
3. Mở /admin/system/audit</t>
        </is>
      </c>
      <c r="K264" s="15" t="inlineStr">
        <is>
          <t>seed-pay-pendref</t>
        </is>
      </c>
      <c r="L264" s="15" t="inlineStr">
        <is>
          <t>Yêu cầu chuyển 'approved', giao dịch ghi hoàn tiền; thẻ 'Hoàn tiền chờ duyệt' ở /admin giảm 1; có dòng audit 'Xử lý hoàn tiền' (payment.refund_resolve).</t>
        </is>
      </c>
      <c r="M264" s="15" t="inlineStr"/>
      <c r="N264" s="18" t="inlineStr">
        <is>
          <t>Chưa test</t>
        </is>
      </c>
      <c r="O264" s="15" t="inlineStr"/>
      <c r="P264" s="15" t="inlineStr"/>
      <c r="Q264" s="18" t="inlineStr">
        <is>
          <t>Chưa test</t>
        </is>
      </c>
      <c r="R264" s="15" t="inlineStr"/>
    </row>
    <row r="265" ht="30" customHeight="1">
      <c r="A265" s="14" t="inlineStr">
        <is>
          <t>TC-ADM-264</t>
        </is>
      </c>
      <c r="B265" s="15" t="inlineStr">
        <is>
          <t>Admin Console (đợt 1)</t>
        </is>
      </c>
      <c r="C265" s="15" t="inlineStr">
        <is>
          <t>Hồi quy: Hoàn tiền / Chi trả / Khóa (trong khung mới)</t>
        </is>
      </c>
      <c r="D265" s="15" t="inlineStr">
        <is>
          <t>Hoàn tiền: từ chối yêu cầu có ghi chú</t>
        </is>
      </c>
      <c r="E265" s="15" t="inlineStr">
        <is>
          <t>Chức năng</t>
        </is>
      </c>
      <c r="F265" s="20" t="inlineStr">
        <is>
          <t>Trung bình</t>
        </is>
      </c>
      <c r="G265" s="17" t="inlineStr">
        <is>
          <t>Đã hoàn thiện</t>
        </is>
      </c>
      <c r="H265" s="17" t="inlineStr">
        <is>
          <t>Có</t>
        </is>
      </c>
      <c r="I2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65" s="15" t="inlineStr">
        <is>
          <t>1. Ở /admin/payments/refunds chọn một yêu cầu pending
2. Bấm 'Từ chối', nhập ghi chú, xác nhận</t>
        </is>
      </c>
      <c r="K265" s="15" t="inlineStr">
        <is>
          <t>-</t>
        </is>
      </c>
      <c r="L265" s="15" t="inlineStr">
        <is>
          <t>Yêu cầu 'rejected'; không hoàn tiền; audit payment.refund_resolve ghi note.</t>
        </is>
      </c>
      <c r="M265" s="15" t="inlineStr"/>
      <c r="N265" s="18" t="inlineStr">
        <is>
          <t>Chưa test</t>
        </is>
      </c>
      <c r="O265" s="15" t="inlineStr"/>
      <c r="P265" s="15" t="inlineStr"/>
      <c r="Q265" s="18" t="inlineStr">
        <is>
          <t>Chưa test</t>
        </is>
      </c>
      <c r="R265" s="15" t="inlineStr"/>
    </row>
    <row r="266" ht="45" customHeight="1">
      <c r="A266" s="14" t="inlineStr">
        <is>
          <t>TC-ADM-265</t>
        </is>
      </c>
      <c r="B266" s="15" t="inlineStr">
        <is>
          <t>Admin Console (đợt 1)</t>
        </is>
      </c>
      <c r="C266" s="15" t="inlineStr">
        <is>
          <t>Hồi quy: Hoàn tiền / Chi trả / Khóa (trong khung mới)</t>
        </is>
      </c>
      <c r="D266" s="15" t="inlineStr">
        <is>
          <t>/admin/payments/payouts: duyệt/từ chối payout requested của owner + audit</t>
        </is>
      </c>
      <c r="E266" s="15" t="inlineStr">
        <is>
          <t>Chức năng</t>
        </is>
      </c>
      <c r="F266" s="16" t="inlineStr">
        <is>
          <t>Cao</t>
        </is>
      </c>
      <c r="G266" s="17" t="inlineStr">
        <is>
          <t>Đã hoàn thiện</t>
        </is>
      </c>
      <c r="H266" s="17" t="inlineStr">
        <is>
          <t>Có</t>
        </is>
      </c>
      <c r="I2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66" s="15" t="inlineStr">
        <is>
          <t>1. Mở /admin/payments/payouts
2. Duyệt payout 'requested' của owner (đánh dấu đã chi)
3. Mở /admin/system/audit</t>
        </is>
      </c>
      <c r="K266" s="15" t="inlineStr">
        <is>
          <t>payout seed của owner</t>
        </is>
      </c>
      <c r="L266" s="15" t="inlineStr">
        <is>
          <t>Payout chuyển trạng thái đúng như trước đợt này; 'Chi trả chờ duyệt' ở /admin giảm 1; audit payment.payout_resolve.</t>
        </is>
      </c>
      <c r="M266" s="15" t="inlineStr"/>
      <c r="N266" s="18" t="inlineStr">
        <is>
          <t>Chưa test</t>
        </is>
      </c>
      <c r="O266" s="15" t="inlineStr"/>
      <c r="P266" s="15" t="inlineStr"/>
      <c r="Q266" s="18" t="inlineStr">
        <is>
          <t>Chưa test</t>
        </is>
      </c>
      <c r="R266" s="15" t="inlineStr"/>
    </row>
    <row r="267" ht="30" customHeight="1">
      <c r="A267" s="14" t="inlineStr">
        <is>
          <t>TC-ADM-266</t>
        </is>
      </c>
      <c r="B267" s="15" t="inlineStr">
        <is>
          <t>Admin Console (đợt 1)</t>
        </is>
      </c>
      <c r="C267" s="15" t="inlineStr">
        <is>
          <t>Hồi quy: Hoàn tiền / Chi trả / Khóa (trong khung mới)</t>
        </is>
      </c>
      <c r="D267" s="15" t="inlineStr">
        <is>
          <t>Quyền: member truy cập /admin/payments/refunds bị chặn</t>
        </is>
      </c>
      <c r="E267" s="15" t="inlineStr">
        <is>
          <t>Bảo mật</t>
        </is>
      </c>
      <c r="F267" s="16" t="inlineStr">
        <is>
          <t>Cao</t>
        </is>
      </c>
      <c r="G267" s="17" t="inlineStr">
        <is>
          <t>Đã hoàn thiện</t>
        </is>
      </c>
      <c r="H267" s="17" t="inlineStr">
        <is>
          <t>Có</t>
        </is>
      </c>
      <c r="I2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member1.</t>
        </is>
      </c>
      <c r="J267" s="15" t="inlineStr">
        <is>
          <t>1. Mở /admin/payments/refunds
2. GET /api/admin/refunds bằng token member1</t>
        </is>
      </c>
      <c r="K267" s="15" t="inlineStr">
        <is>
          <t>member1</t>
        </is>
      </c>
      <c r="L267" s="15" t="inlineStr">
        <is>
          <t>UI: 'Bạn không có quyền truy cập khu vực quản trị.'; API: 403 FORBIDDEN.</t>
        </is>
      </c>
      <c r="M267" s="15" t="inlineStr"/>
      <c r="N267" s="18" t="inlineStr">
        <is>
          <t>Chưa test</t>
        </is>
      </c>
      <c r="O267" s="15" t="inlineStr"/>
      <c r="P267" s="15" t="inlineStr"/>
      <c r="Q267" s="18" t="inlineStr">
        <is>
          <t>Chưa test</t>
        </is>
      </c>
      <c r="R267" s="15" t="inlineStr"/>
    </row>
    <row r="268" ht="75" customHeight="1">
      <c r="A268" s="14" t="inlineStr">
        <is>
          <t>TC-ADM-267</t>
        </is>
      </c>
      <c r="B268" s="15" t="inlineStr">
        <is>
          <t>Admin Console (đợt 1)</t>
        </is>
      </c>
      <c r="C268" s="15" t="inlineStr">
        <is>
          <t>Hồi quy: Hoàn tiền / Chi trả / Khóa (trong khung mới)</t>
        </is>
      </c>
      <c r="D268" s="15" t="inlineStr">
        <is>
          <t>Khóa/mở khóa cộng đồng (route cũ) vẫn trả COMMUNITY_LOCKED và đồng bộ trạng thái mới</t>
        </is>
      </c>
      <c r="E268" s="15" t="inlineStr">
        <is>
          <t>Tích hợp</t>
        </is>
      </c>
      <c r="F268" s="16" t="inlineStr">
        <is>
          <t>Cao</t>
        </is>
      </c>
      <c r="G268" s="17" t="inlineStr">
        <is>
          <t>Đã hoàn thiện</t>
        </is>
      </c>
      <c r="H268" s="17" t="inlineStr">
        <is>
          <t>Có</t>
        </is>
      </c>
      <c r="I2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68" s="15" t="inlineStr">
        <is>
          <t>1. POST /api/admin/courses/des/lock {"reason":"Vi phạm"}
2. GET /api/admin/communities/des
3. Thành viên des POST bài -&gt; 403 COMMUNITY_LOCKED
4. POST /api/admin/courses/des/unlock
5. GET /api/admin/communities/des</t>
        </is>
      </c>
      <c r="K268" s="15" t="inlineStr">
        <is>
          <t>des</t>
        </is>
      </c>
      <c r="L268" s="15" t="inlineStr">
        <is>
          <t>Sau lock: admin communities hiển thị status=suspended (locked=true được hiểu là suspended); sau unlock: moderationStatus=active, status=active; thao tác thành viên hoạt động lại.</t>
        </is>
      </c>
      <c r="M268" s="15" t="inlineStr"/>
      <c r="N268" s="18" t="inlineStr">
        <is>
          <t>Chưa test</t>
        </is>
      </c>
      <c r="O268" s="15" t="inlineStr"/>
      <c r="P268" s="15" t="inlineStr"/>
      <c r="Q268" s="18" t="inlineStr">
        <is>
          <t>Chưa test</t>
        </is>
      </c>
      <c r="R268" s="15" t="inlineStr"/>
    </row>
    <row r="269" ht="30" customHeight="1">
      <c r="A269" s="14" t="inlineStr">
        <is>
          <t>TC-ADM-268</t>
        </is>
      </c>
      <c r="B269" s="15" t="inlineStr">
        <is>
          <t>Admin Console (đợt 1)</t>
        </is>
      </c>
      <c r="C269" s="15" t="inlineStr">
        <is>
          <t>Hồi quy: Hoàn tiền / Chi trả / Khóa (trong khung mới)</t>
        </is>
      </c>
      <c r="D269" s="15" t="inlineStr">
        <is>
          <t>Trang quản trị cũ (AdminPage/AdminReportsPage) không còn; /admin/reports điều hướng</t>
        </is>
      </c>
      <c r="E269" s="15" t="inlineStr">
        <is>
          <t>Chức năng</t>
        </is>
      </c>
      <c r="F269" s="17" t="inlineStr">
        <is>
          <t>Thấp</t>
        </is>
      </c>
      <c r="G269" s="17" t="inlineStr">
        <is>
          <t>Đã hoàn thiện</t>
        </is>
      </c>
      <c r="H269" s="17" t="inlineStr">
        <is>
          <t>Có</t>
        </is>
      </c>
      <c r="I2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69" s="15" t="inlineStr">
        <is>
          <t>1. Mở /admin (không còn trang cũ nhiều tab)
2. Mở /admin/reports</t>
        </is>
      </c>
      <c r="K269" s="15" t="inlineStr">
        <is>
          <t>-</t>
        </is>
      </c>
      <c r="L269" s="15" t="inlineStr">
        <is>
          <t>/admin là Bảng điều khiển mới; /admin/reports chuyển /admin/moderation; không có route lỗi 404/trắng.</t>
        </is>
      </c>
      <c r="M269" s="15" t="inlineStr"/>
      <c r="N269" s="18" t="inlineStr">
        <is>
          <t>Chưa test</t>
        </is>
      </c>
      <c r="O269" s="15" t="inlineStr"/>
      <c r="P269" s="15" t="inlineStr"/>
      <c r="Q269" s="18" t="inlineStr">
        <is>
          <t>Chưa test</t>
        </is>
      </c>
      <c r="R269" s="15" t="inlineStr"/>
    </row>
    <row r="270" ht="30" customHeight="1">
      <c r="A270" s="14" t="inlineStr">
        <is>
          <t>TC-ADM-269</t>
        </is>
      </c>
      <c r="B270" s="15" t="inlineStr">
        <is>
          <t>Admin Console (đợt 1)</t>
        </is>
      </c>
      <c r="C270" s="15" t="inlineStr">
        <is>
          <t>Phi chức năng: Ngôn ngữ / Ổn định / Bảo mật</t>
        </is>
      </c>
      <c r="D270" s="15" t="inlineStr">
        <is>
          <t>Toàn bộ nhãn giao diện admin bằng tiếng Việt (trừ tên riêng và câu hoạt động lạ)</t>
        </is>
      </c>
      <c r="E270" s="15" t="inlineStr">
        <is>
          <t>Giao diện</t>
        </is>
      </c>
      <c r="F270" s="20" t="inlineStr">
        <is>
          <t>Trung bình</t>
        </is>
      </c>
      <c r="G270" s="17" t="inlineStr">
        <is>
          <t>Đã hoàn thiện</t>
        </is>
      </c>
      <c r="H270" s="16" t="inlineStr">
        <is>
          <t>Không</t>
        </is>
      </c>
      <c r="I2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70" s="15" t="inlineStr">
        <is>
          <t>1. Duyệt qua mọi trang: Tổng quan, Cộng đồng (5 trang), Người dùng (3 trang + chi tiết), Kiểm duyệt (6 trang + chi tiết), Nhật ký
2. Mở mọi hộp thoại hành động và toast</t>
        </is>
      </c>
      <c r="K270" s="15" t="inlineStr">
        <is>
          <t>-</t>
        </is>
      </c>
      <c r="L27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70" s="15" t="inlineStr"/>
      <c r="N270" s="18" t="inlineStr">
        <is>
          <t>Chưa test</t>
        </is>
      </c>
      <c r="O270" s="15" t="inlineStr"/>
      <c r="P270" s="15" t="inlineStr"/>
      <c r="Q270" s="18" t="inlineStr">
        <is>
          <t>Chưa test</t>
        </is>
      </c>
      <c r="R270" s="15" t="inlineStr"/>
    </row>
    <row r="271" ht="30" customHeight="1">
      <c r="A271" s="14" t="inlineStr">
        <is>
          <t>TC-ADM-270</t>
        </is>
      </c>
      <c r="B271" s="15" t="inlineStr">
        <is>
          <t>Admin Console (đợt 1)</t>
        </is>
      </c>
      <c r="C271" s="15" t="inlineStr">
        <is>
          <t>Phi chức năng: Ngôn ngữ / Ổn định / Bảo mật</t>
        </is>
      </c>
      <c r="D271" s="15" t="inlineStr">
        <is>
          <t>Định dạng ngày giờ và tiền tệ nhất quán</t>
        </is>
      </c>
      <c r="E271" s="15" t="inlineStr">
        <is>
          <t>Giao diện</t>
        </is>
      </c>
      <c r="F271" s="17" t="inlineStr">
        <is>
          <t>Thấp</t>
        </is>
      </c>
      <c r="G271" s="17" t="inlineStr">
        <is>
          <t>Đã hoàn thiện</t>
        </is>
      </c>
      <c r="H271" s="16" t="inlineStr">
        <is>
          <t>Không</t>
        </is>
      </c>
      <c r="I2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71" s="15" t="inlineStr">
        <is>
          <t>1. Quan sát cột ngày, 'x phút trước', số tiền ở Người dùng/Cộng đồng/Doanh thu</t>
        </is>
      </c>
      <c r="K271" s="15" t="inlineStr">
        <is>
          <t>-</t>
        </is>
      </c>
      <c r="L271" s="15" t="inlineStr">
        <is>
          <t>Ngày theo định dạng Việt, thời gian tương đối bằng tiếng Việt, tiền hiển thị USD đúng cent ($19.00), số lớn có phân tách hàng nghìn.</t>
        </is>
      </c>
      <c r="M271" s="15" t="inlineStr"/>
      <c r="N271" s="18" t="inlineStr">
        <is>
          <t>Chưa test</t>
        </is>
      </c>
      <c r="O271" s="15" t="inlineStr"/>
      <c r="P271" s="15" t="inlineStr"/>
      <c r="Q271" s="18" t="inlineStr">
        <is>
          <t>Chưa test</t>
        </is>
      </c>
      <c r="R271" s="15" t="inlineStr"/>
    </row>
    <row r="272" ht="30" customHeight="1">
      <c r="A272" s="14" t="inlineStr">
        <is>
          <t>TC-ADM-271</t>
        </is>
      </c>
      <c r="B272" s="15" t="inlineStr">
        <is>
          <t>Admin Console (đợt 1)</t>
        </is>
      </c>
      <c r="C272" s="15" t="inlineStr">
        <is>
          <t>Phi chức năng: Ngôn ngữ / Ổn định / Bảo mật</t>
        </is>
      </c>
      <c r="D272" s="15" t="inlineStr">
        <is>
          <t>Toast thành công/lỗi hiển thị cho mọi hành động và tự ẩn</t>
        </is>
      </c>
      <c r="E272" s="15" t="inlineStr">
        <is>
          <t>Giao diện</t>
        </is>
      </c>
      <c r="F272" s="20" t="inlineStr">
        <is>
          <t>Trung bình</t>
        </is>
      </c>
      <c r="G272" s="17" t="inlineStr">
        <is>
          <t>Đã hoàn thiện</t>
        </is>
      </c>
      <c r="H272" s="20" t="inlineStr">
        <is>
          <t>Một phần</t>
        </is>
      </c>
      <c r="I2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72" s="15" t="inlineStr">
        <is>
          <t>1. Thực hiện một hành động thành công (vd. Cảnh cáo)
2. Gây lỗi (vd. mở 2 tab, tạm ngưng cùng một cộng đồng ở cả hai)</t>
        </is>
      </c>
      <c r="K272" s="15" t="inlineStr">
        <is>
          <t>-</t>
        </is>
      </c>
      <c r="L272" s="15" t="inlineStr">
        <is>
          <t>Thành công: toast 'Đã ...'; lỗi: toast hiển thị message từ BE (vd. 409); toast tự ẩn sau vài giây; hộp thoại đóng khi thành công, giữ mở khi lỗi.</t>
        </is>
      </c>
      <c r="M272" s="15" t="inlineStr"/>
      <c r="N272" s="18" t="inlineStr">
        <is>
          <t>Chưa test</t>
        </is>
      </c>
      <c r="O272" s="15" t="inlineStr"/>
      <c r="P272" s="15" t="inlineStr"/>
      <c r="Q272" s="18" t="inlineStr">
        <is>
          <t>Chưa test</t>
        </is>
      </c>
      <c r="R272" s="15" t="inlineStr"/>
    </row>
    <row r="273" ht="30" customHeight="1">
      <c r="A273" s="14" t="inlineStr">
        <is>
          <t>TC-ADM-272</t>
        </is>
      </c>
      <c r="B273" s="15" t="inlineStr">
        <is>
          <t>Admin Console (đợt 1)</t>
        </is>
      </c>
      <c r="C273" s="15" t="inlineStr">
        <is>
          <t>Phi chức năng: Ngôn ngữ / Ổn định / Bảo mật</t>
        </is>
      </c>
      <c r="D273" s="15" t="inlineStr">
        <is>
          <t>Hộp thoại hành động: Esc/Hủy đóng, nút xác nhận chặn bấm đúp</t>
        </is>
      </c>
      <c r="E273" s="15" t="inlineStr">
        <is>
          <t>Giao diện</t>
        </is>
      </c>
      <c r="F273" s="17" t="inlineStr">
        <is>
          <t>Thấp</t>
        </is>
      </c>
      <c r="G273" s="17" t="inlineStr">
        <is>
          <t>Đã hoàn thiện</t>
        </is>
      </c>
      <c r="H273" s="20" t="inlineStr">
        <is>
          <t>Một phần</t>
        </is>
      </c>
      <c r="I2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73" s="15" t="inlineStr">
        <is>
          <t>1. Mở hộp thoại 'Tạm ngưng' rồi bấm 'Hủy' / Esc / nền mờ
2. Mở lại, xác nhận và bấm đúp nhanh nút xác nhận</t>
        </is>
      </c>
      <c r="K273" s="15" t="inlineStr">
        <is>
          <t>-</t>
        </is>
      </c>
      <c r="L273" s="15" t="inlineStr">
        <is>
          <t>Hủy/Esc/nền mờ đóng không gọi API; xác nhận chỉ gửi 1 request (nút disabled khi đang xử lý), audit chỉ có 1 dòng.</t>
        </is>
      </c>
      <c r="M273" s="15" t="inlineStr"/>
      <c r="N273" s="18" t="inlineStr">
        <is>
          <t>Chưa test</t>
        </is>
      </c>
      <c r="O273" s="15" t="inlineStr"/>
      <c r="P273" s="15" t="inlineStr"/>
      <c r="Q273" s="18" t="inlineStr">
        <is>
          <t>Chưa test</t>
        </is>
      </c>
      <c r="R273" s="15" t="inlineStr"/>
    </row>
    <row r="274" ht="45" customHeight="1">
      <c r="A274" s="14" t="inlineStr">
        <is>
          <t>TC-ADM-273</t>
        </is>
      </c>
      <c r="B274" s="15" t="inlineStr">
        <is>
          <t>Admin Console (đợt 1)</t>
        </is>
      </c>
      <c r="C274" s="15" t="inlineStr">
        <is>
          <t>Phi chức năng: Ngôn ngữ / Ổn định / Bảo mật</t>
        </is>
      </c>
      <c r="D274" s="15" t="inlineStr">
        <is>
          <t>Tải lại trang giữ nguyên tab/mục chọn qua URL (?tab=, ?id=, ?sort=)</t>
        </is>
      </c>
      <c r="E274" s="15" t="inlineStr">
        <is>
          <t>Chức năng</t>
        </is>
      </c>
      <c r="F274" s="17" t="inlineStr">
        <is>
          <t>Thấp</t>
        </is>
      </c>
      <c r="G274" s="17" t="inlineStr">
        <is>
          <t>Đã hoàn thiện</t>
        </is>
      </c>
      <c r="H274" s="17" t="inlineStr">
        <is>
          <t>Có</t>
        </is>
      </c>
      <c r="I2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74" s="15" t="inlineStr">
        <is>
          <t>1. Mở /admin/users/&lt;id&gt;?tab=security và F5
2. Mở /admin/communities/review?id=creator-academy và F5
3. Mở /admin/users?sort=reports</t>
        </is>
      </c>
      <c r="K274" s="15" t="inlineStr">
        <is>
          <t>-</t>
        </is>
      </c>
      <c r="L274" s="15" t="inlineStr">
        <is>
          <t>Sau F5 vẫn ở đúng tab/mục chọn; sort=reports áp dụng sẵn ở bộ lọc 'Sắp xếp'.</t>
        </is>
      </c>
      <c r="M274" s="15" t="inlineStr"/>
      <c r="N274" s="18" t="inlineStr">
        <is>
          <t>Chưa test</t>
        </is>
      </c>
      <c r="O274" s="15" t="inlineStr"/>
      <c r="P274" s="15" t="inlineStr"/>
      <c r="Q274" s="18" t="inlineStr">
        <is>
          <t>Chưa test</t>
        </is>
      </c>
      <c r="R274" s="15" t="inlineStr"/>
    </row>
    <row r="275" ht="30" customHeight="1">
      <c r="A275" s="14" t="inlineStr">
        <is>
          <t>TC-ADM-274</t>
        </is>
      </c>
      <c r="B275" s="15" t="inlineStr">
        <is>
          <t>Admin Console (đợt 1)</t>
        </is>
      </c>
      <c r="C275" s="15" t="inlineStr">
        <is>
          <t>Phi chức năng: Ngôn ngữ / Ổn định / Bảo mật</t>
        </is>
      </c>
      <c r="D275" s="15" t="inlineStr">
        <is>
          <t>Token hết hạn khi đang dùng admin: tự refresh hoặc chuyển về đăng nhập</t>
        </is>
      </c>
      <c r="E275" s="15" t="inlineStr">
        <is>
          <t>Bảo mật</t>
        </is>
      </c>
      <c r="F275" s="20" t="inlineStr">
        <is>
          <t>Trung bình</t>
        </is>
      </c>
      <c r="G275" s="17" t="inlineStr">
        <is>
          <t>Đã hoàn thiện</t>
        </is>
      </c>
      <c r="H275" s="20" t="inlineStr">
        <is>
          <t>Một phần</t>
        </is>
      </c>
      <c r="I2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Đăng nhập admin@sofinhub.test / Passw0rd!x (Platform Admin, cần PLATFORM_ADMIN_EMAILS=admin@sofinhub.test). Frontend :5173, backend :4000.</t>
        </is>
      </c>
      <c r="J275" s="15" t="inlineStr">
        <is>
          <t>1. Đang ở /admin, xóa access token (hoặc chờ 15 phút)
2. Bấm một bộ lọc để gọi API</t>
        </is>
      </c>
      <c r="K275" s="15" t="inlineStr">
        <is>
          <t>-</t>
        </is>
      </c>
      <c r="L275" s="15" t="inlineStr">
        <is>
          <t>Hệ thống refresh token tự động và tiếp tục; nếu refresh thất bại thì chuyển /login; không treo loading vô hạn.</t>
        </is>
      </c>
      <c r="M275" s="15" t="inlineStr"/>
      <c r="N275" s="18" t="inlineStr">
        <is>
          <t>Chưa test</t>
        </is>
      </c>
      <c r="O275" s="15" t="inlineStr"/>
      <c r="P275" s="15" t="inlineStr"/>
      <c r="Q275" s="18" t="inlineStr">
        <is>
          <t>Chưa test</t>
        </is>
      </c>
      <c r="R275" s="15" t="inlineStr"/>
    </row>
    <row r="276" ht="45" customHeight="1">
      <c r="A276" s="14" t="inlineStr">
        <is>
          <t>TC-ADM-275</t>
        </is>
      </c>
      <c r="B276" s="15" t="inlineStr">
        <is>
          <t>Admin Console (đợt 1)</t>
        </is>
      </c>
      <c r="C276" s="15" t="inlineStr">
        <is>
          <t>Phi chức năng: Ngôn ngữ / Ổn định / Bảo mật</t>
        </is>
      </c>
      <c r="D276" s="15" t="inlineStr">
        <is>
          <t>Gỡ quyền Platform Admin (bỏ email khỏi PLATFORM_ADMIN_EMAILS) mất truy cập ngay</t>
        </is>
      </c>
      <c r="E276" s="15" t="inlineStr">
        <is>
          <t>Bảo mật</t>
        </is>
      </c>
      <c r="F276" s="20" t="inlineStr">
        <is>
          <t>Trung bình</t>
        </is>
      </c>
      <c r="G276" s="17" t="inlineStr">
        <is>
          <t>Đã hoàn thiện</t>
        </is>
      </c>
      <c r="H276" s="16" t="inlineStr">
        <is>
          <t>Không</t>
        </is>
      </c>
      <c r="I2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KHÔNG phải Platform Admin). Lấy accessToken bằng POST /api/auth/login {"email":"admin@sofinhub.test","password":"Passw0rd!x"}, gửi header Authorization: Bearer &lt;token&gt;. Cần sửa env backend và restart.</t>
        </is>
      </c>
      <c r="J276" s="15" t="inlineStr">
        <is>
          <t>1. Bỏ admin@sofinhub.test khỏi PLATFORM_ADMIN_EMAILS, khởi động lại BE
2. Gọi GET /api/admin/me bằng token cũ
3. Khôi phục env</t>
        </is>
      </c>
      <c r="K276" s="15" t="inlineStr">
        <is>
          <t>-</t>
        </is>
      </c>
      <c r="L276" s="15" t="inlineStr">
        <is>
          <t>403 FORBIDDEN (quyền kiểm theo email mỗi request); UI /admin hiện 'Bạn không có quyền truy cập khu vực quản trị.'.</t>
        </is>
      </c>
      <c r="M276" s="15" t="inlineStr"/>
      <c r="N276" s="18" t="inlineStr">
        <is>
          <t>Chưa test</t>
        </is>
      </c>
      <c r="O276" s="15" t="inlineStr"/>
      <c r="P276" s="15" t="inlineStr"/>
      <c r="Q276" s="18" t="inlineStr">
        <is>
          <t>Chưa test</t>
        </is>
      </c>
      <c r="R276" s="15" t="inlineStr"/>
    </row>
    <row r="277" ht="45" customHeight="1">
      <c r="A277" s="14" t="inlineStr">
        <is>
          <t>TC-ADM-276</t>
        </is>
      </c>
      <c r="B277" s="15" t="inlineStr">
        <is>
          <t>Admin Console (đợt 1)</t>
        </is>
      </c>
      <c r="C277" s="15" t="inlineStr">
        <is>
          <t>Điểm chưa làm / chưa chốt</t>
        </is>
      </c>
      <c r="D277" s="15" t="inlineStr">
        <is>
          <t>Cộng đồng do người dùng tạo mới phải chờ duyệt (pending_review)</t>
        </is>
      </c>
      <c r="E277" s="15" t="inlineStr">
        <is>
          <t>Chức năng</t>
        </is>
      </c>
      <c r="F277" s="16" t="inlineStr">
        <is>
          <t>Cao</t>
        </is>
      </c>
      <c r="G277" s="20" t="inlineStr">
        <is>
          <t>Kế hoạch</t>
        </is>
      </c>
      <c r="H277" s="16" t="inlineStr">
        <is>
          <t>Không</t>
        </is>
      </c>
      <c r="I277" s="15" t="inlineStr">
        <is>
          <t>Chính sách chưa chốt (PLAN câu hỏi #7). Hiện BE tạo cộng đồng mới ở trạng thái active ngay.</t>
        </is>
      </c>
      <c r="J277" s="15" t="inlineStr">
        <is>
          <t>1. Đăng nhập newbie@sofinhub.test, tạo cộng đồng mới (POST /api/courses)
2. Admin mở /admin/communities/review
3. Tìm cộng đồng mới ở /courses</t>
        </is>
      </c>
      <c r="K277" s="15" t="inlineStr">
        <is>
          <t>-</t>
        </is>
      </c>
      <c r="L277" s="15" t="inlineStr">
        <is>
          <t>KỲ VỌNG SAU KHI CHỐT: cộng đồng mới ở trạng thái pending_review, xuất hiện ở hàng đợi xét duyệt, chưa hiện ở /courses cho tới khi admin duyệt. HIỆN TẠI: active ngay (muốn bật chỉ cần đặt moderationStatus='pending_review' ở communitiesService.create).</t>
        </is>
      </c>
      <c r="M277" s="15" t="inlineStr"/>
      <c r="N277" s="18" t="inlineStr">
        <is>
          <t>Chưa test</t>
        </is>
      </c>
      <c r="O277" s="15" t="inlineStr"/>
      <c r="P277" s="15" t="inlineStr"/>
      <c r="Q277" s="18" t="inlineStr">
        <is>
          <t>Chưa test</t>
        </is>
      </c>
      <c r="R277" s="15" t="inlineStr"/>
    </row>
    <row r="278" ht="30" customHeight="1">
      <c r="A278" s="14" t="inlineStr">
        <is>
          <t>TC-ADM-277</t>
        </is>
      </c>
      <c r="B278" s="15" t="inlineStr">
        <is>
          <t>Admin Console (đợt 1)</t>
        </is>
      </c>
      <c r="C278" s="15" t="inlineStr">
        <is>
          <t>Điểm chưa làm / chưa chốt</t>
        </is>
      </c>
      <c r="D278" s="15" t="inlineStr">
        <is>
          <t>Suspend/xóa cộng đồng tự hủy hoặc đóng băng gói đăng ký và hoàn tiền theo chính sách</t>
        </is>
      </c>
      <c r="E278" s="15" t="inlineStr">
        <is>
          <t>Chức năng</t>
        </is>
      </c>
      <c r="F278" s="16" t="inlineStr">
        <is>
          <t>Cao</t>
        </is>
      </c>
      <c r="G278" s="20" t="inlineStr">
        <is>
          <t>Kế hoạch</t>
        </is>
      </c>
      <c r="H278" s="16" t="inlineStr">
        <is>
          <t>Không</t>
        </is>
      </c>
      <c r="I278" s="15" t="inlineStr">
        <is>
          <t>Chưa chốt chính sách tiền khi cộng đồng bị đình chỉ/xóa.</t>
        </is>
      </c>
      <c r="J278" s="15" t="inlineStr">
        <is>
          <t>1. Tạm ngưng paid-demo
2. Kiểm tra Subscription, scheduler thu phí kỳ tiếp theo</t>
        </is>
      </c>
      <c r="K278" s="15" t="inlineStr">
        <is>
          <t>paid-demo</t>
        </is>
      </c>
      <c r="L278" s="15" t="inlineStr">
        <is>
          <t>KỲ VỌNG SAU KHI CHỐT: dừng thu phí/hủy gói/hoàn tiền theo quy định. HIỆN TẠI: gói vẫn active.</t>
        </is>
      </c>
      <c r="M278" s="15" t="inlineStr"/>
      <c r="N278" s="18" t="inlineStr">
        <is>
          <t>Chưa test</t>
        </is>
      </c>
      <c r="O278" s="15" t="inlineStr"/>
      <c r="P278" s="15" t="inlineStr"/>
      <c r="Q278" s="18" t="inlineStr">
        <is>
          <t>Chưa test</t>
        </is>
      </c>
      <c r="R278" s="15" t="inlineStr"/>
    </row>
    <row r="279" ht="30" customHeight="1">
      <c r="A279" s="14" t="inlineStr">
        <is>
          <t>TC-ADM-278</t>
        </is>
      </c>
      <c r="B279" s="15" t="inlineStr">
        <is>
          <t>Admin Console (đợt 1)</t>
        </is>
      </c>
      <c r="C279" s="15" t="inlineStr">
        <is>
          <t>Điểm chưa làm / chưa chốt</t>
        </is>
      </c>
      <c r="D279" s="15" t="inlineStr">
        <is>
          <t>Phân quyền admin chi tiết: vai trò Moderator / Finance / Support</t>
        </is>
      </c>
      <c r="E279" s="15" t="inlineStr">
        <is>
          <t>Bảo mật</t>
        </is>
      </c>
      <c r="F279" s="16" t="inlineStr">
        <is>
          <t>Cao</t>
        </is>
      </c>
      <c r="G279" s="20" t="inlineStr">
        <is>
          <t>Kế hoạch</t>
        </is>
      </c>
      <c r="H279" s="16" t="inlineStr">
        <is>
          <t>Không</t>
        </is>
      </c>
      <c r="I279" s="15" t="inlineStr">
        <is>
          <t>Hiện mọi Platform Admin (email trong PLATFORM_ADMIN_EMAILS) có quyền như nhau; 'Tài khoản quản trị', 'Vai trò &amp; Quyền' đang là trang 'Sắp có'.</t>
        </is>
      </c>
      <c r="J279" s="15" t="inlineStr">
        <is>
          <t>1. Tạo tài khoản Moderator chỉ được xử lý vụ việc
2. Thử truy cập hoàn tiền/chi trả</t>
        </is>
      </c>
      <c r="K279" s="15" t="inlineStr">
        <is>
          <t>-</t>
        </is>
      </c>
      <c r="L279" s="15" t="inlineStr">
        <is>
          <t>KỲ VỌNG SAU KHI LÀM: Moderator không vào được Thanh toán; Finance không ban người dùng; mỗi thao tác ghi audit theo vai trò.</t>
        </is>
      </c>
      <c r="M279" s="15" t="inlineStr"/>
      <c r="N279" s="18" t="inlineStr">
        <is>
          <t>Chưa test</t>
        </is>
      </c>
      <c r="O279" s="15" t="inlineStr"/>
      <c r="P279" s="15" t="inlineStr"/>
      <c r="Q279" s="18" t="inlineStr">
        <is>
          <t>Chưa test</t>
        </is>
      </c>
      <c r="R279" s="15" t="inlineStr"/>
    </row>
    <row r="280" ht="30" customHeight="1">
      <c r="A280" s="14" t="inlineStr">
        <is>
          <t>TC-ADM-279</t>
        </is>
      </c>
      <c r="B280" s="15" t="inlineStr">
        <is>
          <t>Admin Console (đợt 1)</t>
        </is>
      </c>
      <c r="C280" s="15" t="inlineStr">
        <is>
          <t>Điểm chưa làm / chưa chốt</t>
        </is>
      </c>
      <c r="D280" s="15" t="inlineStr">
        <is>
          <t>Platform Admin bắt buộc xác thực email/2FA</t>
        </is>
      </c>
      <c r="E280" s="15" t="inlineStr">
        <is>
          <t>Bảo mật</t>
        </is>
      </c>
      <c r="F280" s="16" t="inlineStr">
        <is>
          <t>Cao</t>
        </is>
      </c>
      <c r="G280" s="20" t="inlineStr">
        <is>
          <t>Kế hoạch</t>
        </is>
      </c>
      <c r="H280" s="16" t="inlineStr">
        <is>
          <t>Không</t>
        </is>
      </c>
      <c r="I280" s="15" t="inlineStr">
        <is>
          <t>Rủi ro đã ghi nhận: chỉ so email trong PLATFORM_ADMIN_EMAILS, chưa bắt emailVerified; chưa có 2FA.</t>
        </is>
      </c>
      <c r="J280" s="15" t="inlineStr">
        <is>
          <t>1. Đăng ký tài khoản mới bằng email nằm trong PLATFORM_ADMIN_EMAILS nhưng chưa xác thực email
2. Gọi GET /api/admin/me</t>
        </is>
      </c>
      <c r="K280" s="15" t="inlineStr">
        <is>
          <t>-</t>
        </is>
      </c>
      <c r="L280" s="15" t="inlineStr">
        <is>
          <t>KỲ VỌNG SAU KHI LÀM: 403 cho tới khi xác thực email (và 2FA). HIỆN TẠI: được vào.</t>
        </is>
      </c>
      <c r="M280" s="15" t="inlineStr"/>
      <c r="N280" s="18" t="inlineStr">
        <is>
          <t>Chưa test</t>
        </is>
      </c>
      <c r="O280" s="15" t="inlineStr"/>
      <c r="P280" s="15" t="inlineStr"/>
      <c r="Q280" s="18" t="inlineStr">
        <is>
          <t>Chưa test</t>
        </is>
      </c>
      <c r="R280" s="15" t="inlineStr"/>
    </row>
    <row r="281" ht="30" customHeight="1">
      <c r="A281" s="14" t="inlineStr">
        <is>
          <t>TC-ADM-280</t>
        </is>
      </c>
      <c r="B281" s="15" t="inlineStr">
        <is>
          <t>Admin Console (đợt 1)</t>
        </is>
      </c>
      <c r="C281" s="15" t="inlineStr">
        <is>
          <t>Điểm chưa làm / chưa chốt</t>
        </is>
      </c>
      <c r="D281" s="15" t="inlineStr">
        <is>
          <t>Tổng quan: chip 'Hôm nay', khoảng tùy chọn và 'So sánh kỳ trước'</t>
        </is>
      </c>
      <c r="E281" s="15" t="inlineStr">
        <is>
          <t>Chức năng</t>
        </is>
      </c>
      <c r="F281" s="17" t="inlineStr">
        <is>
          <t>Thấp</t>
        </is>
      </c>
      <c r="G281" s="20" t="inlineStr">
        <is>
          <t>Kế hoạch</t>
        </is>
      </c>
      <c r="H281" s="16" t="inlineStr">
        <is>
          <t>Không</t>
        </is>
      </c>
      <c r="I281" s="15" t="inlineStr">
        <is>
          <t>Thiếu ở BE (range=1, from/to, compare) - frontend/ADMIN_BACKEND_GAPS.md.</t>
        </is>
      </c>
      <c r="J281" s="15" t="inlineStr">
        <is>
          <t>1. Mở /admin
2. Tìm chip 'Hôm nay'/'Tùy chọn' và nút so sánh kỳ trước</t>
        </is>
      </c>
      <c r="K281" s="15" t="inlineStr">
        <is>
          <t>-</t>
        </is>
      </c>
      <c r="L281" s="15" t="inlineStr">
        <is>
          <t>KỲ VỌNG SAU KHI LÀM: có chip và đường nét đứt kỳ trước. HIỆN TẠI: chỉ có chip 7/30/90 ngày, không có nút so sánh.</t>
        </is>
      </c>
      <c r="M281" s="15" t="inlineStr"/>
      <c r="N281" s="18" t="inlineStr">
        <is>
          <t>Chưa test</t>
        </is>
      </c>
      <c r="O281" s="15" t="inlineStr"/>
      <c r="P281" s="15" t="inlineStr"/>
      <c r="Q281" s="18" t="inlineStr">
        <is>
          <t>Chưa test</t>
        </is>
      </c>
      <c r="R281" s="15" t="inlineStr"/>
    </row>
    <row r="282" ht="30" customHeight="1">
      <c r="A282" s="14" t="inlineStr">
        <is>
          <t>TC-ADM-281</t>
        </is>
      </c>
      <c r="B282" s="15" t="inlineStr">
        <is>
          <t>Admin Console (đợt 1)</t>
        </is>
      </c>
      <c r="C282" s="15" t="inlineStr">
        <is>
          <t>Điểm chưa làm / chưa chốt</t>
        </is>
      </c>
      <c r="D282" s="15" t="inlineStr">
        <is>
          <t>Xuất dữ liệu CSV (Tổng quan, Cộng đồng, Người dùng)</t>
        </is>
      </c>
      <c r="E282" s="15" t="inlineStr">
        <is>
          <t>Chức năng</t>
        </is>
      </c>
      <c r="F282" s="17" t="inlineStr">
        <is>
          <t>Thấp</t>
        </is>
      </c>
      <c r="G282" s="20" t="inlineStr">
        <is>
          <t>Kế hoạch</t>
        </is>
      </c>
      <c r="H282" s="16" t="inlineStr">
        <is>
          <t>Không</t>
        </is>
      </c>
      <c r="I282" s="15" t="inlineStr">
        <is>
          <t>Thiếu ở BE (export CSV).</t>
        </is>
      </c>
      <c r="J282" s="15" t="inlineStr">
        <is>
          <t>1. Tìm nút 'Xuất dữ liệu' ở 3 trang</t>
        </is>
      </c>
      <c r="K282" s="15" t="inlineStr">
        <is>
          <t>-</t>
        </is>
      </c>
      <c r="L282" s="15" t="inlineStr">
        <is>
          <t>KỲ VỌNG SAU KHI LÀM: tải được CSV đúng bộ lọc. HIỆN TẠI: nút bị ẩn.</t>
        </is>
      </c>
      <c r="M282" s="15" t="inlineStr"/>
      <c r="N282" s="18" t="inlineStr">
        <is>
          <t>Chưa test</t>
        </is>
      </c>
      <c r="O282" s="15" t="inlineStr"/>
      <c r="P282" s="15" t="inlineStr"/>
      <c r="Q282" s="18" t="inlineStr">
        <is>
          <t>Chưa test</t>
        </is>
      </c>
      <c r="R282" s="15" t="inlineStr"/>
    </row>
    <row r="283" ht="30" customHeight="1">
      <c r="A283" s="14" t="inlineStr">
        <is>
          <t>TC-ADM-282</t>
        </is>
      </c>
      <c r="B283" s="15" t="inlineStr">
        <is>
          <t>Admin Console (đợt 1)</t>
        </is>
      </c>
      <c r="C283" s="15" t="inlineStr">
        <is>
          <t>Điểm chưa làm / chưa chốt</t>
        </is>
      </c>
      <c r="D283" s="15" t="inlineStr">
        <is>
          <t>Thao tác hàng loạt (bulk approve/suspend/resolve) ở Cộng đồng, Người dùng, Kiểm duyệt</t>
        </is>
      </c>
      <c r="E283" s="15" t="inlineStr">
        <is>
          <t>Chức năng</t>
        </is>
      </c>
      <c r="F283" s="20" t="inlineStr">
        <is>
          <t>Trung bình</t>
        </is>
      </c>
      <c r="G283" s="20" t="inlineStr">
        <is>
          <t>Kế hoạch</t>
        </is>
      </c>
      <c r="H283" s="16" t="inlineStr">
        <is>
          <t>Không</t>
        </is>
      </c>
      <c r="I283" s="15" t="inlineStr">
        <is>
          <t>Thiếu ở BE.</t>
        </is>
      </c>
      <c r="J283" s="15" t="inlineStr">
        <is>
          <t>1. Tìm checkbox chọn nhiều và thanh bulk</t>
        </is>
      </c>
      <c r="K283" s="15" t="inlineStr">
        <is>
          <t>-</t>
        </is>
      </c>
      <c r="L283" s="15" t="inlineStr">
        <is>
          <t>KỲ VỌNG SAU KHI LÀM: chọn nhiều dòng và áp dụng một hành động, mỗi dòng 1 audit. HIỆN TẠI: ẩn.</t>
        </is>
      </c>
      <c r="M283" s="15" t="inlineStr"/>
      <c r="N283" s="18" t="inlineStr">
        <is>
          <t>Chưa test</t>
        </is>
      </c>
      <c r="O283" s="15" t="inlineStr"/>
      <c r="P283" s="15" t="inlineStr"/>
      <c r="Q283" s="18" t="inlineStr">
        <is>
          <t>Chưa test</t>
        </is>
      </c>
      <c r="R283" s="15" t="inlineStr"/>
    </row>
    <row r="284" ht="30" customHeight="1">
      <c r="A284" s="14" t="inlineStr">
        <is>
          <t>TC-ADM-283</t>
        </is>
      </c>
      <c r="B284" s="15" t="inlineStr">
        <is>
          <t>Admin Console (đợt 1)</t>
        </is>
      </c>
      <c r="C284" s="15" t="inlineStr">
        <is>
          <t>Điểm chưa làm / chưa chốt</t>
        </is>
      </c>
      <c r="D284" s="15" t="inlineStr">
        <is>
          <t>Tạo cộng đồng hộ chủ sở hữu từ admin</t>
        </is>
      </c>
      <c r="E284" s="15" t="inlineStr">
        <is>
          <t>Chức năng</t>
        </is>
      </c>
      <c r="F284" s="17" t="inlineStr">
        <is>
          <t>Thấp</t>
        </is>
      </c>
      <c r="G284" s="20" t="inlineStr">
        <is>
          <t>Kế hoạch</t>
        </is>
      </c>
      <c r="H284" s="16" t="inlineStr">
        <is>
          <t>Không</t>
        </is>
      </c>
      <c r="I284" s="15" t="inlineStr">
        <is>
          <t>Thiếu POST /admin/communities.</t>
        </is>
      </c>
      <c r="J284" s="15" t="inlineStr">
        <is>
          <t>1. Tìm nút 'Tạo cộng đồng' ở /admin/communities</t>
        </is>
      </c>
      <c r="K284" s="15" t="inlineStr">
        <is>
          <t>-</t>
        </is>
      </c>
      <c r="L284" s="15" t="inlineStr">
        <is>
          <t>KỲ VỌNG SAU KHI LÀM: tạo cộng đồng theo email chủ. HIỆN TẠI: nút bị ẩn.</t>
        </is>
      </c>
      <c r="M284" s="15" t="inlineStr"/>
      <c r="N284" s="18" t="inlineStr">
        <is>
          <t>Chưa test</t>
        </is>
      </c>
      <c r="O284" s="15" t="inlineStr"/>
      <c r="P284" s="15" t="inlineStr"/>
      <c r="Q284" s="18" t="inlineStr">
        <is>
          <t>Chưa test</t>
        </is>
      </c>
      <c r="R284" s="15" t="inlineStr"/>
    </row>
    <row r="285" ht="30" customHeight="1">
      <c r="A285" s="14" t="inlineStr">
        <is>
          <t>TC-ADM-284</t>
        </is>
      </c>
      <c r="B285" s="15" t="inlineStr">
        <is>
          <t>Admin Console (đợt 1)</t>
        </is>
      </c>
      <c r="C285" s="15" t="inlineStr">
        <is>
          <t>Điểm chưa làm / chưa chốt</t>
        </is>
      </c>
      <c r="D285" s="15" t="inlineStr">
        <is>
          <t>Chi tiết cộng đồng: tab Khóa học/Sự kiện/Bảng xếp hạng, danh sách bài viết kèm Hide/Remove/Restore, sửa thông tin</t>
        </is>
      </c>
      <c r="E285" s="15" t="inlineStr">
        <is>
          <t>Chức năng</t>
        </is>
      </c>
      <c r="F285" s="20" t="inlineStr">
        <is>
          <t>Trung bình</t>
        </is>
      </c>
      <c r="G285" s="20" t="inlineStr">
        <is>
          <t>Kế hoạch</t>
        </is>
      </c>
      <c r="H285" s="16" t="inlineStr">
        <is>
          <t>Không</t>
        </is>
      </c>
      <c r="I285" s="15" t="inlineStr">
        <is>
          <t>Thiếu ở BE.</t>
        </is>
      </c>
      <c r="J285" s="15" t="inlineStr">
        <is>
          <t>1. Mở /admin/communities/photo, đếm tab và tìm hành động sửa/ẩn bài</t>
        </is>
      </c>
      <c r="K285" s="15" t="inlineStr">
        <is>
          <t>-</t>
        </is>
      </c>
      <c r="L285" s="15" t="inlineStr">
        <is>
          <t>KỲ VỌNG SAU KHI LÀM: đủ các tab và hành động. HIỆN TẠI: chỉ 6 tab; 'Bài viết &amp; Bình luận' chỉ có số liệu; Cài đặt chỉ đọc.</t>
        </is>
      </c>
      <c r="M285" s="15" t="inlineStr"/>
      <c r="N285" s="18" t="inlineStr">
        <is>
          <t>Chưa test</t>
        </is>
      </c>
      <c r="O285" s="15" t="inlineStr"/>
      <c r="P285" s="15" t="inlineStr"/>
      <c r="Q285" s="18" t="inlineStr">
        <is>
          <t>Chưa test</t>
        </is>
      </c>
      <c r="R285" s="15" t="inlineStr"/>
    </row>
    <row r="286" ht="30" customHeight="1">
      <c r="A286" s="14" t="inlineStr">
        <is>
          <t>TC-ADM-285</t>
        </is>
      </c>
      <c r="B286" s="15" t="inlineStr">
        <is>
          <t>Admin Console (đợt 1)</t>
        </is>
      </c>
      <c r="C286" s="15" t="inlineStr">
        <is>
          <t>Điểm chưa làm / chưa chốt</t>
        </is>
      </c>
      <c r="D286" s="15" t="inlineStr">
        <is>
          <t>Người dùng: quốc gia, điện thoại, đổi vai trò, 2FA, lọc quốc gia/ngày đăng ký/hoạt động gần nhất, bulk suspend</t>
        </is>
      </c>
      <c r="E286" s="15" t="inlineStr">
        <is>
          <t>Chức năng</t>
        </is>
      </c>
      <c r="F286" s="17" t="inlineStr">
        <is>
          <t>Thấp</t>
        </is>
      </c>
      <c r="G286" s="20" t="inlineStr">
        <is>
          <t>Kế hoạch</t>
        </is>
      </c>
      <c r="H286" s="16" t="inlineStr">
        <is>
          <t>Không</t>
        </is>
      </c>
      <c r="I286" s="15" t="inlineStr">
        <is>
          <t>Thiếu ở BE.</t>
        </is>
      </c>
      <c r="J286" s="15" t="inlineStr">
        <is>
          <t>1. Xem cột và bộ lọc của /admin/users</t>
        </is>
      </c>
      <c r="K286" s="15" t="inlineStr">
        <is>
          <t>-</t>
        </is>
      </c>
      <c r="L286" s="15" t="inlineStr">
        <is>
          <t>KỲ VỌNG SAU KHI LÀM: có các cột/bộ lọc đó. HIỆN TẠI: ẩn; chỉ có Trạng thái, Vai trò, Gói, Sắp xếp.</t>
        </is>
      </c>
      <c r="M286" s="15" t="inlineStr"/>
      <c r="N286" s="18" t="inlineStr">
        <is>
          <t>Chưa test</t>
        </is>
      </c>
      <c r="O286" s="15" t="inlineStr"/>
      <c r="P286" s="15" t="inlineStr"/>
      <c r="Q286" s="18" t="inlineStr">
        <is>
          <t>Chưa test</t>
        </is>
      </c>
      <c r="R286" s="15" t="inlineStr"/>
    </row>
    <row r="287" ht="30" customHeight="1">
      <c r="A287" s="14" t="inlineStr">
        <is>
          <t>TC-ADM-286</t>
        </is>
      </c>
      <c r="B287" s="15" t="inlineStr">
        <is>
          <t>Admin Console (đợt 1)</t>
        </is>
      </c>
      <c r="C287" s="15" t="inlineStr">
        <is>
          <t>Điểm chưa làm / chưa chốt</t>
        </is>
      </c>
      <c r="D287" s="15" t="inlineStr">
        <is>
          <t>Vụ việc: đính kèm tệp bằng chứng, trang 'Review Content'/'Review User', hoàn tác (Revoke warning/Unban/Undo removal)</t>
        </is>
      </c>
      <c r="E287" s="15" t="inlineStr">
        <is>
          <t>Chức năng</t>
        </is>
      </c>
      <c r="F287" s="20" t="inlineStr">
        <is>
          <t>Trung bình</t>
        </is>
      </c>
      <c r="G287" s="20" t="inlineStr">
        <is>
          <t>Kế hoạch</t>
        </is>
      </c>
      <c r="H287" s="16" t="inlineStr">
        <is>
          <t>Không</t>
        </is>
      </c>
      <c r="I287" s="15" t="inlineStr">
        <is>
          <t>Thiếu ở BE.</t>
        </is>
      </c>
      <c r="J287" s="15" t="inlineStr">
        <is>
          <t>1. Mở chi tiết vụ việc, tìm khối 'Bằng chứng' tệp đính kèm và nút hoàn tác</t>
        </is>
      </c>
      <c r="K287" s="15" t="inlineStr">
        <is>
          <t>-</t>
        </is>
      </c>
      <c r="L287" s="15" t="inlineStr">
        <is>
          <t>KỲ VỌNG SAU KHI LÀM: đính kèm/hoàn tác được và ghi audit. HIỆN TẠI: 'Báo cáo liên quan' + 'Vụ việc tương tự' thay cho bằng chứng; gỡ cấm làm ở Người dùng &gt; Khôi phục.</t>
        </is>
      </c>
      <c r="M287" s="15" t="inlineStr"/>
      <c r="N287" s="18" t="inlineStr">
        <is>
          <t>Chưa test</t>
        </is>
      </c>
      <c r="O287" s="15" t="inlineStr"/>
      <c r="P287" s="15" t="inlineStr"/>
      <c r="Q287" s="18" t="inlineStr">
        <is>
          <t>Chưa test</t>
        </is>
      </c>
      <c r="R287" s="15" t="inlineStr"/>
    </row>
    <row r="288" ht="30" customHeight="1">
      <c r="A288" s="14" t="inlineStr">
        <is>
          <t>TC-ADM-287</t>
        </is>
      </c>
      <c r="B288" s="15" t="inlineStr">
        <is>
          <t>Admin Console (đợt 1)</t>
        </is>
      </c>
      <c r="C288" s="15" t="inlineStr">
        <is>
          <t>Điểm chưa làm / chưa chốt</t>
        </is>
      </c>
      <c r="D288" s="15" t="inlineStr">
        <is>
          <t>Nhật ký: lọc theo quản trị viên/lý do trên giao diện</t>
        </is>
      </c>
      <c r="E288" s="15" t="inlineStr">
        <is>
          <t>Chức năng</t>
        </is>
      </c>
      <c r="F288" s="17" t="inlineStr">
        <is>
          <t>Thấp</t>
        </is>
      </c>
      <c r="G288" s="20" t="inlineStr">
        <is>
          <t>Kế hoạch</t>
        </is>
      </c>
      <c r="H288" s="16" t="inlineStr">
        <is>
          <t>Không</t>
        </is>
      </c>
      <c r="I288" s="15" t="inlineStr">
        <is>
          <t>Thiếu ở FE (API đã có actor).</t>
        </is>
      </c>
      <c r="J288" s="15" t="inlineStr">
        <is>
          <t>1. Mở /admin/system/audit, tìm bộ lọc quản trị viên/lý do</t>
        </is>
      </c>
      <c r="K288" s="15" t="inlineStr">
        <is>
          <t>-</t>
        </is>
      </c>
      <c r="L288" s="15" t="inlineStr">
        <is>
          <t>KỲ VỌNG SAU KHI LÀM: lọc theo actor và reason trên UI. HIỆN TẠI: chỉ lọc theo loại hành động + tìm kiếm.</t>
        </is>
      </c>
      <c r="M288" s="15" t="inlineStr"/>
      <c r="N288" s="18" t="inlineStr">
        <is>
          <t>Chưa test</t>
        </is>
      </c>
      <c r="O288" s="15" t="inlineStr"/>
      <c r="P288" s="15" t="inlineStr"/>
      <c r="Q288" s="18" t="inlineStr">
        <is>
          <t>Chưa test</t>
        </is>
      </c>
      <c r="R288" s="15" t="inlineStr"/>
    </row>
    <row r="289" ht="30" customHeight="1">
      <c r="A289" s="14" t="inlineStr">
        <is>
          <t>TC-ADM-288</t>
        </is>
      </c>
      <c r="B289" s="15" t="inlineStr">
        <is>
          <t>Admin Console (đợt 1)</t>
        </is>
      </c>
      <c r="C289" s="15" t="inlineStr">
        <is>
          <t>Điểm chưa làm / chưa chốt</t>
        </is>
      </c>
      <c r="D289" s="15" t="inlineStr">
        <is>
          <t>Lưu checklist xét duyệt thủ công (Chất lượng nội dung, Tuân thủ chính sách) cùng quyết định</t>
        </is>
      </c>
      <c r="E289" s="15" t="inlineStr">
        <is>
          <t>Chức năng</t>
        </is>
      </c>
      <c r="F289" s="17" t="inlineStr">
        <is>
          <t>Thấp</t>
        </is>
      </c>
      <c r="G289" s="20" t="inlineStr">
        <is>
          <t>Kế hoạch</t>
        </is>
      </c>
      <c r="H289" s="16" t="inlineStr">
        <is>
          <t>Không</t>
        </is>
      </c>
      <c r="I289" s="15" t="inlineStr">
        <is>
          <t>Chưa có ở BE.</t>
        </is>
      </c>
      <c r="J289" s="15" t="inlineStr">
        <is>
          <t>1. Tích 2 mục, duyệt cộng đồng, xem lại lịch sử</t>
        </is>
      </c>
      <c r="K289" s="15" t="inlineStr">
        <is>
          <t>-</t>
        </is>
      </c>
      <c r="L289" s="15" t="inlineStr">
        <is>
          <t>KỲ VỌNG SAU KHI LÀM: checklist lưu cùng quyết định. HIỆN TẠI: chỉ ở trình duyệt, không lưu.</t>
        </is>
      </c>
      <c r="M289" s="15" t="inlineStr"/>
      <c r="N289" s="18" t="inlineStr">
        <is>
          <t>Chưa test</t>
        </is>
      </c>
      <c r="O289" s="15" t="inlineStr"/>
      <c r="P289" s="15" t="inlineStr"/>
      <c r="Q289" s="18" t="inlineStr">
        <is>
          <t>Chưa test</t>
        </is>
      </c>
      <c r="R289" s="15" t="inlineStr"/>
    </row>
    <row r="290" ht="30" customHeight="1">
      <c r="A290" s="14" t="inlineStr">
        <is>
          <t>TC-ADM-289</t>
        </is>
      </c>
      <c r="B290" s="15" t="inlineStr">
        <is>
          <t>Admin Console (đợt 1)</t>
        </is>
      </c>
      <c r="C290" s="15" t="inlineStr">
        <is>
          <t>Điểm chưa làm / chưa chốt</t>
        </is>
      </c>
      <c r="D290" s="15" t="inlineStr">
        <is>
          <t>Gộp báo cáo trùng thành 'case' thật (bảng riêng)</t>
        </is>
      </c>
      <c r="E290" s="15" t="inlineStr">
        <is>
          <t>Chức năng</t>
        </is>
      </c>
      <c r="F290" s="17" t="inlineStr">
        <is>
          <t>Thấp</t>
        </is>
      </c>
      <c r="G290" s="20" t="inlineStr">
        <is>
          <t>Kế hoạch</t>
        </is>
      </c>
      <c r="H290" s="16" t="inlineStr">
        <is>
          <t>Không</t>
        </is>
      </c>
      <c r="I290" s="15" t="inlineStr">
        <is>
          <t>Hiện chỉ gộp ở mức hiển thị.</t>
        </is>
      </c>
      <c r="J290" s="15" t="inlineStr">
        <is>
          <t>1. Tạo 10 báo cáo cùng một bài</t>
        </is>
      </c>
      <c r="K290" s="15" t="inlineStr">
        <is>
          <t>-</t>
        </is>
      </c>
      <c r="L290" s="15" t="inlineStr">
        <is>
          <t>KỲ VỌNG SAU KHI LÀM: một case duy nhất đại diện. HIỆN TẠI: nhiều dòng Report, hàng đợi ẩn bản trùng.</t>
        </is>
      </c>
      <c r="M290" s="15" t="inlineStr"/>
      <c r="N290" s="18" t="inlineStr">
        <is>
          <t>Chưa test</t>
        </is>
      </c>
      <c r="O290" s="15" t="inlineStr"/>
      <c r="P290" s="15" t="inlineStr"/>
      <c r="Q290" s="18" t="inlineStr">
        <is>
          <t>Chưa test</t>
        </is>
      </c>
      <c r="R290" s="15" t="inlineStr"/>
    </row>
    <row r="291" ht="30" customHeight="1">
      <c r="A291" s="14" t="inlineStr">
        <is>
          <t>TC-ADM-290</t>
        </is>
      </c>
      <c r="B291" s="15" t="inlineStr">
        <is>
          <t>Admin Console (đợt 1)</t>
        </is>
      </c>
      <c r="C291" s="15" t="inlineStr">
        <is>
          <t>Điểm chưa làm / chưa chốt</t>
        </is>
      </c>
      <c r="D291" s="15" t="inlineStr">
        <is>
          <t>Các nhóm Nội dung / Thanh toán (Giao dịch, Gói, Tranh chấp, Doanh thu creator) / Khám phá / Phân tích / Hỗ trợ / Hệ thống đầy đủ</t>
        </is>
      </c>
      <c r="E291" s="15" t="inlineStr">
        <is>
          <t>Chức năng</t>
        </is>
      </c>
      <c r="F291" s="17" t="inlineStr">
        <is>
          <t>Thấp</t>
        </is>
      </c>
      <c r="G291" s="20" t="inlineStr">
        <is>
          <t>Kế hoạch</t>
        </is>
      </c>
      <c r="H291" s="16" t="inlineStr">
        <is>
          <t>Không</t>
        </is>
      </c>
      <c r="I291" s="15" t="inlineStr">
        <is>
          <t>Đợt sau; hiện là trang 'Sắp có'.</t>
        </is>
      </c>
      <c r="J291" s="15" t="inlineStr">
        <is>
          <t>1. Mở từng mục chưa làm trong sidebar</t>
        </is>
      </c>
      <c r="K291" s="15" t="inlineStr">
        <is>
          <t>-</t>
        </is>
      </c>
      <c r="L291" s="15" t="inlineStr">
        <is>
          <t>KỲ VỌNG SAU KHI LÀM: màn thật theo từng mục. HIỆN TẠI: trang 'Sắp có' (đã có case kiểm tra ở nhóm Khung admin).</t>
        </is>
      </c>
      <c r="M291" s="15" t="inlineStr"/>
      <c r="N291" s="18" t="inlineStr">
        <is>
          <t>Chưa test</t>
        </is>
      </c>
      <c r="O291" s="15" t="inlineStr"/>
      <c r="P291" s="15" t="inlineStr"/>
      <c r="Q291" s="18" t="inlineStr">
        <is>
          <t>Chưa test</t>
        </is>
      </c>
      <c r="R291" s="15" t="inlineStr"/>
    </row>
  </sheetData>
  <autoFilter ref="A1:R291"/>
  <conditionalFormatting sqref="N2:N2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1" showDropDown="0" showInputMessage="0" showErrorMessage="0" allowBlank="1" type="list">
      <formula1>"Chưa test,Pass,Fail,Blocked,N/A"</formula1>
    </dataValidation>
    <dataValidation sqref="Q2:Q291" showDropDown="0" showInputMessage="0" showErrorMessage="0" allowBlank="1" type="list">
      <formula1>"Chưa test,Pass,Fail,Blocked,N/A"</formula1>
    </dataValidation>
    <dataValidation sqref="F2:F291" showDropDown="0" showInputMessage="0" showErrorMessage="0" allowBlank="1" type="list">
      <formula1>"Cao,Trung bình,Thấp"</formula1>
    </dataValidation>
    <dataValidation sqref="G2:G291" showDropDown="0" showInputMessage="0" showErrorMessage="0" allowBlank="1" type="list">
      <formula1>"Đã hoàn thiện,Kế hoạch"</formula1>
    </dataValidation>
    <dataValidation sqref="H2:H291"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3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TC-ADM2-003</t>
        </is>
      </c>
      <c r="B4" s="15" t="inlineStr">
        <is>
          <t>Admin Console (đợt 2: Nội dung, Thanh toán, Khám phá)</t>
        </is>
      </c>
      <c r="C4" s="15" t="inlineStr">
        <is>
          <t>Phân quyền &amp; điều hướng đợt 2</t>
        </is>
      </c>
      <c r="D4" s="15" t="inlineStr">
        <is>
          <t>Mở trực tiếp /admin/content/comments hiển thị trang 'Bình luận' (tải lazy, không lỗi)</t>
        </is>
      </c>
      <c r="E4" s="15" t="inlineStr">
        <is>
          <t>Chức năng</t>
        </is>
      </c>
      <c r="F4" s="16" t="inlineStr">
        <is>
          <t>Cao</t>
        </is>
      </c>
      <c r="G4" s="17" t="inlineStr">
        <is>
          <t>Đã hoàn thiện</t>
        </is>
      </c>
      <c r="H4" s="17" t="inlineStr">
        <is>
          <t>Có</t>
        </is>
      </c>
      <c r="I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 s="15" t="inlineStr">
        <is>
          <t>1. Gõ thẳng http://localhost:5173/admin/content/comments vào thanh địa chỉ
2. Chờ trang tải (route admin tải lazy)</t>
        </is>
      </c>
      <c r="K4" s="15" t="inlineStr">
        <is>
          <t>/admin/content/comments</t>
        </is>
      </c>
      <c r="L4" s="15" t="inlineStr">
        <is>
          <t>Hiện khung admin với tiêu đề trang 'Bình luận', mục sidebar tương ứng được tô sáng, breadcrumb đúng; không có màn trắng hay lỗi console.</t>
        </is>
      </c>
      <c r="M4" s="15" t="inlineStr"/>
      <c r="N4" s="18" t="inlineStr">
        <is>
          <t>Chưa test</t>
        </is>
      </c>
      <c r="O4" s="15" t="inlineStr"/>
      <c r="P4" s="15" t="inlineStr"/>
      <c r="Q4" s="18" t="inlineStr">
        <is>
          <t>Chưa test</t>
        </is>
      </c>
      <c r="R4" s="15" t="inlineStr"/>
    </row>
    <row r="5" ht="30" customHeight="1">
      <c r="A5" s="14" t="inlineStr">
        <is>
          <t>TC-ADM2-004</t>
        </is>
      </c>
      <c r="B5" s="15" t="inlineStr">
        <is>
          <t>Admin Console (đợt 2: Nội dung, Thanh toán, Khám phá)</t>
        </is>
      </c>
      <c r="C5" s="15" t="inlineStr">
        <is>
          <t>Phân quyền &amp; điều hướng đợt 2</t>
        </is>
      </c>
      <c r="D5" s="15" t="inlineStr">
        <is>
          <t>Mở trực tiếp /admin/content/courses hiển thị trang 'Khóa học' (tải lazy, không lỗi)</t>
        </is>
      </c>
      <c r="E5" s="15" t="inlineStr">
        <is>
          <t>Chức năng</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 s="15" t="inlineStr">
        <is>
          <t>1. Gõ thẳng http://localhost:5173/admin/content/courses vào thanh địa chỉ
2. Chờ trang tải (route admin tải lazy)</t>
        </is>
      </c>
      <c r="K5" s="15" t="inlineStr">
        <is>
          <t>/admin/content/courses</t>
        </is>
      </c>
      <c r="L5" s="15" t="inlineStr">
        <is>
          <t>Hiện khung admin với tiêu đề trang 'Khóa học', mục sidebar tương ứng được tô sáng, breadcrumb đúng; không có màn trắng hay lỗi console.</t>
        </is>
      </c>
      <c r="M5" s="15" t="inlineStr"/>
      <c r="N5" s="18" t="inlineStr">
        <is>
          <t>Chưa test</t>
        </is>
      </c>
      <c r="O5" s="15" t="inlineStr"/>
      <c r="P5" s="15" t="inlineStr"/>
      <c r="Q5" s="18" t="inlineStr">
        <is>
          <t>Chưa test</t>
        </is>
      </c>
      <c r="R5" s="15" t="inlineStr"/>
    </row>
    <row r="6" ht="30" customHeight="1">
      <c r="A6" s="14" t="inlineStr">
        <is>
          <t>TC-ADM2-005</t>
        </is>
      </c>
      <c r="B6" s="15" t="inlineStr">
        <is>
          <t>Admin Console (đợt 2: Nội dung, Thanh toán, Khám phá)</t>
        </is>
      </c>
      <c r="C6" s="15" t="inlineStr">
        <is>
          <t>Phân quyền &amp; điều hướng đợt 2</t>
        </is>
      </c>
      <c r="D6" s="15" t="inlineStr">
        <is>
          <t>Mở trực tiếp /admin/content/lessons hiển thị trang 'Bài học' (tải lazy, không lỗi)</t>
        </is>
      </c>
      <c r="E6" s="15" t="inlineStr">
        <is>
          <t>Chức năng</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 s="15" t="inlineStr">
        <is>
          <t>1. Gõ thẳng http://localhost:5173/admin/content/lessons vào thanh địa chỉ
2. Chờ trang tải (route admin tải lazy)</t>
        </is>
      </c>
      <c r="K6" s="15" t="inlineStr">
        <is>
          <t>/admin/content/lessons</t>
        </is>
      </c>
      <c r="L6" s="15" t="inlineStr">
        <is>
          <t>Hiện khung admin với tiêu đề trang 'Bài học', mục sidebar tương ứng được tô sáng, breadcrumb đúng; không có màn trắng hay lỗi console.</t>
        </is>
      </c>
      <c r="M6" s="15" t="inlineStr"/>
      <c r="N6" s="18" t="inlineStr">
        <is>
          <t>Chưa test</t>
        </is>
      </c>
      <c r="O6" s="15" t="inlineStr"/>
      <c r="P6" s="15" t="inlineStr"/>
      <c r="Q6" s="18" t="inlineStr">
        <is>
          <t>Chưa test</t>
        </is>
      </c>
      <c r="R6" s="15" t="inlineStr"/>
    </row>
    <row r="7" ht="30" customHeight="1">
      <c r="A7" s="14" t="inlineStr">
        <is>
          <t>TC-ADM2-006</t>
        </is>
      </c>
      <c r="B7" s="15" t="inlineStr">
        <is>
          <t>Admin Console (đợt 2: Nội dung, Thanh toán, Khám phá)</t>
        </is>
      </c>
      <c r="C7" s="15" t="inlineStr">
        <is>
          <t>Phân quyền &amp; điều hướng đợt 2</t>
        </is>
      </c>
      <c r="D7" s="15" t="inlineStr">
        <is>
          <t>Mở trực tiếp /admin/content/events hiển thị trang 'Sự kiện' (tải lazy, không lỗi)</t>
        </is>
      </c>
      <c r="E7" s="15" t="inlineStr">
        <is>
          <t>Chức năng</t>
        </is>
      </c>
      <c r="F7" s="16" t="inlineStr">
        <is>
          <t>Cao</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Gõ thẳng http://localhost:5173/admin/content/events vào thanh địa chỉ
2. Chờ trang tải (route admin tải lazy)</t>
        </is>
      </c>
      <c r="K7" s="15" t="inlineStr">
        <is>
          <t>/admin/content/events</t>
        </is>
      </c>
      <c r="L7" s="15" t="inlineStr">
        <is>
          <t>Hiện khung admin với tiêu đề trang 'Sự kiện', mục sidebar tương ứng được tô sáng, breadcrumb đúng; không có màn trắng hay lỗi console.</t>
        </is>
      </c>
      <c r="M7" s="15" t="inlineStr"/>
      <c r="N7" s="18" t="inlineStr">
        <is>
          <t>Chưa test</t>
        </is>
      </c>
      <c r="O7" s="15" t="inlineStr"/>
      <c r="P7" s="15" t="inlineStr"/>
      <c r="Q7" s="18" t="inlineStr">
        <is>
          <t>Chưa test</t>
        </is>
      </c>
      <c r="R7" s="15" t="inlineStr"/>
    </row>
    <row r="8" ht="30" customHeight="1">
      <c r="A8" s="14" t="inlineStr">
        <is>
          <t>TC-ADM2-007</t>
        </is>
      </c>
      <c r="B8" s="15" t="inlineStr">
        <is>
          <t>Admin Console (đợt 2: Nội dung, Thanh toán, Khám phá)</t>
        </is>
      </c>
      <c r="C8" s="15" t="inlineStr">
        <is>
          <t>Phân quyền &amp; điều hướng đợt 2</t>
        </is>
      </c>
      <c r="D8" s="15" t="inlineStr">
        <is>
          <t>Mở trực tiếp /admin/content/media hiển thị trang 'Media' (tải lazy, không lỗi)</t>
        </is>
      </c>
      <c r="E8" s="15" t="inlineStr">
        <is>
          <t>Chức năng</t>
        </is>
      </c>
      <c r="F8" s="16" t="inlineStr">
        <is>
          <t>Cao</t>
        </is>
      </c>
      <c r="G8" s="17" t="inlineStr">
        <is>
          <t>Đã hoàn thiện</t>
        </is>
      </c>
      <c r="H8" s="17" t="inlineStr">
        <is>
          <t>Có</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Gõ thẳng http://localhost:5173/admin/content/media vào thanh địa chỉ
2. Chờ trang tải (route admin tải lazy)</t>
        </is>
      </c>
      <c r="K8" s="15" t="inlineStr">
        <is>
          <t>/admin/content/media</t>
        </is>
      </c>
      <c r="L8" s="15" t="inlineStr">
        <is>
          <t>Hiện khung admin với tiêu đề trang 'Media', mục sidebar tương ứng được tô sáng, breadcrumb đúng; không có màn trắng hay lỗi console.</t>
        </is>
      </c>
      <c r="M8" s="15" t="inlineStr"/>
      <c r="N8" s="18" t="inlineStr">
        <is>
          <t>Chưa test</t>
        </is>
      </c>
      <c r="O8" s="15" t="inlineStr"/>
      <c r="P8" s="15" t="inlineStr"/>
      <c r="Q8" s="18" t="inlineStr">
        <is>
          <t>Chưa test</t>
        </is>
      </c>
      <c r="R8" s="15" t="inlineStr"/>
    </row>
    <row r="9" ht="30" customHeight="1">
      <c r="A9" s="14" t="inlineStr">
        <is>
          <t>TC-ADM2-008</t>
        </is>
      </c>
      <c r="B9" s="15" t="inlineStr">
        <is>
          <t>Admin Console (đợt 2: Nội dung, Thanh toán, Khám phá)</t>
        </is>
      </c>
      <c r="C9" s="15" t="inlineStr">
        <is>
          <t>Phân quyền &amp; điều hướng đợt 2</t>
        </is>
      </c>
      <c r="D9" s="15" t="inlineStr">
        <is>
          <t>Mở trực tiếp /admin/payments/tx hiển thị trang 'Giao dịch' (tải lazy, không lỗi)</t>
        </is>
      </c>
      <c r="E9" s="15" t="inlineStr">
        <is>
          <t>Chức năng</t>
        </is>
      </c>
      <c r="F9" s="16" t="inlineStr">
        <is>
          <t>Cao</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Gõ thẳng http://localhost:5173/admin/payments/tx vào thanh địa chỉ
2. Chờ trang tải (route admin tải lazy)</t>
        </is>
      </c>
      <c r="K9" s="15" t="inlineStr">
        <is>
          <t>/admin/payments/tx</t>
        </is>
      </c>
      <c r="L9" s="15" t="inlineStr">
        <is>
          <t>Hiện khung admin với tiêu đề trang 'Giao dịch', mục sidebar tương ứng được tô sáng, breadcrumb đúng; không có màn trắng hay lỗi console.</t>
        </is>
      </c>
      <c r="M9" s="15" t="inlineStr"/>
      <c r="N9" s="18" t="inlineStr">
        <is>
          <t>Chưa test</t>
        </is>
      </c>
      <c r="O9" s="15" t="inlineStr"/>
      <c r="P9" s="15" t="inlineStr"/>
      <c r="Q9" s="18" t="inlineStr">
        <is>
          <t>Chưa test</t>
        </is>
      </c>
      <c r="R9" s="15" t="inlineStr"/>
    </row>
    <row r="10" ht="30" customHeight="1">
      <c r="A10" s="14" t="inlineStr">
        <is>
          <t>TC-ADM2-009</t>
        </is>
      </c>
      <c r="B10" s="15" t="inlineStr">
        <is>
          <t>Admin Console (đợt 2: Nội dung, Thanh toán, Khám phá)</t>
        </is>
      </c>
      <c r="C10" s="15" t="inlineStr">
        <is>
          <t>Phân quyền &amp; điều hướng đợt 2</t>
        </is>
      </c>
      <c r="D10" s="15" t="inlineStr">
        <is>
          <t>Mở trực tiếp /admin/payments/subs hiển thị trang 'Gói đăng ký' (tải lazy, không lỗi)</t>
        </is>
      </c>
      <c r="E10" s="15" t="inlineStr">
        <is>
          <t>Chức năng</t>
        </is>
      </c>
      <c r="F10" s="16" t="inlineStr">
        <is>
          <t>Cao</t>
        </is>
      </c>
      <c r="G10" s="17" t="inlineStr">
        <is>
          <t>Đã hoàn thiện</t>
        </is>
      </c>
      <c r="H10" s="17" t="inlineStr">
        <is>
          <t>Có</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Gõ thẳng http://localhost:5173/admin/payments/subs vào thanh địa chỉ
2. Chờ trang tải (route admin tải lazy)</t>
        </is>
      </c>
      <c r="K10" s="15" t="inlineStr">
        <is>
          <t>/admin/payments/subs</t>
        </is>
      </c>
      <c r="L10" s="15" t="inlineStr">
        <is>
          <t>Hiện khung admin với tiêu đề trang 'Gói đăng ký', mục sidebar tương ứng được tô sáng, breadcrumb đúng; không có màn trắng hay lỗi console.</t>
        </is>
      </c>
      <c r="M10" s="15" t="inlineStr"/>
      <c r="N10" s="18" t="inlineStr">
        <is>
          <t>Chưa test</t>
        </is>
      </c>
      <c r="O10" s="15" t="inlineStr"/>
      <c r="P10" s="15" t="inlineStr"/>
      <c r="Q10" s="18" t="inlineStr">
        <is>
          <t>Chưa test</t>
        </is>
      </c>
      <c r="R10" s="15" t="inlineStr"/>
    </row>
    <row r="11" ht="30" customHeight="1">
      <c r="A11" s="14" t="inlineStr">
        <is>
          <t>TC-ADM2-010</t>
        </is>
      </c>
      <c r="B11" s="15" t="inlineStr">
        <is>
          <t>Admin Console (đợt 2: Nội dung, Thanh toán, Khám phá)</t>
        </is>
      </c>
      <c r="C11" s="15" t="inlineStr">
        <is>
          <t>Phân quyền &amp; điều hướng đợt 2</t>
        </is>
      </c>
      <c r="D11" s="15" t="inlineStr">
        <is>
          <t>Mở trực tiếp /admin/payments/refunds hiển thị trang 'Hoàn tiền' (tải lazy, không lỗi)</t>
        </is>
      </c>
      <c r="E11" s="15" t="inlineStr">
        <is>
          <t>Chức năng</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1" s="15" t="inlineStr">
        <is>
          <t>1. Gõ thẳng http://localhost:5173/admin/payments/refunds vào thanh địa chỉ
2. Chờ trang tải (route admin tải lazy)</t>
        </is>
      </c>
      <c r="K11" s="15" t="inlineStr">
        <is>
          <t>/admin/payments/refunds</t>
        </is>
      </c>
      <c r="L11" s="15" t="inlineStr">
        <is>
          <t>Hiện khung admin với tiêu đề trang 'Hoàn tiền', mục sidebar tương ứng được tô sáng, breadcrumb đúng; không có màn trắng hay lỗi console.</t>
        </is>
      </c>
      <c r="M11" s="15" t="inlineStr"/>
      <c r="N11" s="18" t="inlineStr">
        <is>
          <t>Chưa test</t>
        </is>
      </c>
      <c r="O11" s="15" t="inlineStr"/>
      <c r="P11" s="15" t="inlineStr"/>
      <c r="Q11" s="18" t="inlineStr">
        <is>
          <t>Chưa test</t>
        </is>
      </c>
      <c r="R11" s="15" t="inlineStr"/>
    </row>
    <row r="12" ht="30" customHeight="1">
      <c r="A12" s="14" t="inlineStr">
        <is>
          <t>TC-ADM2-011</t>
        </is>
      </c>
      <c r="B12" s="15" t="inlineStr">
        <is>
          <t>Admin Console (đợt 2: Nội dung, Thanh toán, Khám phá)</t>
        </is>
      </c>
      <c r="C12" s="15" t="inlineStr">
        <is>
          <t>Phân quyền &amp; điều hướng đợt 2</t>
        </is>
      </c>
      <c r="D12" s="15" t="inlineStr">
        <is>
          <t>Mở trực tiếp /admin/payments/chargebacks hiển thị trang 'Tranh chấp thanh toán' (tải lazy, không lỗi)</t>
        </is>
      </c>
      <c r="E12" s="15" t="inlineStr">
        <is>
          <t>Chức năng</t>
        </is>
      </c>
      <c r="F12" s="16" t="inlineStr">
        <is>
          <t>Cao</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 s="15" t="inlineStr">
        <is>
          <t>1. Gõ thẳng http://localhost:5173/admin/payments/chargebacks vào thanh địa chỉ
2. Chờ trang tải (route admin tải lazy)</t>
        </is>
      </c>
      <c r="K12" s="15" t="inlineStr">
        <is>
          <t>/admin/payments/chargebacks</t>
        </is>
      </c>
      <c r="L12" s="15" t="inlineStr">
        <is>
          <t>Hiện khung admin với tiêu đề trang 'Tranh chấp thanh toán', mục sidebar tương ứng được tô sáng, breadcrumb đúng; không có màn trắng hay lỗi console.</t>
        </is>
      </c>
      <c r="M12" s="15" t="inlineStr"/>
      <c r="N12" s="18" t="inlineStr">
        <is>
          <t>Chưa test</t>
        </is>
      </c>
      <c r="O12" s="15" t="inlineStr"/>
      <c r="P12" s="15" t="inlineStr"/>
      <c r="Q12" s="18" t="inlineStr">
        <is>
          <t>Chưa test</t>
        </is>
      </c>
      <c r="R12" s="15" t="inlineStr"/>
    </row>
    <row r="13" ht="30" customHeight="1">
      <c r="A13" s="14" t="inlineStr">
        <is>
          <t>TC-ADM2-012</t>
        </is>
      </c>
      <c r="B13" s="15" t="inlineStr">
        <is>
          <t>Admin Console (đợt 2: Nội dung, Thanh toán, Khám phá)</t>
        </is>
      </c>
      <c r="C13" s="15" t="inlineStr">
        <is>
          <t>Phân quyền &amp; điều hướng đợt 2</t>
        </is>
      </c>
      <c r="D13" s="15" t="inlineStr">
        <is>
          <t>Mở trực tiếp /admin/payments/creator hiển thị trang 'Doanh thu creator' (tải lazy, không lỗi)</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 s="15" t="inlineStr">
        <is>
          <t>1. Gõ thẳng http://localhost:5173/admin/payments/creator vào thanh địa chỉ
2. Chờ trang tải (route admin tải lazy)</t>
        </is>
      </c>
      <c r="K13" s="15" t="inlineStr">
        <is>
          <t>/admin/payments/creator</t>
        </is>
      </c>
      <c r="L13" s="15" t="inlineStr">
        <is>
          <t>Hiện khung admin với tiêu đề trang 'Doanh thu creator', mục sidebar tương ứng được tô sáng, breadcrumb đúng; không có màn trắng hay lỗi console.</t>
        </is>
      </c>
      <c r="M13" s="15" t="inlineStr"/>
      <c r="N13" s="18" t="inlineStr">
        <is>
          <t>Chưa test</t>
        </is>
      </c>
      <c r="O13" s="15" t="inlineStr"/>
      <c r="P13" s="15" t="inlineStr"/>
      <c r="Q13" s="18" t="inlineStr">
        <is>
          <t>Chưa test</t>
        </is>
      </c>
      <c r="R13" s="15" t="inlineStr"/>
    </row>
    <row r="14" ht="30" customHeight="1">
      <c r="A14" s="14" t="inlineStr">
        <is>
          <t>TC-ADM2-013</t>
        </is>
      </c>
      <c r="B14" s="15" t="inlineStr">
        <is>
          <t>Admin Console (đợt 2: Nội dung, Thanh toán, Khám phá)</t>
        </is>
      </c>
      <c r="C14" s="15" t="inlineStr">
        <is>
          <t>Phân quyền &amp; điều hướng đợt 2</t>
        </is>
      </c>
      <c r="D14" s="15" t="inlineStr">
        <is>
          <t>Mở trực tiếp /admin/payments/payouts hiển thị trang 'Chi trả' (tải lazy, không lỗi)</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4" s="15" t="inlineStr">
        <is>
          <t>1. Gõ thẳng http://localhost:5173/admin/payments/payouts vào thanh địa chỉ
2. Chờ trang tải (route admin tải lazy)</t>
        </is>
      </c>
      <c r="K14" s="15" t="inlineStr">
        <is>
          <t>/admin/payments/payouts</t>
        </is>
      </c>
      <c r="L14" s="15" t="inlineStr">
        <is>
          <t>Hiện khung admin với tiêu đề trang 'Chi trả', mục sidebar tương ứng được tô sáng, breadcrumb đúng; không có màn trắng hay lỗi console.</t>
        </is>
      </c>
      <c r="M14" s="15" t="inlineStr"/>
      <c r="N14" s="18" t="inlineStr">
        <is>
          <t>Chưa test</t>
        </is>
      </c>
      <c r="O14" s="15" t="inlineStr"/>
      <c r="P14" s="15" t="inlineStr"/>
      <c r="Q14" s="18" t="inlineStr">
        <is>
          <t>Chưa test</t>
        </is>
      </c>
      <c r="R14" s="15" t="inlineStr"/>
    </row>
    <row r="15" ht="30" customHeight="1">
      <c r="A15" s="14" t="inlineStr">
        <is>
          <t>TC-ADM2-014</t>
        </is>
      </c>
      <c r="B15" s="15" t="inlineStr">
        <is>
          <t>Admin Console (đợt 2: Nội dung, Thanh toán, Khám phá)</t>
        </is>
      </c>
      <c r="C15" s="15" t="inlineStr">
        <is>
          <t>Phân quyền &amp; điều hướng đợt 2</t>
        </is>
      </c>
      <c r="D15" s="15" t="inlineStr">
        <is>
          <t>Mở trực tiếp /admin/discovery/listed hiển thị trang 'Cộng đồng hiển thị' (tải lazy, không lỗi)</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5" s="15" t="inlineStr">
        <is>
          <t>1. Gõ thẳng http://localhost:5173/admin/discovery/listed vào thanh địa chỉ
2. Chờ trang tải (route admin tải lazy)</t>
        </is>
      </c>
      <c r="K15" s="15" t="inlineStr">
        <is>
          <t>/admin/discovery/listed</t>
        </is>
      </c>
      <c r="L15" s="15" t="inlineStr">
        <is>
          <t>Hiện khung admin với tiêu đề trang 'Cộng đồng hiển thị', mục sidebar tương ứng được tô sáng, breadcrumb đúng; không có màn trắng hay lỗi console.</t>
        </is>
      </c>
      <c r="M15" s="15" t="inlineStr"/>
      <c r="N15" s="18" t="inlineStr">
        <is>
          <t>Chưa test</t>
        </is>
      </c>
      <c r="O15" s="15" t="inlineStr"/>
      <c r="P15" s="15" t="inlineStr"/>
      <c r="Q15" s="18" t="inlineStr">
        <is>
          <t>Chưa test</t>
        </is>
      </c>
      <c r="R15" s="15" t="inlineStr"/>
    </row>
    <row r="16" ht="30" customHeight="1">
      <c r="A16" s="14" t="inlineStr">
        <is>
          <t>TC-ADM2-015</t>
        </is>
      </c>
      <c r="B16" s="15" t="inlineStr">
        <is>
          <t>Admin Console (đợt 2: Nội dung, Thanh toán, Khám phá)</t>
        </is>
      </c>
      <c r="C16" s="15" t="inlineStr">
        <is>
          <t>Phân quyền &amp; điều hướng đợt 2</t>
        </is>
      </c>
      <c r="D16" s="15" t="inlineStr">
        <is>
          <t>Mở trực tiếp /admin/discovery/categories hiển thị trang 'Danh mục' (tải lazy, không lỗi)</t>
        </is>
      </c>
      <c r="E16" s="15" t="inlineStr">
        <is>
          <t>Chức năng</t>
        </is>
      </c>
      <c r="F16" s="16" t="inlineStr">
        <is>
          <t>Cao</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thẳng http://localhost:5173/admin/discovery/categories vào thanh địa chỉ
2. Chờ trang tải (route admin tải lazy)</t>
        </is>
      </c>
      <c r="K16" s="15" t="inlineStr">
        <is>
          <t>/admin/discovery/categories</t>
        </is>
      </c>
      <c r="L16" s="15" t="inlineStr">
        <is>
          <t>Hiện khung admin với tiêu đề trang 'Danh mục', mục sidebar tương ứng được tô sáng, breadcrumb đúng; không có màn trắng hay lỗi console.</t>
        </is>
      </c>
      <c r="M16" s="15" t="inlineStr"/>
      <c r="N16" s="18" t="inlineStr">
        <is>
          <t>Chưa test</t>
        </is>
      </c>
      <c r="O16" s="15" t="inlineStr"/>
      <c r="P16" s="15" t="inlineStr"/>
      <c r="Q16" s="18" t="inlineStr">
        <is>
          <t>Chưa test</t>
        </is>
      </c>
      <c r="R16" s="15" t="inlineStr"/>
    </row>
    <row r="17" ht="30" customHeight="1">
      <c r="A17" s="14" t="inlineStr">
        <is>
          <t>TC-ADM2-016</t>
        </is>
      </c>
      <c r="B17" s="15" t="inlineStr">
        <is>
          <t>Admin Console (đợt 2: Nội dung, Thanh toán, Khám phá)</t>
        </is>
      </c>
      <c r="C17" s="15" t="inlineStr">
        <is>
          <t>Phân quyền &amp; điều hướng đợt 2</t>
        </is>
      </c>
      <c r="D17" s="15" t="inlineStr">
        <is>
          <t>Mở trực tiếp /admin/discovery/featured hiển thị trang 'Nổi bật' (tải lazy, không lỗi)</t>
        </is>
      </c>
      <c r="E17" s="15" t="inlineStr">
        <is>
          <t>Chức năng</t>
        </is>
      </c>
      <c r="F17" s="16" t="inlineStr">
        <is>
          <t>Cao</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 s="15" t="inlineStr">
        <is>
          <t>1. Gõ thẳng http://localhost:5173/admin/discovery/featured vào thanh địa chỉ
2. Chờ trang tải (route admin tải lazy)</t>
        </is>
      </c>
      <c r="K17" s="15" t="inlineStr">
        <is>
          <t>/admin/discovery/featured</t>
        </is>
      </c>
      <c r="L17" s="15" t="inlineStr">
        <is>
          <t>Hiện khung admin với tiêu đề trang 'Nổi bật', mục sidebar tương ứng được tô sáng, breadcrumb đúng; không có màn trắng hay lỗi console.</t>
        </is>
      </c>
      <c r="M17" s="15" t="inlineStr"/>
      <c r="N17" s="18" t="inlineStr">
        <is>
          <t>Chưa test</t>
        </is>
      </c>
      <c r="O17" s="15" t="inlineStr"/>
      <c r="P17" s="15" t="inlineStr"/>
      <c r="Q17" s="18" t="inlineStr">
        <is>
          <t>Chưa test</t>
        </is>
      </c>
      <c r="R17" s="15" t="inlineStr"/>
    </row>
    <row r="18" ht="30" customHeight="1">
      <c r="A18" s="14" t="inlineStr">
        <is>
          <t>TC-ADM2-017</t>
        </is>
      </c>
      <c r="B18" s="15" t="inlineStr">
        <is>
          <t>Admin Console (đợt 2: Nội dung, Thanh toán, Khám phá)</t>
        </is>
      </c>
      <c r="C18" s="15" t="inlineStr">
        <is>
          <t>Phân quyền &amp; điều hướng đợt 2</t>
        </is>
      </c>
      <c r="D18" s="15" t="inlineStr">
        <is>
          <t>Mở trực tiếp /admin/discovery/rankings hiển thị trang 'Xếp hạng' (tải lazy, không lỗi)</t>
        </is>
      </c>
      <c r="E18" s="15" t="inlineStr">
        <is>
          <t>Chức năng</t>
        </is>
      </c>
      <c r="F18" s="16" t="inlineStr">
        <is>
          <t>Cao</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Gõ thẳng http://localhost:5173/admin/discovery/rankings vào thanh địa chỉ
2. Chờ trang tải (route admin tải lazy)</t>
        </is>
      </c>
      <c r="K18" s="15" t="inlineStr">
        <is>
          <t>/admin/discovery/rankings</t>
        </is>
      </c>
      <c r="L18" s="15" t="inlineStr">
        <is>
          <t>Hiện khung admin với tiêu đề trang 'Xếp hạng', mục sidebar tương ứng được tô sáng, breadcrumb đúng; không có màn trắng hay lỗi console.</t>
        </is>
      </c>
      <c r="M18" s="15" t="inlineStr"/>
      <c r="N18" s="18" t="inlineStr">
        <is>
          <t>Chưa test</t>
        </is>
      </c>
      <c r="O18" s="15" t="inlineStr"/>
      <c r="P18" s="15" t="inlineStr"/>
      <c r="Q18" s="18" t="inlineStr">
        <is>
          <t>Chưa test</t>
        </is>
      </c>
      <c r="R18" s="15" t="inlineStr"/>
    </row>
    <row r="19" ht="30" customHeight="1">
      <c r="A19" s="14" t="inlineStr">
        <is>
          <t>TC-ADM2-018</t>
        </is>
      </c>
      <c r="B19" s="15" t="inlineStr">
        <is>
          <t>Admin Console (đợt 2: Nội dung, Thanh toán, Khám phá)</t>
        </is>
      </c>
      <c r="C19" s="15" t="inlineStr">
        <is>
          <t>Phân quyền &amp; điều hướng đợt 2</t>
        </is>
      </c>
      <c r="D19" s="15" t="inlineStr">
        <is>
          <t>Mở trực tiếp /admin/discovery/seo hiển thị trang 'Hiển thị tìm kiếm' (tải lazy, không lỗi)</t>
        </is>
      </c>
      <c r="E19" s="15" t="inlineStr">
        <is>
          <t>Chức năng</t>
        </is>
      </c>
      <c r="F19" s="16" t="inlineStr">
        <is>
          <t>Cao</t>
        </is>
      </c>
      <c r="G19" s="17" t="inlineStr">
        <is>
          <t>Đã hoàn thiện</t>
        </is>
      </c>
      <c r="H19" s="17" t="inlineStr">
        <is>
          <t>Có</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Gõ thẳng http://localhost:5173/admin/discovery/seo vào thanh địa chỉ
2. Chờ trang tải (route admin tải lazy)</t>
        </is>
      </c>
      <c r="K19" s="15" t="inlineStr">
        <is>
          <t>/admin/discovery/seo</t>
        </is>
      </c>
      <c r="L19" s="15" t="inlineStr">
        <is>
          <t>Hiện khung admin với tiêu đề trang 'Hiển thị tìm kiếm', mục sidebar tương ứng được tô sáng, breadcrumb đúng; không có màn trắng hay lỗi console.</t>
        </is>
      </c>
      <c r="M19" s="15" t="inlineStr"/>
      <c r="N19" s="18" t="inlineStr">
        <is>
          <t>Chưa test</t>
        </is>
      </c>
      <c r="O19" s="15" t="inlineStr"/>
      <c r="P19" s="15" t="inlineStr"/>
      <c r="Q19" s="18" t="inlineStr">
        <is>
          <t>Chưa test</t>
        </is>
      </c>
      <c r="R19" s="15" t="inlineStr"/>
    </row>
    <row r="20" ht="30" customHeight="1">
      <c r="A20" s="14" t="inlineStr">
        <is>
          <t>TC-ADM2-019</t>
        </is>
      </c>
      <c r="B20" s="15" t="inlineStr">
        <is>
          <t>Admin Console (đợt 2: Nội dung, Thanh toán, Khám phá)</t>
        </is>
      </c>
      <c r="C20" s="15" t="inlineStr">
        <is>
          <t>Phân quyền &amp; điều hướng đợt 2</t>
        </is>
      </c>
      <c r="D20" s="15" t="inlineStr">
        <is>
          <t>Guest mở /admin/payments/tx bị chuyển về /login</t>
        </is>
      </c>
      <c r="E20" s="15" t="inlineStr">
        <is>
          <t>Bảo mật</t>
        </is>
      </c>
      <c r="F20" s="16" t="inlineStr">
        <is>
          <t>Cao</t>
        </is>
      </c>
      <c r="G20" s="17" t="inlineStr">
        <is>
          <t>Đã hoàn thiện</t>
        </is>
      </c>
      <c r="H20" s="17" t="inlineStr">
        <is>
          <t>Có</t>
        </is>
      </c>
      <c r="I20" s="15" t="inlineStr">
        <is>
          <t>Chưa đăng nhập (xóa localStorage/cookie).</t>
        </is>
      </c>
      <c r="J20" s="15" t="inlineStr">
        <is>
          <t>1. Mở http://localhost:5173/admin/payments/tx</t>
        </is>
      </c>
      <c r="K20" s="15" t="inlineStr">
        <is>
          <t>-</t>
        </is>
      </c>
      <c r="L20" s="15" t="inlineStr">
        <is>
          <t>Chuyển tới /login (hoặc hiện yêu cầu đăng nhập); không thấy dữ liệu giao dịch.</t>
        </is>
      </c>
      <c r="M20" s="15" t="inlineStr"/>
      <c r="N20" s="18" t="inlineStr">
        <is>
          <t>Chưa test</t>
        </is>
      </c>
      <c r="O20" s="15" t="inlineStr"/>
      <c r="P20" s="15" t="inlineStr"/>
      <c r="Q20" s="18" t="inlineStr">
        <is>
          <t>Chưa test</t>
        </is>
      </c>
      <c r="R20" s="15" t="inlineStr"/>
    </row>
    <row r="21" ht="30" customHeight="1">
      <c r="A21" s="14" t="inlineStr">
        <is>
          <t>TC-ADM2-020</t>
        </is>
      </c>
      <c r="B21" s="15" t="inlineStr">
        <is>
          <t>Admin Console (đợt 2: Nội dung, Thanh toán, Khám phá)</t>
        </is>
      </c>
      <c r="C21" s="15" t="inlineStr">
        <is>
          <t>Phân quyền &amp; điều hướng đợt 2</t>
        </is>
      </c>
      <c r="D21" s="15" t="inlineStr">
        <is>
          <t>member1@sofinhub.test (member thường) vào /admin/content/posts bị chặn ở guard</t>
        </is>
      </c>
      <c r="E21" s="15" t="inlineStr">
        <is>
          <t>Bảo mật</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member1@sofinhub.test / Passw0rd!x.</t>
        </is>
      </c>
      <c r="J21" s="15" t="inlineStr">
        <is>
          <t>1. Mở http://localhost:5173/admin/content/posts
2. Thử tiếp /admin/payments/payouts và /admin/discovery/rankings</t>
        </is>
      </c>
      <c r="K21" s="15" t="inlineStr">
        <is>
          <t>member1@sofinhub.test</t>
        </is>
      </c>
      <c r="L21"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21" s="15" t="inlineStr"/>
      <c r="N21" s="18" t="inlineStr">
        <is>
          <t>Chưa test</t>
        </is>
      </c>
      <c r="O21" s="15" t="inlineStr"/>
      <c r="P21" s="15" t="inlineStr"/>
      <c r="Q21" s="18" t="inlineStr">
        <is>
          <t>Chưa test</t>
        </is>
      </c>
      <c r="R21" s="15" t="inlineStr"/>
    </row>
    <row r="22" ht="30" customHeight="1">
      <c r="A22" s="14" t="inlineStr">
        <is>
          <t>TC-ADM2-021</t>
        </is>
      </c>
      <c r="B22" s="15" t="inlineStr">
        <is>
          <t>Admin Console (đợt 2: Nội dung, Thanh toán, Khám phá)</t>
        </is>
      </c>
      <c r="C22" s="15" t="inlineStr">
        <is>
          <t>Phân quyền &amp; điều hướng đợt 2</t>
        </is>
      </c>
      <c r="D22" s="15" t="inlineStr">
        <is>
          <t>owner@sofinhub.test (chủ cộng đồng (Olivia Owner)) vào /admin/content/posts bị chặn ở guard</t>
        </is>
      </c>
      <c r="E22" s="15" t="inlineStr">
        <is>
          <t>Bảo mật</t>
        </is>
      </c>
      <c r="F22" s="16" t="inlineStr">
        <is>
          <t>Cao</t>
        </is>
      </c>
      <c r="G22" s="17" t="inlineStr">
        <is>
          <t>Đã hoàn thiện</t>
        </is>
      </c>
      <c r="H22" s="17" t="inlineStr">
        <is>
          <t>Có</t>
        </is>
      </c>
      <c r="I22" s="15" t="inlineStr">
        <is>
          <t>DB sạch sau npm run db:reset (có seed/admin-batch2.ts; mã POST-/CMT-/TXN-/SUB-/RF-/PO- cố định, xem sheet 'Tài khoản &amp; dữ liệu test' mục A3). Đăng nhập owner@sofinhub.test / Passw0rd!x.</t>
        </is>
      </c>
      <c r="J22" s="15" t="inlineStr">
        <is>
          <t>1. Mở http://localhost:5173/admin/content/posts
2. Thử tiếp /admin/payments/payouts và /admin/discovery/rankings</t>
        </is>
      </c>
      <c r="K22" s="15" t="inlineStr">
        <is>
          <t>owner@sofinhub.test</t>
        </is>
      </c>
      <c r="L22"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22" s="15" t="inlineStr"/>
      <c r="N22" s="18" t="inlineStr">
        <is>
          <t>Chưa test</t>
        </is>
      </c>
      <c r="O22" s="15" t="inlineStr"/>
      <c r="P22" s="15" t="inlineStr"/>
      <c r="Q22" s="18" t="inlineStr">
        <is>
          <t>Chưa test</t>
        </is>
      </c>
      <c r="R22" s="15" t="inlineStr"/>
    </row>
    <row r="23" ht="30" customHeight="1">
      <c r="A23" s="14" t="inlineStr">
        <is>
          <t>TC-ADM2-022</t>
        </is>
      </c>
      <c r="B23" s="15" t="inlineStr">
        <is>
          <t>Admin Console (đợt 2: Nội dung, Thanh toán, Khám phá)</t>
        </is>
      </c>
      <c r="C23" s="15" t="inlineStr">
        <is>
          <t>Phân quyền &amp; điều hướng đợt 2</t>
        </is>
      </c>
      <c r="D23" s="15" t="inlineStr">
        <is>
          <t>cadmin@sofinhub.test (admin cộng đồng photo) vào /admin/content/posts bị chặn ở guard</t>
        </is>
      </c>
      <c r="E23" s="15" t="inlineStr">
        <is>
          <t>Bảo mật</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cadmin@sofinhub.test / Passw0rd!x.</t>
        </is>
      </c>
      <c r="J23" s="15" t="inlineStr">
        <is>
          <t>1. Mở http://localhost:5173/admin/content/posts
2. Thử tiếp /admin/payments/payouts và /admin/discovery/rankings</t>
        </is>
      </c>
      <c r="K23" s="15" t="inlineStr">
        <is>
          <t>cadmin@sofinhub.test</t>
        </is>
      </c>
      <c r="L23"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23" s="15" t="inlineStr"/>
      <c r="N23" s="18" t="inlineStr">
        <is>
          <t>Chưa test</t>
        </is>
      </c>
      <c r="O23" s="15" t="inlineStr"/>
      <c r="P23" s="15" t="inlineStr"/>
      <c r="Q23" s="18" t="inlineStr">
        <is>
          <t>Chưa test</t>
        </is>
      </c>
      <c r="R23" s="15" t="inlineStr"/>
    </row>
    <row r="24" ht="30" customHeight="1">
      <c r="A24" s="14" t="inlineStr">
        <is>
          <t>TC-ADM2-023</t>
        </is>
      </c>
      <c r="B24" s="15" t="inlineStr">
        <is>
          <t>Admin Console (đợt 2: Nội dung, Thanh toán, Khám phá)</t>
        </is>
      </c>
      <c r="C24" s="15" t="inlineStr">
        <is>
          <t>Phân quyền &amp; điều hướng đợt 2</t>
        </is>
      </c>
      <c r="D24" s="15" t="inlineStr">
        <is>
          <t>mod@sofinhub.test (mod cộng đồng photo) vào /admin/content/posts bị chặn ở guard</t>
        </is>
      </c>
      <c r="E24" s="15" t="inlineStr">
        <is>
          <t>Bảo mật</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mod@sofinhub.test / Passw0rd!x.</t>
        </is>
      </c>
      <c r="J24" s="15" t="inlineStr">
        <is>
          <t>1. Mở http://localhost:5173/admin/content/posts
2. Thử tiếp /admin/payments/payouts và /admin/discovery/rankings</t>
        </is>
      </c>
      <c r="K24" s="15" t="inlineStr">
        <is>
          <t>mod@sofinhub.test</t>
        </is>
      </c>
      <c r="L24"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24" s="15" t="inlineStr"/>
      <c r="N24" s="18" t="inlineStr">
        <is>
          <t>Chưa test</t>
        </is>
      </c>
      <c r="O24" s="15" t="inlineStr"/>
      <c r="P24" s="15" t="inlineStr"/>
      <c r="Q24" s="18" t="inlineStr">
        <is>
          <t>Chưa test</t>
        </is>
      </c>
      <c r="R24" s="15" t="inlineStr"/>
    </row>
    <row r="25" ht="30" customHeight="1">
      <c r="A25" s="14" t="inlineStr">
        <is>
          <t>TC-ADM2-024</t>
        </is>
      </c>
      <c r="B25" s="15" t="inlineStr">
        <is>
          <t>Admin Console (đợt 2: Nội dung, Thanh toán, Khám phá)</t>
        </is>
      </c>
      <c r="C25" s="15" t="inlineStr">
        <is>
          <t>Phân quyền &amp; điều hướng đợt 2</t>
        </is>
      </c>
      <c r="D25" s="15" t="inlineStr">
        <is>
          <t>Cờ Platform Admin: mọi route đợt 2 trả 401 khi thiếu token và 403 với người dùng thường (46 route)</t>
        </is>
      </c>
      <c r="E25" s="15" t="inlineStr">
        <is>
          <t>Bảo mật</t>
        </is>
      </c>
      <c r="F25" s="16" t="inlineStr">
        <is>
          <t>Cao</t>
        </is>
      </c>
      <c r="G25" s="17" t="inlineStr">
        <is>
          <t>Đã hoàn thiện</t>
        </is>
      </c>
      <c r="H25" s="17" t="inlineStr">
        <is>
          <t>Có</t>
        </is>
      </c>
      <c r="I25" s="15" t="inlineStr">
        <is>
          <t>DB sạch sau npm run db:reset (có seed/admin-batch2.ts; mã POST-/CMT-/TXN-/SUB-/RF-/PO- cố định, xem sheet 'Tài khoản &amp; dữ liệu test' mục A3). Đăng nhập member1@sofinhub.test lấy token.</t>
        </is>
      </c>
      <c r="J25"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25" s="15" t="inlineStr">
        <is>
          <t>member1 + không token</t>
        </is>
      </c>
      <c r="L25" s="15" t="inlineStr">
        <is>
          <t>Mọi route: không token -&gt; 401 UNAUTHORIZED; token member1 -&gt; 403 FORBIDDEN (kiểm tra quyền chạy TRƯỚC khi validate body/tìm bản ghi nên id 'x' cũng 403, không 404/400).</t>
        </is>
      </c>
      <c r="M25" s="15" t="inlineStr"/>
      <c r="N25" s="18" t="inlineStr">
        <is>
          <t>Chưa test</t>
        </is>
      </c>
      <c r="O25" s="15" t="inlineStr"/>
      <c r="P25" s="15" t="inlineStr"/>
      <c r="Q25" s="18" t="inlineStr">
        <is>
          <t>Chưa test</t>
        </is>
      </c>
      <c r="R25" s="15" t="inlineStr"/>
    </row>
    <row r="26" ht="30" customHeight="1">
      <c r="A26" s="14" t="inlineStr">
        <is>
          <t>TC-ADM2-025</t>
        </is>
      </c>
      <c r="B26" s="15" t="inlineStr">
        <is>
          <t>Admin Console (đợt 2: Nội dung, Thanh toán, Khám phá)</t>
        </is>
      </c>
      <c r="C26" s="15" t="inlineStr">
        <is>
          <t>Phân quyền &amp; điều hướng đợt 2</t>
        </is>
      </c>
      <c r="D26" s="15" t="inlineStr">
        <is>
          <t>owner/cadmin/mod (không phải Platform Admin) gọi GET /admin/payments/payouts và /admin/discovery/rankings bị 403</t>
        </is>
      </c>
      <c r="E26" s="15" t="inlineStr">
        <is>
          <t>Bảo mật</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owner@/cadmin@/mod@sofinhub.test / Passw0rd!x.</t>
        </is>
      </c>
      <c r="J26" s="15" t="inlineStr">
        <is>
          <t>1. Lấy token của từng tài khoản
2. GET /api/admin/payments/payouts, GET /api/admin/payments/creators, GET /api/admin/discovery/rankings, GET /api/admin/content/media</t>
        </is>
      </c>
      <c r="K26" s="15" t="inlineStr">
        <is>
          <t>owner, cadmin, mod</t>
        </is>
      </c>
      <c r="L26" s="15" t="inlineStr">
        <is>
          <t>Cả 3 tài khoản nhận 403 FORBIDDEN ở mọi route; chủ cộng đồng chỉ xem được doanh thu/rút tiền của CHÍNH cộng đồng mình qua API công khai /courses/:id/revenue, không qua /admin.</t>
        </is>
      </c>
      <c r="M26" s="15" t="inlineStr"/>
      <c r="N26" s="18" t="inlineStr">
        <is>
          <t>Chưa test</t>
        </is>
      </c>
      <c r="O26" s="15" t="inlineStr"/>
      <c r="P26" s="15" t="inlineStr"/>
      <c r="Q26" s="18" t="inlineStr">
        <is>
          <t>Chưa test</t>
        </is>
      </c>
      <c r="R26" s="15" t="inlineStr"/>
    </row>
    <row r="27" ht="45" customHeight="1">
      <c r="A27" s="14" t="inlineStr">
        <is>
          <t>TC-ADM2-026</t>
        </is>
      </c>
      <c r="B27" s="15" t="inlineStr">
        <is>
          <t>Admin Console (đợt 2: Nội dung, Thanh toán, Khám phá)</t>
        </is>
      </c>
      <c r="C27" s="15" t="inlineStr">
        <is>
          <t>Phân quyền &amp; điều hướng đợt 2</t>
        </is>
      </c>
      <c r="D27" s="15" t="inlineStr">
        <is>
          <t>Breadcrumb và tiêu đề của 3 trang chi tiết (giao dịch, hoàn tiền, creator) dẫn về trang danh sách</t>
        </is>
      </c>
      <c r="E27" s="15" t="inlineStr">
        <is>
          <t>Giao diện</t>
        </is>
      </c>
      <c r="F27" s="17" t="inlineStr">
        <is>
          <t>Thấp</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7" s="15" t="inlineStr">
        <is>
          <t>1. Mở /admin/payments/tx rồi bấm 'Xem' ở một dòng
2. Bấm 'Giao dịch' trong breadcrumb
3. Lặp lại với /admin/payments/refunds/&lt;id&gt; (breadcrumb 'Hoàn tiền') và /admin/payments/creator/&lt;userId&gt; (breadcrumb 'Doanh thu creator')</t>
        </is>
      </c>
      <c r="K27" s="15" t="inlineStr">
        <is>
          <t>-</t>
        </is>
      </c>
      <c r="L27" s="15" t="inlineStr">
        <is>
          <t>Breadcrumb 'Giao dịch &gt; TXN-xxxxxxxx', 'Hoàn tiền &gt; RF-xxxxxxxx', 'Doanh thu creator &gt; &lt;tên&gt;' và bấm nhãn đầu quay về danh sách tương ứng.</t>
        </is>
      </c>
      <c r="M27" s="15" t="inlineStr"/>
      <c r="N27" s="18" t="inlineStr">
        <is>
          <t>Chưa test</t>
        </is>
      </c>
      <c r="O27" s="15" t="inlineStr"/>
      <c r="P27" s="15" t="inlineStr"/>
      <c r="Q27" s="18" t="inlineStr">
        <is>
          <t>Chưa test</t>
        </is>
      </c>
      <c r="R27" s="15" t="inlineStr"/>
    </row>
    <row r="28" ht="30" customHeight="1">
      <c r="A28" s="14" t="inlineStr">
        <is>
          <t>TC-ADM2-027</t>
        </is>
      </c>
      <c r="B28" s="15" t="inlineStr">
        <is>
          <t>Admin Console (đợt 2: Nội dung, Thanh toán, Khám phá)</t>
        </is>
      </c>
      <c r="C28" s="15" t="inlineStr">
        <is>
          <t>Phân quyền &amp; điều hướng đợt 2</t>
        </is>
      </c>
      <c r="D28" s="15" t="inlineStr">
        <is>
          <t>Đổi trang/tab/lọc trong bảng KHÔNG lưu vào URL (trạng thái chỉ nằm trong bộ nhớ trang)</t>
        </is>
      </c>
      <c r="E28" s="15" t="inlineStr">
        <is>
          <t>Chức năng</t>
        </is>
      </c>
      <c r="F28" s="17" t="inlineStr">
        <is>
          <t>Thấp</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 s="15" t="inlineStr">
        <is>
          <t>1. Mở /admin/content/posts, chọn tab 'Đã ẩn', gõ tìm kiếm, F5</t>
        </is>
      </c>
      <c r="K28" s="15" t="inlineStr">
        <is>
          <t>-</t>
        </is>
      </c>
      <c r="L28" s="15" t="inlineStr">
        <is>
          <t>Sau F5 trang trở lại tab 'Tất cả', ô tìm kiếm rỗng (khác trang Người dùng đợt 1 có ?tab=). Riêng ?courseId=&lt;id cộng đồng&gt; trên URL VẪN được đọc cho Bài viết/Bình luận/Khóa học/Bài học/Sự kiện/Media.</t>
        </is>
      </c>
      <c r="M28" s="15" t="inlineStr"/>
      <c r="N28" s="18" t="inlineStr">
        <is>
          <t>Chưa test</t>
        </is>
      </c>
      <c r="O28" s="15" t="inlineStr"/>
      <c r="P28" s="15" t="inlineStr"/>
      <c r="Q28" s="18" t="inlineStr">
        <is>
          <t>Chưa test</t>
        </is>
      </c>
      <c r="R28" s="15" t="inlineStr"/>
    </row>
    <row r="29" ht="30" customHeight="1">
      <c r="A29" s="14" t="inlineStr">
        <is>
          <t>TC-ADM2-028</t>
        </is>
      </c>
      <c r="B29" s="15" t="inlineStr">
        <is>
          <t>Admin Console (đợt 2: Nội dung, Thanh toán, Khám phá)</t>
        </is>
      </c>
      <c r="C29" s="15" t="inlineStr">
        <is>
          <t>Phân quyền &amp; điều hướng đợt 2</t>
        </is>
      </c>
      <c r="D29" s="15" t="inlineStr">
        <is>
          <t>?courseId=growth-lab trên URL lọc Bài viết theo cộng đồng</t>
        </is>
      </c>
      <c r="E29" s="15" t="inlineStr">
        <is>
          <t>Chức năng</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Mở http://localhost:5173/admin/content/posts?courseId=growth-lab</t>
        </is>
      </c>
      <c r="K29" s="15" t="inlineStr">
        <is>
          <t>courseId=growth-lab</t>
        </is>
      </c>
      <c r="L29" s="15" t="inlineStr">
        <is>
          <t>Chỉ hiện bài của Growth Lab (POST-5C0A7BA8, POST-2467DDA0, POST-11AABCCE + bài demo của cộng đồng này); KPI phía trên vẫn là số toàn nền tảng (summary không lọc).</t>
        </is>
      </c>
      <c r="M29" s="15" t="inlineStr"/>
      <c r="N29" s="18" t="inlineStr">
        <is>
          <t>Chưa test</t>
        </is>
      </c>
      <c r="O29" s="15" t="inlineStr"/>
      <c r="P29" s="15" t="inlineStr"/>
      <c r="Q29" s="18" t="inlineStr">
        <is>
          <t>Chưa test</t>
        </is>
      </c>
      <c r="R29" s="15" t="inlineStr"/>
    </row>
    <row r="30" ht="30" customHeight="1">
      <c r="A30" s="14" t="inlineStr">
        <is>
          <t>TC-ADM2-029</t>
        </is>
      </c>
      <c r="B30" s="15" t="inlineStr">
        <is>
          <t>Admin Console (đợt 2: Nội dung, Thanh toán, Khám phá)</t>
        </is>
      </c>
      <c r="C30" s="15" t="inlineStr">
        <is>
          <t>Phân quyền &amp; điều hướng đợt 2</t>
        </is>
      </c>
      <c r="D30" s="15" t="inlineStr">
        <is>
          <t>Token admin hết hạn khi đang xem Giao dịch: tự refresh hoặc chuyển về đăng nhập</t>
        </is>
      </c>
      <c r="E30" s="15" t="inlineStr">
        <is>
          <t>Bảo mật</t>
        </is>
      </c>
      <c r="F30" s="20" t="inlineStr">
        <is>
          <t>Trung bình</t>
        </is>
      </c>
      <c r="G30" s="17" t="inlineStr">
        <is>
          <t>Đã hoàn thiện</t>
        </is>
      </c>
      <c r="H30" s="20" t="inlineStr">
        <is>
          <t>Một phần</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0" s="15" t="inlineStr">
        <is>
          <t>1. Ở /admin/payments/tx xóa access token trong storage (hoặc chờ 15 phút)
2. Bấm sang trang 2 của bảng</t>
        </is>
      </c>
      <c r="K30" s="15" t="inlineStr">
        <is>
          <t>-</t>
        </is>
      </c>
      <c r="L30" s="15" t="inlineStr">
        <is>
          <t>Hệ thống refresh tự động và tải tiếp; nếu refresh thất bại thì chuyển /login, không để màn trắng.</t>
        </is>
      </c>
      <c r="M30" s="15" t="inlineStr"/>
      <c r="N30" s="18" t="inlineStr">
        <is>
          <t>Chưa test</t>
        </is>
      </c>
      <c r="O30" s="15" t="inlineStr"/>
      <c r="P30" s="15" t="inlineStr"/>
      <c r="Q30" s="18" t="inlineStr">
        <is>
          <t>Chưa test</t>
        </is>
      </c>
      <c r="R30" s="15" t="inlineStr"/>
    </row>
    <row r="31" ht="45" customHeight="1">
      <c r="A31" s="14" t="inlineStr">
        <is>
          <t>TC-ADM2-030</t>
        </is>
      </c>
      <c r="B31" s="15" t="inlineStr">
        <is>
          <t>Admin Console (đợt 2: Nội dung, Thanh toán, Khám phá)</t>
        </is>
      </c>
      <c r="C31" s="15" t="inlineStr">
        <is>
          <t>Nội dung · Bài viết (UI)</t>
        </is>
      </c>
      <c r="D31" s="15" t="inlineStr">
        <is>
          <t>Trang Bài viết: tiêu đề, 4 KPI (Tổng/Hôm nay/Bị báo cáo/Đã gỡ) khớp DB</t>
        </is>
      </c>
      <c r="E31" s="15" t="inlineStr">
        <is>
          <t>Giao diện</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31" s="15" t="inlineStr">
        <is>
          <t>-</t>
        </is>
      </c>
      <c r="L31" s="15" t="inlineStr">
        <is>
          <t>Tiêu đề 'Bài viết', phụ đề 'Quản lý nội dung trên toàn bộ cộng đồng.'. Thẻ: 'Tổng' (seed sạch ≈163), 'Hôm nay', 'Bị báo cáo' (≈7, màu đỏ), 'Đã gỡ' (≈2) đúng bằng truy vấn DB. Bấm 'Bị báo cáo' chuyển /admin/moderation.</t>
        </is>
      </c>
      <c r="M31" s="15" t="inlineStr"/>
      <c r="N31" s="18" t="inlineStr">
        <is>
          <t>Chưa test</t>
        </is>
      </c>
      <c r="O31" s="15" t="inlineStr"/>
      <c r="P31" s="15" t="inlineStr"/>
      <c r="Q31" s="18" t="inlineStr">
        <is>
          <t>Chưa test</t>
        </is>
      </c>
      <c r="R31" s="15" t="inlineStr"/>
    </row>
    <row r="32" ht="30" customHeight="1">
      <c r="A32" s="14" t="inlineStr">
        <is>
          <t>TC-ADM2-031</t>
        </is>
      </c>
      <c r="B32" s="15" t="inlineStr">
        <is>
          <t>Admin Console (đợt 2: Nội dung, Thanh toán, Khám phá)</t>
        </is>
      </c>
      <c r="C32" s="15" t="inlineStr">
        <is>
          <t>Nội dung · Bài viết (UI)</t>
        </is>
      </c>
      <c r="D32" s="15" t="inlineStr">
        <is>
          <t>Bảng Bài viết: cột và định dạng dữ liệu một dòng</t>
        </is>
      </c>
      <c r="E32" s="15" t="inlineStr">
        <is>
          <t>Giao diện</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Ô tìm kiếm gõ 'POST-D186CDF7'
2. Đọc dòng kết quả</t>
        </is>
      </c>
      <c r="K32" s="15" t="inlineStr">
        <is>
          <t>POST-D186CDF7</t>
        </is>
      </c>
      <c r="L3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32" s="15" t="inlineStr"/>
      <c r="N32" s="18" t="inlineStr">
        <is>
          <t>Chưa test</t>
        </is>
      </c>
      <c r="O32" s="15" t="inlineStr"/>
      <c r="P32" s="15" t="inlineStr"/>
      <c r="Q32" s="18" t="inlineStr">
        <is>
          <t>Chưa test</t>
        </is>
      </c>
      <c r="R32" s="15" t="inlineStr"/>
    </row>
    <row r="33" ht="30" customHeight="1">
      <c r="A33" s="14" t="inlineStr">
        <is>
          <t>TC-ADM2-032</t>
        </is>
      </c>
      <c r="B33" s="15" t="inlineStr">
        <is>
          <t>Admin Console (đợt 2: Nội dung, Thanh toán, Khám phá)</t>
        </is>
      </c>
      <c r="C33" s="15" t="inlineStr">
        <is>
          <t>Nội dung · Bài viết (UI)</t>
        </is>
      </c>
      <c r="D33" s="15" t="inlineStr">
        <is>
          <t>Tab trạng thái và số đếm: Tất cả / Đã xuất bản / Đang xem xét / Đã ẩn / Đã gỡ</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3" s="15" t="inlineStr">
        <is>
          <t>1. Mở /admin/content/posts, ghi số đếm trên 5 tab
2. Lần lượt bấm từng tab, đếm tổng ở góc bảng</t>
        </is>
      </c>
      <c r="K33" s="15" t="inlineStr">
        <is>
          <t>-</t>
        </is>
      </c>
      <c r="L3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33" s="15" t="inlineStr"/>
      <c r="N33" s="18" t="inlineStr">
        <is>
          <t>Chưa test</t>
        </is>
      </c>
      <c r="O33" s="15" t="inlineStr"/>
      <c r="P33" s="15" t="inlineStr"/>
      <c r="Q33" s="18" t="inlineStr">
        <is>
          <t>Chưa test</t>
        </is>
      </c>
      <c r="R33" s="15" t="inlineStr"/>
    </row>
    <row r="34" ht="30" customHeight="1">
      <c r="A34" s="14" t="inlineStr">
        <is>
          <t>TC-ADM2-033</t>
        </is>
      </c>
      <c r="B34" s="15" t="inlineStr">
        <is>
          <t>Admin Console (đợt 2: Nội dung, Thanh toán, Khám phá)</t>
        </is>
      </c>
      <c r="C34" s="15" t="inlineStr">
        <is>
          <t>Nội dung · Bài viết (UI)</t>
        </is>
      </c>
      <c r="D34" s="15" t="inlineStr">
        <is>
          <t>Tab 'Đang xem xét' liệt kê đúng bài có báo cáo mở và cột Báo cáo &gt; 0</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Bấm tab 'Đang xem xét'
2. Tìm POST-D70BB72C, POST-F687D03E, POST-129F0682</t>
        </is>
      </c>
      <c r="K34" s="15" t="inlineStr">
        <is>
          <t>-</t>
        </is>
      </c>
      <c r="L34" s="15" t="inlineStr">
        <is>
          <t>3 bài này có mặt: POST-D70BB72C cột Báo cáo = 2 (số đỏ), hai bài kia = 1; badge 'Đang xem xét' (cam). Sắp xếp 'Nhiều báo cáo nhất' đặt POST-D70BB72C lên trước.</t>
        </is>
      </c>
      <c r="M34" s="15" t="inlineStr"/>
      <c r="N34" s="18" t="inlineStr">
        <is>
          <t>Chưa test</t>
        </is>
      </c>
      <c r="O34" s="15" t="inlineStr"/>
      <c r="P34" s="15" t="inlineStr"/>
      <c r="Q34" s="18" t="inlineStr">
        <is>
          <t>Chưa test</t>
        </is>
      </c>
      <c r="R34" s="15" t="inlineStr"/>
    </row>
    <row r="35" ht="60" customHeight="1">
      <c r="A35" s="14" t="inlineStr">
        <is>
          <t>TC-ADM2-034</t>
        </is>
      </c>
      <c r="B35" s="15" t="inlineStr">
        <is>
          <t>Admin Console (đợt 2: Nội dung, Thanh toán, Khám phá)</t>
        </is>
      </c>
      <c r="C35" s="15" t="inlineStr">
        <is>
          <t>Nội dung · Bài viết (UI)</t>
        </is>
      </c>
      <c r="D35" s="15" t="inlineStr">
        <is>
          <t>Tìm kiếm Bài viết theo nội dung, tên tác giả và mã POST-xxxxxxxx</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Gõ 'MAKE $10,000' vào ô 'Tìm bài viết, tác giả, mã bài viết...'
2. Xóa, gõ 'Lucas'
3. Xóa, gõ 'POST-D70BB72C'
4. Xóa, gõ 'd70b' (4 ký tự đầu mã)</t>
        </is>
      </c>
      <c r="K35" s="15" t="inlineStr">
        <is>
          <t>MAKE $10,000 | Lucas | POST-D70BB72C | d70b</t>
        </is>
      </c>
      <c r="L35" s="15" t="inlineStr">
        <is>
          <t>Lần 1: chỉ POST-D186CDF7. Lần 2: các bài của Lucas Silva (POST-D186CDF7, POST-6976F0F3 + bài khác nếu có). Lần 3 và 4: đúng POST-D70BB72C. Tìm không phân biệt hoa thường; bảng về trang 1 mỗi lần đổi từ khóa; có debounce.</t>
        </is>
      </c>
      <c r="M35" s="15" t="inlineStr"/>
      <c r="N35" s="18" t="inlineStr">
        <is>
          <t>Chưa test</t>
        </is>
      </c>
      <c r="O35" s="15" t="inlineStr"/>
      <c r="P35" s="15" t="inlineStr"/>
      <c r="Q35" s="18" t="inlineStr">
        <is>
          <t>Chưa test</t>
        </is>
      </c>
      <c r="R35" s="15" t="inlineStr"/>
    </row>
    <row r="36" ht="30" customHeight="1">
      <c r="A36" s="14" t="inlineStr">
        <is>
          <t>TC-ADM2-035</t>
        </is>
      </c>
      <c r="B36" s="15" t="inlineStr">
        <is>
          <t>Admin Console (đợt 2: Nội dung, Thanh toán, Khám phá)</t>
        </is>
      </c>
      <c r="C36" s="15" t="inlineStr">
        <is>
          <t>Nội dung · Bài viết (UI)</t>
        </is>
      </c>
      <c r="D36" s="15" t="inlineStr">
        <is>
          <t>Tìm kiếm không có kết quả hiện trạng thái rỗng và nút 'Xóa bộ lọc'</t>
        </is>
      </c>
      <c r="E36" s="15" t="inlineStr">
        <is>
          <t>Giao diện</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6" s="15" t="inlineStr">
        <is>
          <t>1. Gõ 'zzzkhongcoketqua123' vào ô tìm kiếm</t>
        </is>
      </c>
      <c r="K36" s="15" t="inlineStr">
        <is>
          <t>zzzkhongcoketqua123</t>
        </is>
      </c>
      <c r="L36" s="15" t="inlineStr">
        <is>
          <t>Bảng hiện 'Không có kết quả phù hợp.' không có dòng nào; KPI/tab đếm không đổi; bấm 'Xóa bộ lọc' (khi đã chọn bộ lọc Sắp xếp) khôi phục danh sách.</t>
        </is>
      </c>
      <c r="M36" s="15" t="inlineStr"/>
      <c r="N36" s="18" t="inlineStr">
        <is>
          <t>Chưa test</t>
        </is>
      </c>
      <c r="O36" s="15" t="inlineStr"/>
      <c r="P36" s="15" t="inlineStr"/>
      <c r="Q36" s="18" t="inlineStr">
        <is>
          <t>Chưa test</t>
        </is>
      </c>
      <c r="R36" s="15" t="inlineStr"/>
    </row>
    <row r="37" ht="75" customHeight="1">
      <c r="A37" s="14" t="inlineStr">
        <is>
          <t>TC-ADM2-036</t>
        </is>
      </c>
      <c r="B37" s="15" t="inlineStr">
        <is>
          <t>Admin Console (đợt 2: Nội dung, Thanh toán, Khám phá)</t>
        </is>
      </c>
      <c r="C37" s="15" t="inlineStr">
        <is>
          <t>Nội dung · Bài viết (UI)</t>
        </is>
      </c>
      <c r="D37" s="15" t="inlineStr">
        <is>
          <t>Sắp xếp Bài viết: mặc định mới nhất, Cũ nhất, Tương tác cao nhất, Nhiều báo cáo nhất</t>
        </is>
      </c>
      <c r="E37" s="15" t="inlineStr">
        <is>
          <t>Chức năng</t>
        </is>
      </c>
      <c r="F37" s="20" t="inlineStr">
        <is>
          <t>Trung bình</t>
        </is>
      </c>
      <c r="G37" s="17" t="inlineStr">
        <is>
          <t>Đã hoàn thiện</t>
        </is>
      </c>
      <c r="H37" s="17" t="inlineStr">
        <is>
          <t>Có</t>
        </is>
      </c>
      <c r="I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Mở trang (mặc định)
2. Bộ lọc 'Sắp xếp' chọn 'Cũ nhất'
3. Chọn 'Tương tác cao nhất'
4. Chọn 'Nhiều báo cáo nhất'
5. Bấm 'Xóa bộ lọc'</t>
        </is>
      </c>
      <c r="K37" s="15" t="inlineStr">
        <is>
          <t>-</t>
        </is>
      </c>
      <c r="L3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37" s="15" t="inlineStr"/>
      <c r="N37" s="18" t="inlineStr">
        <is>
          <t>Chưa test</t>
        </is>
      </c>
      <c r="O37" s="15" t="inlineStr"/>
      <c r="P37" s="15" t="inlineStr"/>
      <c r="Q37" s="18" t="inlineStr">
        <is>
          <t>Chưa test</t>
        </is>
      </c>
      <c r="R37" s="15" t="inlineStr"/>
    </row>
    <row r="38" ht="45" customHeight="1">
      <c r="A38" s="14" t="inlineStr">
        <is>
          <t>TC-ADM2-037</t>
        </is>
      </c>
      <c r="B38" s="15" t="inlineStr">
        <is>
          <t>Admin Console (đợt 2: Nội dung, Thanh toán, Khám phá)</t>
        </is>
      </c>
      <c r="C38" s="15" t="inlineStr">
        <is>
          <t>Nội dung · Bài viết (UI)</t>
        </is>
      </c>
      <c r="D38" s="15" t="inlineStr">
        <is>
          <t>Phân trang Bài viết: 20 dòng/trang, nút Trang trước/Trang sau và tổng số</t>
        </is>
      </c>
      <c r="E38" s="15" t="inlineStr">
        <is>
          <t>Chức năng</t>
        </is>
      </c>
      <c r="F38" s="20" t="inlineStr">
        <is>
          <t>Trung bình</t>
        </is>
      </c>
      <c r="G38" s="17" t="inlineStr">
        <is>
          <t>Đã hoàn thiện</t>
        </is>
      </c>
      <c r="H38" s="17" t="inlineStr">
        <is>
          <t>Có</t>
        </is>
      </c>
      <c r="I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8" s="15" t="inlineStr">
        <is>
          <t>1. Mở /admin/content/posts (tổng &gt; 20)
2. Bấm 'Trang sau' tới trang 2
3. Bấm 'Trang trước'</t>
        </is>
      </c>
      <c r="K38" s="15" t="inlineStr">
        <is>
          <t>-</t>
        </is>
      </c>
      <c r="L3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38" s="15" t="inlineStr"/>
      <c r="N38" s="18" t="inlineStr">
        <is>
          <t>Chưa test</t>
        </is>
      </c>
      <c r="O38" s="15" t="inlineStr"/>
      <c r="P38" s="15" t="inlineStr"/>
      <c r="Q38" s="18" t="inlineStr">
        <is>
          <t>Chưa test</t>
        </is>
      </c>
      <c r="R38" s="15" t="inlineStr"/>
    </row>
    <row r="39" ht="45" customHeight="1">
      <c r="A39" s="14" t="inlineStr">
        <is>
          <t>TC-ADM2-038</t>
        </is>
      </c>
      <c r="B39" s="15" t="inlineStr">
        <is>
          <t>Admin Console (đợt 2: Nội dung, Thanh toán, Khám phá)</t>
        </is>
      </c>
      <c r="C39" s="15" t="inlineStr">
        <is>
          <t>Nội dung · Bài viết (UI)</t>
        </is>
      </c>
      <c r="D39" s="15" t="inlineStr">
        <is>
          <t>Trạng thái tải và lỗi của bảng Bài viết (loading, API lỗi, Thử lại)</t>
        </is>
      </c>
      <c r="E39" s="15" t="inlineStr">
        <is>
          <t>Giao diện</t>
        </is>
      </c>
      <c r="F39" s="20" t="inlineStr">
        <is>
          <t>Trung bình</t>
        </is>
      </c>
      <c r="G39" s="17" t="inlineStr">
        <is>
          <t>Đã hoàn thiện</t>
        </is>
      </c>
      <c r="H39" s="20" t="inlineStr">
        <is>
          <t>Một phần</t>
        </is>
      </c>
      <c r="I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9" s="15" t="inlineStr">
        <is>
          <t>1. Mở DevTools &gt; Network, chặn (block) /api/admin/content/posts
2. F5 trang Bài viết
3. Bỏ chặn, bấm 'Thử lại'</t>
        </is>
      </c>
      <c r="K39" s="15" t="inlineStr">
        <is>
          <t>-</t>
        </is>
      </c>
      <c r="L39" s="15" t="inlineStr">
        <is>
          <t>Khi đang tải hiện 'Đang tải…'; khi API lỗi hiện khối lỗi (role=alert) với thông điệp lỗi + nút 'Thử lại'; bấm Thử lại sau khi bỏ chặn tải lại dữ liệu bình thường.</t>
        </is>
      </c>
      <c r="M39" s="15" t="inlineStr"/>
      <c r="N39" s="18" t="inlineStr">
        <is>
          <t>Chưa test</t>
        </is>
      </c>
      <c r="O39" s="15" t="inlineStr"/>
      <c r="P39" s="15" t="inlineStr"/>
      <c r="Q39" s="18" t="inlineStr">
        <is>
          <t>Chưa test</t>
        </is>
      </c>
      <c r="R39" s="15" t="inlineStr"/>
    </row>
    <row r="40" ht="45" customHeight="1">
      <c r="A40" s="14" t="inlineStr">
        <is>
          <t>TC-ADM2-039</t>
        </is>
      </c>
      <c r="B40" s="15" t="inlineStr">
        <is>
          <t>Admin Console (đợt 2: Nội dung, Thanh toán, Khám phá)</t>
        </is>
      </c>
      <c r="C40" s="15" t="inlineStr">
        <is>
          <t>Nội dung · Bài viết (UI)</t>
        </is>
      </c>
      <c r="D40" s="15" t="inlineStr">
        <is>
          <t>Menu thao tác theo trạng thái của dòng (Xem trước / Ẩn / Gỡ / Khôi phục / Xem tác giả)</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Bấm biểu tượng 'Thêm thao tác' ở POST-2467DDA0 (published)
2. Lặp lại ở POST-D186CDF7 (hidden)
3. Lặp lại ở POST-6976F0F3 (removed)</t>
        </is>
      </c>
      <c r="K40" s="15" t="inlineStr">
        <is>
          <t>-</t>
        </is>
      </c>
      <c r="L40" s="15" t="inlineStr">
        <is>
          <t>published: Xem trước, Ẩn, Gỡ, Xem tác giả (không có Khôi phục). hidden: Xem trước, Gỡ, Khôi phục, Xem tác giả (không có Ẩn). removed: Xem trước, Khôi phục, Xem tác giả (không có Ẩn/Gỡ).</t>
        </is>
      </c>
      <c r="M40" s="15" t="inlineStr"/>
      <c r="N40" s="18" t="inlineStr">
        <is>
          <t>Chưa test</t>
        </is>
      </c>
      <c r="O40" s="15" t="inlineStr"/>
      <c r="P40" s="15" t="inlineStr"/>
      <c r="Q40" s="18" t="inlineStr">
        <is>
          <t>Chưa test</t>
        </is>
      </c>
      <c r="R40" s="15" t="inlineStr"/>
    </row>
    <row r="41" ht="30" customHeight="1">
      <c r="A41" s="14" t="inlineStr">
        <is>
          <t>TC-ADM2-040</t>
        </is>
      </c>
      <c r="B41" s="15" t="inlineStr">
        <is>
          <t>Admin Console (đợt 2: Nội dung, Thanh toán, Khám phá)</t>
        </is>
      </c>
      <c r="C41" s="15" t="inlineStr">
        <is>
          <t>Nội dung · Bài viết (UI)</t>
        </is>
      </c>
      <c r="D41" s="15" t="inlineStr">
        <is>
          <t>Xem trước bài viết (modal) hiển thị nội dung, bình luận gần đây, báo cáo, lịch sử</t>
        </is>
      </c>
      <c r="E41" s="15" t="inlineStr">
        <is>
          <t>Chức năng</t>
        </is>
      </c>
      <c r="F41" s="16" t="inlineStr">
        <is>
          <t>Cao</t>
        </is>
      </c>
      <c r="G41" s="17" t="inlineStr">
        <is>
          <t>Đã hoàn thiện</t>
        </is>
      </c>
      <c r="H41" s="17" t="inlineStr">
        <is>
          <t>Có</t>
        </is>
      </c>
      <c r="I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41" s="15" t="inlineStr">
        <is>
          <t>1. Bấm dòng POST-D186CDF7 (hoặc menu &gt; Xem trước)
2. Đọc modal 'Xem trước bài viết'</t>
        </is>
      </c>
      <c r="K41" s="15" t="inlineStr">
        <is>
          <t>POST-D186CDF7</t>
        </is>
      </c>
      <c r="L4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41" s="15" t="inlineStr"/>
      <c r="N41" s="18" t="inlineStr">
        <is>
          <t>Chưa test</t>
        </is>
      </c>
      <c r="O41" s="15" t="inlineStr"/>
      <c r="P41" s="15" t="inlineStr"/>
      <c r="Q41" s="18" t="inlineStr">
        <is>
          <t>Chưa test</t>
        </is>
      </c>
      <c r="R41" s="15" t="inlineStr"/>
    </row>
    <row r="42" ht="30" customHeight="1">
      <c r="A42" s="14" t="inlineStr">
        <is>
          <t>TC-ADM2-041</t>
        </is>
      </c>
      <c r="B42" s="15" t="inlineStr">
        <is>
          <t>Admin Console (đợt 2: Nội dung, Thanh toán, Khám phá)</t>
        </is>
      </c>
      <c r="C42" s="15" t="inlineStr">
        <is>
          <t>Nội dung · Bài viết (UI)</t>
        </is>
      </c>
      <c r="D42" s="15" t="inlineStr">
        <is>
          <t>Xem trước bài có báo cáo hiển thị danh sách CASE và người báo cáo</t>
        </is>
      </c>
      <c r="E42" s="15" t="inlineStr">
        <is>
          <t>Chức năng</t>
        </is>
      </c>
      <c r="F42" s="20" t="inlineStr">
        <is>
          <t>Trung bình</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2" s="15" t="inlineStr">
        <is>
          <t>1. Mở Xem trước POST-D70BB72C</t>
        </is>
      </c>
      <c r="K42" s="15" t="inlineStr">
        <is>
          <t>POST-D70BB72C</t>
        </is>
      </c>
      <c r="L42" s="15" t="inlineStr">
        <is>
          <t>Mục 'Báo cáo' liệt kê 2 dòng dạng 'CASE-xxxxx · harassment · Emma Garcia/Noah Williams · &lt;thời gian&gt;'; KPI 'Báo cáo' trong modal = 2; bình luận gần đây gồm CMT của Noah và Emma.</t>
        </is>
      </c>
      <c r="M42" s="15" t="inlineStr"/>
      <c r="N42" s="18" t="inlineStr">
        <is>
          <t>Chưa test</t>
        </is>
      </c>
      <c r="O42" s="15" t="inlineStr"/>
      <c r="P42" s="15" t="inlineStr"/>
      <c r="Q42" s="18" t="inlineStr">
        <is>
          <t>Chưa test</t>
        </is>
      </c>
      <c r="R42" s="15" t="inlineStr"/>
    </row>
    <row r="43" ht="60" customHeight="1">
      <c r="A43" s="14" t="inlineStr">
        <is>
          <t>TC-ADM2-042</t>
        </is>
      </c>
      <c r="B43" s="15" t="inlineStr">
        <is>
          <t>Admin Console (đợt 2: Nội dung, Thanh toán, Khám phá)</t>
        </is>
      </c>
      <c r="C43" s="15" t="inlineStr">
        <is>
          <t>Nội dung · Bài viết (UI)</t>
        </is>
      </c>
      <c r="D43" s="15" t="inlineStr">
        <is>
          <t>Modal Ẩn bài viết: nút xác nhận bị khóa tới khi chọn lý do, có ghi chú và tùy chọn thông báo tác giả</t>
        </is>
      </c>
      <c r="E43" s="15" t="inlineStr">
        <is>
          <t>Chức năng</t>
        </is>
      </c>
      <c r="F43" s="16" t="inlineStr">
        <is>
          <t>Cao</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3" s="15" t="inlineStr">
        <is>
          <t>1. Menu dòng POST-2467DDA0 &gt; 'Ẩn'
2. Quan sát nút 'Ẩn' khi chưa chọn lý do
3. Chọn chip lý do 'Spam'
4. Quan sát ô 'Ghi chú nội bộ' và checkbox 'Thông báo cho tác giả'</t>
        </is>
      </c>
      <c r="K43" s="15" t="inlineStr">
        <is>
          <t>POST-2467DDA0</t>
        </is>
      </c>
      <c r="L4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43" s="15" t="inlineStr"/>
      <c r="N43" s="18" t="inlineStr">
        <is>
          <t>Chưa test</t>
        </is>
      </c>
      <c r="O43" s="15" t="inlineStr"/>
      <c r="P43" s="15" t="inlineStr"/>
      <c r="Q43" s="18" t="inlineStr">
        <is>
          <t>Chưa test</t>
        </is>
      </c>
      <c r="R43" s="15" t="inlineStr"/>
    </row>
    <row r="44" ht="60" customHeight="1">
      <c r="A44" s="14" t="inlineStr">
        <is>
          <t>TC-ADM2-043</t>
        </is>
      </c>
      <c r="B44" s="15" t="inlineStr">
        <is>
          <t>Admin Console (đợt 2: Nội dung, Thanh toán, Khám phá)</t>
        </is>
      </c>
      <c r="C44" s="15" t="inlineStr">
        <is>
          <t>Nội dung · Bài viết (UI)</t>
        </is>
      </c>
      <c r="D44" s="15" t="inlineStr">
        <is>
          <t>Ẩn bài viết thành công: toast, badge, KPI/tab đổi, ghi audit và thông báo tác giả</t>
        </is>
      </c>
      <c r="E44" s="15" t="inlineStr">
        <is>
          <t>Chức năng</t>
        </is>
      </c>
      <c r="F44" s="16" t="inlineStr">
        <is>
          <t>Cao</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4" s="15" t="inlineStr">
        <is>
          <t>1. Ẩn POST-2467DDA0 với lý do 'Spam', ghi chú 'Kiểm thử QA', giữ checkbox thông báo
2. Quan sát toast, dòng và các số đếm
3. Mở /admin/system/audit tìm 'post.hide'
4. Đăng nhập alex@sofinhub.test mở thông báo</t>
        </is>
      </c>
      <c r="K44" s="15" t="inlineStr">
        <is>
          <t>POST-2467DDA0 / Spam</t>
        </is>
      </c>
      <c r="L4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44" s="15" t="inlineStr"/>
      <c r="N44" s="18" t="inlineStr">
        <is>
          <t>Chưa test</t>
        </is>
      </c>
      <c r="O44" s="15" t="inlineStr"/>
      <c r="P44" s="15" t="inlineStr"/>
      <c r="Q44" s="18" t="inlineStr">
        <is>
          <t>Chưa test</t>
        </is>
      </c>
      <c r="R44" s="15" t="inlineStr"/>
    </row>
    <row r="45" ht="30" customHeight="1">
      <c r="A45" s="14" t="inlineStr">
        <is>
          <t>TC-ADM2-044</t>
        </is>
      </c>
      <c r="B45" s="15" t="inlineStr">
        <is>
          <t>Admin Console (đợt 2: Nội dung, Thanh toán, Khám phá)</t>
        </is>
      </c>
      <c r="C45" s="15" t="inlineStr">
        <is>
          <t>Nội dung · Bài viết (UI)</t>
        </is>
      </c>
      <c r="D45" s="15" t="inlineStr">
        <is>
          <t>Ẩn bài viết với bỏ chọn 'Thông báo cho tác giả' thì tác giả KHÔNG nhận thông báo</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5" s="15" t="inlineStr">
        <is>
          <t>1. Ẩn POST-1415C1D0 (Noah, code-camp) với lý do 'Quấy rối', bỏ tích 'Thông báo cho tác giả'
2. Đăng nhập noah@sofinhub.test xem thông báo</t>
        </is>
      </c>
      <c r="K45" s="15" t="inlineStr">
        <is>
          <t>POST-1415C1D0</t>
        </is>
      </c>
      <c r="L45" s="15" t="inlineStr">
        <is>
          <t>Bài chuyển 'Đã ẩn', có audit post.hide; Noah KHÔNG có thông báo 'Bài viết của bạn đã bị ẩn' mới (notifyAuthor=false).</t>
        </is>
      </c>
      <c r="M45" s="15" t="inlineStr"/>
      <c r="N45" s="18" t="inlineStr">
        <is>
          <t>Chưa test</t>
        </is>
      </c>
      <c r="O45" s="15" t="inlineStr"/>
      <c r="P45" s="15" t="inlineStr"/>
      <c r="Q45" s="18" t="inlineStr">
        <is>
          <t>Chưa test</t>
        </is>
      </c>
      <c r="R45" s="15" t="inlineStr"/>
    </row>
    <row r="46" ht="30" customHeight="1">
      <c r="A46" s="14" t="inlineStr">
        <is>
          <t>TC-ADM2-045</t>
        </is>
      </c>
      <c r="B46" s="15" t="inlineStr">
        <is>
          <t>Admin Console (đợt 2: Nội dung, Thanh toán, Khám phá)</t>
        </is>
      </c>
      <c r="C46" s="15" t="inlineStr">
        <is>
          <t>Nội dung · Bài viết (UI)</t>
        </is>
      </c>
      <c r="D46" s="15" t="inlineStr">
        <is>
          <t>Gỡ bài viết (modal danger): tiêu đề, nút 'Gỡ nội dung', toast và trạng thái 'Đã gỡ'</t>
        </is>
      </c>
      <c r="E46" s="15" t="inlineStr">
        <is>
          <t>Chức năng</t>
        </is>
      </c>
      <c r="F46" s="16" t="inlineStr">
        <is>
          <t>Cao</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6" s="15" t="inlineStr">
        <is>
          <t>1. Menu dòng POST-129F0682 &gt; 'Gỡ'
2. Chọn lý do 'Lừa đảo', ghi chú 'QA', bấm 'Gỡ nội dung'</t>
        </is>
      </c>
      <c r="K46" s="15" t="inlineStr">
        <is>
          <t>POST-129F0682</t>
        </is>
      </c>
      <c r="L4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46" s="15" t="inlineStr"/>
      <c r="N46" s="18" t="inlineStr">
        <is>
          <t>Chưa test</t>
        </is>
      </c>
      <c r="O46" s="15" t="inlineStr"/>
      <c r="P46" s="15" t="inlineStr"/>
      <c r="Q46" s="18" t="inlineStr">
        <is>
          <t>Chưa test</t>
        </is>
      </c>
      <c r="R46" s="15" t="inlineStr"/>
    </row>
    <row r="47" ht="45" customHeight="1">
      <c r="A47" s="14" t="inlineStr">
        <is>
          <t>TC-ADM2-046</t>
        </is>
      </c>
      <c r="B47" s="15" t="inlineStr">
        <is>
          <t>Admin Console (đợt 2: Nội dung, Thanh toán, Khám phá)</t>
        </is>
      </c>
      <c r="C47" s="15" t="inlineStr">
        <is>
          <t>Nội dung · Bài viết (UI)</t>
        </is>
      </c>
      <c r="D47" s="15" t="inlineStr">
        <is>
          <t>Khôi phục bài viết đã gỡ/đã ẩn: modal, toast, trạng thái về 'Đã xuất bản'</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7" s="15" t="inlineStr">
        <is>
          <t>1. Menu dòng POST-6976F0F3 (removed) &gt; 'Khôi phục'
2. Điền ghi chú (tùy chọn) và bấm 'Khôi phục'
3. Làm tương tự với POST-D186CDF7 (hidden)</t>
        </is>
      </c>
      <c r="K47" s="15" t="inlineStr">
        <is>
          <t>POST-6976F0F3, POST-D186CDF7</t>
        </is>
      </c>
      <c r="L47" s="15" t="inlineStr">
        <is>
          <t>Modal 'Khôi phục bài viết?'; toast 'Đã khôi phục bài viết'; hai dòng thành 'Đã xuất bản', lý do kiểm duyệt bị xóa; audit post.restore (metadata.from = removed/hidden); không gửi thông báo cho tác giả khi khôi phục.</t>
        </is>
      </c>
      <c r="M47" s="15" t="inlineStr"/>
      <c r="N47" s="18" t="inlineStr">
        <is>
          <t>Chưa test</t>
        </is>
      </c>
      <c r="O47" s="15" t="inlineStr"/>
      <c r="P47" s="15" t="inlineStr"/>
      <c r="Q47" s="18" t="inlineStr">
        <is>
          <t>Chưa test</t>
        </is>
      </c>
      <c r="R47" s="15" t="inlineStr"/>
    </row>
    <row r="48" ht="45" customHeight="1">
      <c r="A48" s="14" t="inlineStr">
        <is>
          <t>TC-ADM2-047</t>
        </is>
      </c>
      <c r="B48" s="15" t="inlineStr">
        <is>
          <t>Admin Console (đợt 2: Nội dung, Thanh toán, Khám phá)</t>
        </is>
      </c>
      <c r="C48" s="15" t="inlineStr">
        <is>
          <t>Nội dung · Bài viết (UI)</t>
        </is>
      </c>
      <c r="D48" s="15" t="inlineStr">
        <is>
          <t>Lỗi từ API hiện ngay trong modal thao tác (không đóng modal)</t>
        </is>
      </c>
      <c r="E48" s="15" t="inlineStr">
        <is>
          <t>Chức năng</t>
        </is>
      </c>
      <c r="F48" s="20" t="inlineStr">
        <is>
          <t>Trung bình</t>
        </is>
      </c>
      <c r="G48" s="17" t="inlineStr">
        <is>
          <t>Đã hoàn thiện</t>
        </is>
      </c>
      <c r="H48" s="20" t="inlineStr">
        <is>
          <t>Một phần</t>
        </is>
      </c>
      <c r="I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8" s="15" t="inlineStr">
        <is>
          <t>1. Mở trang Bài viết ở 2 tab trình duyệt
2. Tab 1: Ẩn POST-1415C1D0 thành công
3. Tab 2 (chưa tải lại): menu dòng đó &gt; 'Ẩn' &gt; chọn lý do &gt; bấm 'Ẩn'</t>
        </is>
      </c>
      <c r="K48" s="15" t="inlineStr">
        <is>
          <t>POST-1415C1D0</t>
        </is>
      </c>
      <c r="L48" s="15" t="inlineStr">
        <is>
          <t>Tab 2 nhận 409 và hiện thông điệp 'bài viết đang bị ẩn hoặc đã bị gỡ' ngay trong modal (nút quay về trạng thái bấm được), không hiện toast thành công, dữ liệu không đổi.</t>
        </is>
      </c>
      <c r="M48" s="15" t="inlineStr"/>
      <c r="N48" s="18" t="inlineStr">
        <is>
          <t>Chưa test</t>
        </is>
      </c>
      <c r="O48" s="15" t="inlineStr"/>
      <c r="P48" s="15" t="inlineStr"/>
      <c r="Q48" s="18" t="inlineStr">
        <is>
          <t>Chưa test</t>
        </is>
      </c>
      <c r="R48" s="15" t="inlineStr"/>
    </row>
    <row r="49" ht="45" customHeight="1">
      <c r="A49" s="14" t="inlineStr">
        <is>
          <t>TC-ADM2-048</t>
        </is>
      </c>
      <c r="B49" s="15" t="inlineStr">
        <is>
          <t>Admin Console (đợt 2: Nội dung, Thanh toán, Khám phá)</t>
        </is>
      </c>
      <c r="C49" s="15" t="inlineStr">
        <is>
          <t>Nội dung · Bài viết (UI)</t>
        </is>
      </c>
      <c r="D49" s="15" t="inlineStr">
        <is>
          <t>Chọn nhiều dòng: hiện thanh thao tác hàng loạt (Đã chọn N, Ẩn, Gỡ, Khôi phục, Bỏ chọn)</t>
        </is>
      </c>
      <c r="E49" s="15" t="inlineStr">
        <is>
          <t>Giao diện</t>
        </is>
      </c>
      <c r="F49" s="20" t="inlineStr">
        <is>
          <t>Trung bình</t>
        </is>
      </c>
      <c r="G49" s="17" t="inlineStr">
        <is>
          <t>Đã hoàn thiện</t>
        </is>
      </c>
      <c r="H49" s="17" t="inlineStr">
        <is>
          <t>Có</t>
        </is>
      </c>
      <c r="I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9" s="15" t="inlineStr">
        <is>
          <t>1. Tích checkbox 'Chọn dòng' của 3 dòng
2. Tích 'Chọn tất cả'
3. Bấm 'Bỏ chọn'</t>
        </is>
      </c>
      <c r="K49" s="15" t="inlineStr">
        <is>
          <t>-</t>
        </is>
      </c>
      <c r="L49" s="15" t="inlineStr">
        <is>
          <t>Thanh hiện 'Đã chọn 3' rồi 'Đã chọn &lt;20&gt;' (chọn tất cả chỉ chọn các dòng của TRANG hiện tại); 'Bỏ chọn' về 0 và ẩn thanh; đổi tab thì vùng chọn bị xóa.</t>
        </is>
      </c>
      <c r="M49" s="15" t="inlineStr"/>
      <c r="N49" s="18" t="inlineStr">
        <is>
          <t>Chưa test</t>
        </is>
      </c>
      <c r="O49" s="15" t="inlineStr"/>
      <c r="P49" s="15" t="inlineStr"/>
      <c r="Q49" s="18" t="inlineStr">
        <is>
          <t>Chưa test</t>
        </is>
      </c>
      <c r="R49" s="15" t="inlineStr"/>
    </row>
    <row r="50" ht="45" customHeight="1">
      <c r="A50" s="14" t="inlineStr">
        <is>
          <t>TC-ADM2-049</t>
        </is>
      </c>
      <c r="B50" s="15" t="inlineStr">
        <is>
          <t>Admin Console (đợt 2: Nội dung, Thanh toán, Khám phá)</t>
        </is>
      </c>
      <c r="C50" s="15" t="inlineStr">
        <is>
          <t>Nội dung · Bài viết (UI)</t>
        </is>
      </c>
      <c r="D50" s="15" t="inlineStr">
        <is>
          <t>Ẩn hàng loạt 3 bài từ giao diện</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50" s="15" t="inlineStr">
        <is>
          <t>1. Tích POST-2467DDA0, POST-1415C1D0, POST-B0D6AD49
2. Thanh bulk &gt; 'Ẩn'
3. Dialog 'Ẩn 3 bài viết?': chọn lý do 'Spam' và xác nhận</t>
        </is>
      </c>
      <c r="K50" s="15" t="inlineStr">
        <is>
          <t>3 bài published</t>
        </is>
      </c>
      <c r="L50" s="15" t="inlineStr">
        <is>
          <t>Toast 'Đã xử lý 3 bài viết'; cả 3 dòng 'Đã ẩn'; vùng chọn xóa; mỗi bài có 1 dòng audit post.hide; tác giả mỗi bài được thông báo.</t>
        </is>
      </c>
      <c r="M50" s="15" t="inlineStr"/>
      <c r="N50" s="18" t="inlineStr">
        <is>
          <t>Chưa test</t>
        </is>
      </c>
      <c r="O50" s="15" t="inlineStr"/>
      <c r="P50" s="15" t="inlineStr"/>
      <c r="Q50" s="18" t="inlineStr">
        <is>
          <t>Chưa test</t>
        </is>
      </c>
      <c r="R50" s="15" t="inlineStr"/>
    </row>
    <row r="51" ht="45" customHeight="1">
      <c r="A51" s="14" t="inlineStr">
        <is>
          <t>TC-ADM2-050</t>
        </is>
      </c>
      <c r="B51" s="15" t="inlineStr">
        <is>
          <t>Admin Console (đợt 2: Nội dung, Thanh toán, Khám phá)</t>
        </is>
      </c>
      <c r="C51" s="15" t="inlineStr">
        <is>
          <t>Nội dung · Bài viết (UI)</t>
        </is>
      </c>
      <c r="D51" s="15" t="inlineStr">
        <is>
          <t>Gỡ/khôi phục hàng loạt: bài không hợp lệ bị bỏ qua và báo 'Bỏ qua N bài'</t>
        </is>
      </c>
      <c r="E51" s="15" t="inlineStr">
        <is>
          <t>Chức năng</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51" s="15" t="inlineStr">
        <is>
          <t>1. Tích POST-D186CDF7 (đã ẩn) và POST-5C0A7BA8 (published)
2. Thanh bulk &gt; 'Ẩn' (chọn lý do)
3. Quan sát toast</t>
        </is>
      </c>
      <c r="K51" s="15" t="inlineStr">
        <is>
          <t>POST-D186CDF7 + POST-5C0A7BA8</t>
        </is>
      </c>
      <c r="L51" s="15" t="inlineStr">
        <is>
          <t>POST-5C0A7BA8 chuyển 'Đã ẩn'; POST-D186CDF7 bị bỏ qua vì đã ẩn -&gt; toast lỗi 'Bỏ qua 1 bài: bài viết đang bị ẩn hoặc đã bị gỡ'; toast tổng 'Đã xử lý 2 bài viết' vẫn hiện (UI không trừ số bỏ qua).</t>
        </is>
      </c>
      <c r="M51" s="15" t="inlineStr"/>
      <c r="N51" s="18" t="inlineStr">
        <is>
          <t>Chưa test</t>
        </is>
      </c>
      <c r="O51" s="15" t="inlineStr"/>
      <c r="P51" s="15" t="inlineStr"/>
      <c r="Q51" s="18" t="inlineStr">
        <is>
          <t>Chưa test</t>
        </is>
      </c>
      <c r="R51" s="15" t="inlineStr"/>
    </row>
    <row r="52" ht="45" customHeight="1">
      <c r="A52" s="14" t="inlineStr">
        <is>
          <t>TC-ADM2-051</t>
        </is>
      </c>
      <c r="B52" s="15" t="inlineStr">
        <is>
          <t>Admin Console (đợt 2: Nội dung, Thanh toán, Khám phá)</t>
        </is>
      </c>
      <c r="C52" s="15" t="inlineStr">
        <is>
          <t>Nội dung · Bài viết (UI)</t>
        </is>
      </c>
      <c r="D52" s="15" t="inlineStr">
        <is>
          <t>Hàng loạt 'Khôi phục' không đòi lý do; 'Ẩn'/'Gỡ' đòi lý do</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52" s="15" t="inlineStr">
        <is>
          <t>1. Tích 2 bài đang ẩn/gỡ
2. Bulk &gt; 'Khôi phục': xem dialog
3. Bulk &gt; 'Gỡ': xem dialog</t>
        </is>
      </c>
      <c r="K52" s="15" t="inlineStr">
        <is>
          <t>-</t>
        </is>
      </c>
      <c r="L52" s="15" t="inlineStr">
        <is>
          <t>Dialog 'Khôi phục 2 bài viết?' không có chip lý do và nút bấm được ngay; dialog 'Gỡ 2 bài viết?' có chip lý do và nút khóa tới khi chọn.</t>
        </is>
      </c>
      <c r="M52" s="15" t="inlineStr"/>
      <c r="N52" s="18" t="inlineStr">
        <is>
          <t>Chưa test</t>
        </is>
      </c>
      <c r="O52" s="15" t="inlineStr"/>
      <c r="P52" s="15" t="inlineStr"/>
      <c r="Q52" s="18" t="inlineStr">
        <is>
          <t>Chưa test</t>
        </is>
      </c>
      <c r="R52" s="15" t="inlineStr"/>
    </row>
    <row r="53" ht="30" customHeight="1">
      <c r="A53" s="14" t="inlineStr">
        <is>
          <t>TC-ADM2-052</t>
        </is>
      </c>
      <c r="B53" s="15" t="inlineStr">
        <is>
          <t>Admin Console (đợt 2: Nội dung, Thanh toán, Khám phá)</t>
        </is>
      </c>
      <c r="C53" s="15" t="inlineStr">
        <is>
          <t>Nội dung · Bài viết (API)</t>
        </is>
      </c>
      <c r="D53" s="15" t="inlineStr">
        <is>
          <t>GET /admin/content/posts/summary trả total/today/reported/removed/hidden</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53" s="15" t="inlineStr">
        <is>
          <t>1. GET /api/admin/content/posts/summary
2. Đối chiếu bằng SQL: COUNT Post; createdAt &gt;= đầu ngày UTC; DISTINCT targetId của Report(post, open|under_review); removedAt not null; hidden=true AND removedAt null</t>
        </is>
      </c>
      <c r="K53" s="15" t="inlineStr">
        <is>
          <t>-</t>
        </is>
      </c>
      <c r="L53" s="15" t="inlineStr">
        <is>
          <t>200 {data:{total,today,reported,removed,hidden}} đều là số nguyên &gt;= 0 và khớp SQL (seed sạch: reported≈7, removed 2, hidden≈3).</t>
        </is>
      </c>
      <c r="M53" s="15" t="inlineStr"/>
      <c r="N53" s="18" t="inlineStr">
        <is>
          <t>Chưa test</t>
        </is>
      </c>
      <c r="O53" s="15" t="inlineStr"/>
      <c r="P53" s="15" t="inlineStr"/>
      <c r="Q53" s="18" t="inlineStr">
        <is>
          <t>Chưa test</t>
        </is>
      </c>
      <c r="R53" s="15" t="inlineStr"/>
    </row>
    <row r="54" ht="135" customHeight="1">
      <c r="A54" s="14" t="inlineStr">
        <is>
          <t>TC-ADM2-053</t>
        </is>
      </c>
      <c r="B54" s="15" t="inlineStr">
        <is>
          <t>Admin Console (đợt 2: Nội dung, Thanh toán, Khám phá)</t>
        </is>
      </c>
      <c r="C54" s="15" t="inlineStr">
        <is>
          <t>Nội dung · Bài viết (API)</t>
        </is>
      </c>
      <c r="D54" s="15" t="inlineStr">
        <is>
          <t>GET /admin/content/posts lọc status/courseId/q, trả meta phân trang, 400 giá trị lạ</t>
        </is>
      </c>
      <c r="E54" s="15" t="inlineStr">
        <is>
          <t>Chức năng</t>
        </is>
      </c>
      <c r="F54" s="16" t="inlineStr">
        <is>
          <t>Cao</t>
        </is>
      </c>
      <c r="G54" s="17" t="inlineStr">
        <is>
          <t>Đã hoàn thiện</t>
        </is>
      </c>
      <c r="H54" s="17" t="inlineStr">
        <is>
          <t>Có</t>
        </is>
      </c>
      <c r="I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5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54" s="15" t="inlineStr">
        <is>
          <t>spam-hub, growth-lab</t>
        </is>
      </c>
      <c r="L54" s="15" t="inlineStr">
        <is>
          <t>Lần 1: [POST-D186CDF7]. Lần 2: 2 bài (hidden+removed). Lần 3: bài published có báo cáo mở (underReview=true, reports&gt;0). Lần 4: đúng POST-D186CDF7. Lần 5: data&lt;=2, meta {page:2,limit:2,total,totalPages}. Lần 6-9: 400 VALIDATION_ERROR.</t>
        </is>
      </c>
      <c r="M54" s="15" t="inlineStr"/>
      <c r="N54" s="18" t="inlineStr">
        <is>
          <t>Chưa test</t>
        </is>
      </c>
      <c r="O54" s="15" t="inlineStr"/>
      <c r="P54" s="15" t="inlineStr"/>
      <c r="Q54" s="18" t="inlineStr">
        <is>
          <t>Chưa test</t>
        </is>
      </c>
      <c r="R54" s="15" t="inlineStr"/>
    </row>
    <row r="55" ht="30" customHeight="1">
      <c r="A55" s="14" t="inlineStr">
        <is>
          <t>TC-ADM2-054</t>
        </is>
      </c>
      <c r="B55" s="15" t="inlineStr">
        <is>
          <t>Admin Console (đợt 2: Nội dung, Thanh toán, Khám phá)</t>
        </is>
      </c>
      <c r="C55" s="15" t="inlineStr">
        <is>
          <t>Nội dung · Bài viết (API)</t>
        </is>
      </c>
      <c r="D55" s="15" t="inlineStr">
        <is>
          <t>GET /admin/content/posts/:id trả chi tiết có thread, reportList, history</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55" s="15" t="inlineStr">
        <is>
          <t>1. Lấy id của POST-D70BB72C từ danh sách (field id)
2. GET /api/admin/content/posts/&lt;id&gt;</t>
        </is>
      </c>
      <c r="K55" s="15" t="inlineStr">
        <is>
          <t>POST-D70BB72C</t>
        </is>
      </c>
      <c r="L55" s="15" t="inlineStr">
        <is>
          <t>200; có content (toàn văn), tags, thread (&lt;=20 bình luận gồm CMT của Noah, Emma), reportList 2 phần tử với caseCode dạng CASE-\d{5}, reason=harassment, reporter, history &lt;=10; code=POST-D70BB72C, reports=2, underReview=true.</t>
        </is>
      </c>
      <c r="M55" s="15" t="inlineStr"/>
      <c r="N55" s="18" t="inlineStr">
        <is>
          <t>Chưa test</t>
        </is>
      </c>
      <c r="O55" s="15" t="inlineStr"/>
      <c r="P55" s="15" t="inlineStr"/>
      <c r="Q55" s="18" t="inlineStr">
        <is>
          <t>Chưa test</t>
        </is>
      </c>
      <c r="R55" s="15" t="inlineStr"/>
    </row>
    <row r="56" ht="30" customHeight="1">
      <c r="A56" s="14" t="inlineStr">
        <is>
          <t>TC-ADM2-055</t>
        </is>
      </c>
      <c r="B56" s="15" t="inlineStr">
        <is>
          <t>Admin Console (đợt 2: Nội dung, Thanh toán, Khám phá)</t>
        </is>
      </c>
      <c r="C56" s="15" t="inlineStr">
        <is>
          <t>Nội dung · Bài viết (API)</t>
        </is>
      </c>
      <c r="D56" s="15" t="inlineStr">
        <is>
          <t>GET /admin/content/posts/:id không tồn tại trả 404</t>
        </is>
      </c>
      <c r="E56" s="15" t="inlineStr">
        <is>
          <t>Chức năng</t>
        </is>
      </c>
      <c r="F56" s="20" t="inlineStr">
        <is>
          <t>Trung bình</t>
        </is>
      </c>
      <c r="G56" s="17" t="inlineStr">
        <is>
          <t>Đã hoàn thiện</t>
        </is>
      </c>
      <c r="H56" s="17" t="inlineStr">
        <is>
          <t>Có</t>
        </is>
      </c>
      <c r="I5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56" s="15" t="inlineStr">
        <is>
          <t>1. GET /api/admin/content/posts/khong-ton-tai</t>
        </is>
      </c>
      <c r="K56" s="15" t="inlineStr">
        <is>
          <t>khong-ton-tai</t>
        </is>
      </c>
      <c r="L56" s="15" t="inlineStr">
        <is>
          <t>404 NOT_FOUND, message 'Không tìm thấy bài viết'.</t>
        </is>
      </c>
      <c r="M56" s="15" t="inlineStr"/>
      <c r="N56" s="18" t="inlineStr">
        <is>
          <t>Chưa test</t>
        </is>
      </c>
      <c r="O56" s="15" t="inlineStr"/>
      <c r="P56" s="15" t="inlineStr"/>
      <c r="Q56" s="18" t="inlineStr">
        <is>
          <t>Chưa test</t>
        </is>
      </c>
      <c r="R56" s="15" t="inlineStr"/>
    </row>
    <row r="57" ht="60" customHeight="1">
      <c r="A57" s="14" t="inlineStr">
        <is>
          <t>TC-ADM2-056</t>
        </is>
      </c>
      <c r="B57" s="15" t="inlineStr">
        <is>
          <t>Admin Console (đợt 2: Nội dung, Thanh toán, Khám phá)</t>
        </is>
      </c>
      <c r="C57" s="15" t="inlineStr">
        <is>
          <t>Nội dung · Bài viết (API)</t>
        </is>
      </c>
      <c r="D57" s="15" t="inlineStr">
        <is>
          <t>POST hide: thiếu lý do 400; ẩn thành công 200 status=hidden; ẩn lần 2 trả 409</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57" s="15" t="inlineStr">
        <is>
          <t>1. POST /content/posts/&lt;id POST-2467DDA0&gt;/hide {} 
2. POST .../hide {"reason":"Spam"}
3. Lặp lại lần 2 với {"reason":"x"}
4. POST /content/posts/nope/hide {"reason":"x"}</t>
        </is>
      </c>
      <c r="K57" s="15" t="inlineStr">
        <is>
          <t>POST-2467DDA0</t>
        </is>
      </c>
      <c r="L57" s="15" t="inlineStr">
        <is>
          <t>Lần 1: 400 (thiếu lý do). Lần 2: 200 data.status='hidden', moderationReason='Spam', moderatedBy = Platform Admin. Lần 3: 409 CONFLICT 'bài viết đang bị ẩn hoặc đã bị gỡ'. Lần 4: 404.</t>
        </is>
      </c>
      <c r="M57" s="15" t="inlineStr"/>
      <c r="N57" s="18" t="inlineStr">
        <is>
          <t>Chưa test</t>
        </is>
      </c>
      <c r="O57" s="15" t="inlineStr"/>
      <c r="P57" s="15" t="inlineStr"/>
      <c r="Q57" s="18" t="inlineStr">
        <is>
          <t>Chưa test</t>
        </is>
      </c>
      <c r="R57" s="15" t="inlineStr"/>
    </row>
    <row r="58" ht="90" customHeight="1">
      <c r="A58" s="14" t="inlineStr">
        <is>
          <t>TC-ADM2-057</t>
        </is>
      </c>
      <c r="B58" s="15" t="inlineStr">
        <is>
          <t>Admin Console (đợt 2: Nội dung, Thanh toán, Khám phá)</t>
        </is>
      </c>
      <c r="C58" s="15" t="inlineStr">
        <is>
          <t>Nội dung · Bài viết (API)</t>
        </is>
      </c>
      <c r="D58" s="15" t="inlineStr">
        <is>
          <t>POST remove/restore: chuyển trạng thái đúng bảng, sai trạng thái trả 409</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58" s="15" t="inlineStr">
        <is>
          <t>1. remove POST-1415C1D0 {"reason":"Scam","notifyAuthor":false}
2. remove lần 2
3. restore
4. restore lần 2
5. hide POST-D186CDF7 (đang hidden)
6. remove POST-D186CDF7 (hidden -&gt; removed)</t>
        </is>
      </c>
      <c r="K58" s="15" t="inlineStr">
        <is>
          <t>POST-1415C1D0, POST-D186CDF7</t>
        </is>
      </c>
      <c r="L5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58" s="15" t="inlineStr"/>
      <c r="N58" s="18" t="inlineStr">
        <is>
          <t>Chưa test</t>
        </is>
      </c>
      <c r="O58" s="15" t="inlineStr"/>
      <c r="P58" s="15" t="inlineStr"/>
      <c r="Q58" s="18" t="inlineStr">
        <is>
          <t>Chưa test</t>
        </is>
      </c>
      <c r="R58" s="15" t="inlineStr"/>
    </row>
    <row r="59" ht="30" customHeight="1">
      <c r="A59" s="14" t="inlineStr">
        <is>
          <t>TC-ADM2-058</t>
        </is>
      </c>
      <c r="B59" s="15" t="inlineStr">
        <is>
          <t>Admin Console (đợt 2: Nội dung, Thanh toán, Khám phá)</t>
        </is>
      </c>
      <c r="C59" s="15" t="inlineStr">
        <is>
          <t>Nội dung · Bài viết (API)</t>
        </is>
      </c>
      <c r="D59" s="15" t="inlineStr">
        <is>
          <t>Hide/remove/restore ghi audit đúng action và đủ trường (targetType=post, reason, metadata.from)</t>
        </is>
      </c>
      <c r="E59" s="15" t="inlineStr">
        <is>
          <t>Chức năng</t>
        </is>
      </c>
      <c r="F59" s="16" t="inlineStr">
        <is>
          <t>Cao</t>
        </is>
      </c>
      <c r="G59" s="17" t="inlineStr">
        <is>
          <t>Đã hoàn thiện</t>
        </is>
      </c>
      <c r="H59" s="17" t="inlineStr">
        <is>
          <t>Có</t>
        </is>
      </c>
      <c r="I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59" s="15" t="inlineStr">
        <is>
          <t>1. Thực hiện hide -&gt; remove -&gt; restore trên POST-B0D6AD49
2. GET /api/admin/audit-logs?targetId=&lt;id&gt;&amp;limit=100</t>
        </is>
      </c>
      <c r="K59" s="15" t="inlineStr">
        <is>
          <t>POST-B0D6AD49</t>
        </is>
      </c>
      <c r="L59" s="15" t="inlineStr">
        <is>
          <t>3 dòng: post.hide, post.remove, post.restore; actor = Platform Admin; targetType=post; targetLabel = excerpt 80 ký tự; reason khớp; metadata.community='fit-forever' và metadata.from lần lượt published/hidden/removed.</t>
        </is>
      </c>
      <c r="M59" s="15" t="inlineStr"/>
      <c r="N59" s="18" t="inlineStr">
        <is>
          <t>Chưa test</t>
        </is>
      </c>
      <c r="O59" s="15" t="inlineStr"/>
      <c r="P59" s="15" t="inlineStr"/>
      <c r="Q59" s="18" t="inlineStr">
        <is>
          <t>Chưa test</t>
        </is>
      </c>
      <c r="R59" s="15" t="inlineStr"/>
    </row>
    <row r="60" ht="90" customHeight="1">
      <c r="A60" s="14" t="inlineStr">
        <is>
          <t>TC-ADM2-059</t>
        </is>
      </c>
      <c r="B60" s="15" t="inlineStr">
        <is>
          <t>Admin Console (đợt 2: Nội dung, Thanh toán, Khám phá)</t>
        </is>
      </c>
      <c r="C60" s="15" t="inlineStr">
        <is>
          <t>Nội dung · Bài viết (API)</t>
        </is>
      </c>
      <c r="D60" s="15" t="inlineStr">
        <is>
          <t>POST /content/posts/bulk: 200 {updated, skipped[]} và lỗi validate</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60" s="15" t="inlineStr">
        <is>
          <t>1. bulk {action:'hide',ids:[&lt;2 bài published&gt;,&lt;1 bài đã hidden&gt;,'missing']} thiếu reason
2. Lặp lại với reason:'Spam'
3. bulk {action:'restore',ids:[...]} không reason
4. bulk ids rỗng
5. bulk ids 101 phần tử
6. bulk action:'pin'</t>
        </is>
      </c>
      <c r="K60" s="15" t="inlineStr">
        <is>
          <t>-</t>
        </is>
      </c>
      <c r="L6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60" s="15" t="inlineStr"/>
      <c r="N60" s="18" t="inlineStr">
        <is>
          <t>Chưa test</t>
        </is>
      </c>
      <c r="O60" s="15" t="inlineStr"/>
      <c r="P60" s="15" t="inlineStr"/>
      <c r="Q60" s="18" t="inlineStr">
        <is>
          <t>Chưa test</t>
        </is>
      </c>
      <c r="R60" s="15" t="inlineStr"/>
    </row>
    <row r="61" ht="30" customHeight="1">
      <c r="A61" s="14" t="inlineStr">
        <is>
          <t>TC-ADM2-060</t>
        </is>
      </c>
      <c r="B61" s="15" t="inlineStr">
        <is>
          <t>Admin Console (đợt 2: Nội dung, Thanh toán, Khám phá)</t>
        </is>
      </c>
      <c r="C61" s="15" t="inlineStr">
        <is>
          <t>Nội dung · Bài viết (API)</t>
        </is>
      </c>
      <c r="D61" s="15" t="inlineStr">
        <is>
          <t>Bulk loại id trùng và vẫn tính tối đa 100 phần tử</t>
        </is>
      </c>
      <c r="E61" s="15" t="inlineStr">
        <is>
          <t>Chức năng</t>
        </is>
      </c>
      <c r="F61" s="17" t="inlineStr">
        <is>
          <t>Thấp</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61" s="15" t="inlineStr">
        <is>
          <t>1. bulk hide với ids = [A, A, A] cùng một bài published, reason 'Spam'</t>
        </is>
      </c>
      <c r="K61" s="15" t="inlineStr">
        <is>
          <t>ids trùng</t>
        </is>
      </c>
      <c r="L61" s="15" t="inlineStr">
        <is>
          <t>200 updated=1 (id trùng chỉ xử lý 1 lần), skipped=[]; chỉ 1 dòng audit.</t>
        </is>
      </c>
      <c r="M61" s="15" t="inlineStr"/>
      <c r="N61" s="18" t="inlineStr">
        <is>
          <t>Chưa test</t>
        </is>
      </c>
      <c r="O61" s="15" t="inlineStr"/>
      <c r="P61" s="15" t="inlineStr"/>
      <c r="Q61" s="18" t="inlineStr">
        <is>
          <t>Chưa test</t>
        </is>
      </c>
      <c r="R61" s="15" t="inlineStr"/>
    </row>
    <row r="62" ht="45" customHeight="1">
      <c r="A62" s="14" t="inlineStr">
        <is>
          <t>TC-ADM2-061</t>
        </is>
      </c>
      <c r="B62" s="15" t="inlineStr">
        <is>
          <t>Admin Console (đợt 2: Nội dung, Thanh toán, Khám phá)</t>
        </is>
      </c>
      <c r="C62" s="15" t="inlineStr">
        <is>
          <t>Nội dung · Bình luận</t>
        </is>
      </c>
      <c r="D62" s="15" t="inlineStr">
        <is>
          <t>Trang Bình luận: KPI, tab (Tất cả/Đã xuất bản/Đã ẩn/Đã gỡ), bảng có cột Bài viết gốc</t>
        </is>
      </c>
      <c r="E62" s="15" t="inlineStr">
        <is>
          <t>Giao diện</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62" s="15" t="inlineStr">
        <is>
          <t>1. Mở /admin/content/comments
2. Đọc KPI và số đếm tab
3. Bấm lần lượt các tab</t>
        </is>
      </c>
      <c r="K62" s="15" t="inlineStr">
        <is>
          <t>-</t>
        </is>
      </c>
      <c r="L6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62" s="15" t="inlineStr"/>
      <c r="N62" s="18" t="inlineStr">
        <is>
          <t>Chưa test</t>
        </is>
      </c>
      <c r="O62" s="15" t="inlineStr"/>
      <c r="P62" s="15" t="inlineStr"/>
      <c r="Q62" s="18" t="inlineStr">
        <is>
          <t>Chưa test</t>
        </is>
      </c>
      <c r="R62" s="15" t="inlineStr"/>
    </row>
    <row r="63" ht="45" customHeight="1">
      <c r="A63" s="14" t="inlineStr">
        <is>
          <t>TC-ADM2-062</t>
        </is>
      </c>
      <c r="B63" s="15" t="inlineStr">
        <is>
          <t>Admin Console (đợt 2: Nội dung, Thanh toán, Khám phá)</t>
        </is>
      </c>
      <c r="C63" s="15" t="inlineStr">
        <is>
          <t>Nội dung · Bình luận</t>
        </is>
      </c>
      <c r="D63" s="15" t="inlineStr">
        <is>
          <t>Tìm Bình luận theo nội dung, tác giả, mã CMT-xxxxxxxx</t>
        </is>
      </c>
      <c r="E63" s="15" t="inlineStr">
        <is>
          <t>Chức năng</t>
        </is>
      </c>
      <c r="F63" s="20" t="inlineStr">
        <is>
          <t>Trung bình</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63" s="15" t="inlineStr">
        <is>
          <t>1. Gõ 'cheap-pills'
2. Gõ 'Sophia'
3. Gõ 'CMT-D923CB58'</t>
        </is>
      </c>
      <c r="K63" s="15" t="inlineStr">
        <is>
          <t>cheap-pills | Sophia | CMT-D923CB58</t>
        </is>
      </c>
      <c r="L63" s="15" t="inlineStr">
        <is>
          <t>Lần 1: CMT-B213F111 (Ava, 'Đã gỡ'); lần 2: các bình luận của Sophia Patel (có CMT-88427752 'Đã ẩn'); lần 3: đúng CMT-D923CB58 với Báo cáo = 1 (đỏ).</t>
        </is>
      </c>
      <c r="M63" s="15" t="inlineStr"/>
      <c r="N63" s="18" t="inlineStr">
        <is>
          <t>Chưa test</t>
        </is>
      </c>
      <c r="O63" s="15" t="inlineStr"/>
      <c r="P63" s="15" t="inlineStr"/>
      <c r="Q63" s="18" t="inlineStr">
        <is>
          <t>Chưa test</t>
        </is>
      </c>
      <c r="R63" s="15" t="inlineStr"/>
    </row>
    <row r="64" ht="30" customHeight="1">
      <c r="A64" s="14" t="inlineStr">
        <is>
          <t>TC-ADM2-063</t>
        </is>
      </c>
      <c r="B64" s="15" t="inlineStr">
        <is>
          <t>Admin Console (đợt 2: Nội dung, Thanh toán, Khám phá)</t>
        </is>
      </c>
      <c r="C64" s="15" t="inlineStr">
        <is>
          <t>Nội dung · Bình luận</t>
        </is>
      </c>
      <c r="D64" s="15" t="inlineStr">
        <is>
          <t>Sắp xếp Bình luận: Cũ nhất / Tương tác cao nhất / Nhiều báo cáo nhất</t>
        </is>
      </c>
      <c r="E64" s="15" t="inlineStr">
        <is>
          <t>Chức năng</t>
        </is>
      </c>
      <c r="F64" s="17" t="inlineStr">
        <is>
          <t>Thấp</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4" s="15" t="inlineStr">
        <is>
          <t>1. Chọn lần lượt 3 mục 'Sắp xếp'</t>
        </is>
      </c>
      <c r="K64" s="15" t="inlineStr">
        <is>
          <t>-</t>
        </is>
      </c>
      <c r="L64" s="15" t="inlineStr">
        <is>
          <t>'Nhiều báo cáo nhất' đặt CMT-D923CB58 (1 báo cáo) lên đầu; 'Cũ nhất' tăng dần theo thời gian tạo. Các mục khác không báo lỗi.</t>
        </is>
      </c>
      <c r="M64" s="15" t="inlineStr"/>
      <c r="N64" s="18" t="inlineStr">
        <is>
          <t>Chưa test</t>
        </is>
      </c>
      <c r="O64" s="15" t="inlineStr"/>
      <c r="P64" s="15" t="inlineStr"/>
      <c r="Q64" s="18" t="inlineStr">
        <is>
          <t>Chưa test</t>
        </is>
      </c>
      <c r="R64" s="15" t="inlineStr"/>
    </row>
    <row r="65" ht="60" customHeight="1">
      <c r="A65" s="14" t="inlineStr">
        <is>
          <t>TC-ADM2-064</t>
        </is>
      </c>
      <c r="B65" s="15" t="inlineStr">
        <is>
          <t>Admin Console (đợt 2: Nội dung, Thanh toán, Khám phá)</t>
        </is>
      </c>
      <c r="C65" s="15" t="inlineStr">
        <is>
          <t>Nội dung · Bình luận</t>
        </is>
      </c>
      <c r="D65" s="15" t="inlineStr">
        <is>
          <t>Menu thao tác Bình luận theo trạng thái và 'Xem tác giả'</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65" s="15" t="inlineStr">
        <is>
          <t>1. Menu dòng CMT-A3B80A38 (published)
2. Menu CMT-88427752 (hidden)
3. Menu CMT-2B7C14C7 (removed)
4. Chọn 'Xem tác giả'</t>
        </is>
      </c>
      <c r="K65" s="15" t="inlineStr">
        <is>
          <t>-</t>
        </is>
      </c>
      <c r="L65" s="15" t="inlineStr">
        <is>
          <t>published: Xem trước/Ẩn/Gỡ/Xem tác giả; hidden: Xem trước/Gỡ/Khôi phục/Xem tác giả; removed: Xem trước/Khôi phục/Xem tác giả. 'Xem tác giả' chuyển /admin/users/&lt;id tác giả&gt;.</t>
        </is>
      </c>
      <c r="M65" s="15" t="inlineStr"/>
      <c r="N65" s="18" t="inlineStr">
        <is>
          <t>Chưa test</t>
        </is>
      </c>
      <c r="O65" s="15" t="inlineStr"/>
      <c r="P65" s="15" t="inlineStr"/>
      <c r="Q65" s="18" t="inlineStr">
        <is>
          <t>Chưa test</t>
        </is>
      </c>
      <c r="R65" s="15" t="inlineStr"/>
    </row>
    <row r="66" ht="30" customHeight="1">
      <c r="A66" s="14" t="inlineStr">
        <is>
          <t>TC-ADM2-065</t>
        </is>
      </c>
      <c r="B66" s="15" t="inlineStr">
        <is>
          <t>Admin Console (đợt 2: Nội dung, Thanh toán, Khám phá)</t>
        </is>
      </c>
      <c r="C66" s="15" t="inlineStr">
        <is>
          <t>Nội dung · Bình luận</t>
        </is>
      </c>
      <c r="D66" s="15" t="inlineStr">
        <is>
          <t>Xem trước bình luận: nội dung, bài gốc, báo cáo và lịch sử</t>
        </is>
      </c>
      <c r="E66" s="15" t="inlineStr">
        <is>
          <t>Chức năng</t>
        </is>
      </c>
      <c r="F66" s="20" t="inlineStr">
        <is>
          <t>Trung bình</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66" s="15" t="inlineStr">
        <is>
          <t>1. Mở Xem trước CMT-D923CB58</t>
        </is>
      </c>
      <c r="K66" s="15" t="inlineStr">
        <is>
          <t>CMT-D923CB58</t>
        </is>
      </c>
      <c r="L6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66" s="15" t="inlineStr"/>
      <c r="N66" s="18" t="inlineStr">
        <is>
          <t>Chưa test</t>
        </is>
      </c>
      <c r="O66" s="15" t="inlineStr"/>
      <c r="P66" s="15" t="inlineStr"/>
      <c r="Q66" s="18" t="inlineStr">
        <is>
          <t>Chưa test</t>
        </is>
      </c>
      <c r="R66" s="15" t="inlineStr"/>
    </row>
    <row r="67" ht="45" customHeight="1">
      <c r="A67" s="14" t="inlineStr">
        <is>
          <t>TC-ADM2-066</t>
        </is>
      </c>
      <c r="B67" s="15" t="inlineStr">
        <is>
          <t>Admin Console (đợt 2: Nội dung, Thanh toán, Khám phá)</t>
        </is>
      </c>
      <c r="C67" s="15" t="inlineStr">
        <is>
          <t>Nội dung · Bình luận</t>
        </is>
      </c>
      <c r="D67" s="15" t="inlineStr">
        <is>
          <t>Ẩn bình luận: toast 'Đã ẩn bình luận', badge, audit comment.hide, thông báo tác giả</t>
        </is>
      </c>
      <c r="E67" s="15" t="inlineStr">
        <is>
          <t>Chức năng</t>
        </is>
      </c>
      <c r="F67" s="16" t="inlineStr">
        <is>
          <t>Cao</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67" s="15" t="inlineStr">
        <is>
          <t>1. Ẩn CMT-A3B80A38 (Liam) với lý do 'Quấy rối', giữ thông báo
2. Đăng nhập liam@sofinhub.test xem thông báo
3. Tra audit comment.hide</t>
        </is>
      </c>
      <c r="K67" s="15" t="inlineStr">
        <is>
          <t>CMT-A3B80A38</t>
        </is>
      </c>
      <c r="L67" s="15" t="inlineStr">
        <is>
          <t>Toast 'Đã ẩn bình luận'; dòng 'Đã ẩn'; audit comment.hide (targetType=comment); Liam nhận thông báo 'Bình luận của bạn đã bị ẩn' có trích 60 ký tự đầu + 'Lý do: Quấy rối'.</t>
        </is>
      </c>
      <c r="M67" s="15" t="inlineStr"/>
      <c r="N67" s="18" t="inlineStr">
        <is>
          <t>Chưa test</t>
        </is>
      </c>
      <c r="O67" s="15" t="inlineStr"/>
      <c r="P67" s="15" t="inlineStr"/>
      <c r="Q67" s="18" t="inlineStr">
        <is>
          <t>Chưa test</t>
        </is>
      </c>
      <c r="R67" s="15" t="inlineStr"/>
    </row>
    <row r="68" ht="75" customHeight="1">
      <c r="A68" s="14" t="inlineStr">
        <is>
          <t>TC-ADM2-067</t>
        </is>
      </c>
      <c r="B68" s="15" t="inlineStr">
        <is>
          <t>Admin Console (đợt 2: Nội dung, Thanh toán, Khám phá)</t>
        </is>
      </c>
      <c r="C68" s="15" t="inlineStr">
        <is>
          <t>Nội dung · Bình luận</t>
        </is>
      </c>
      <c r="D68" s="15" t="inlineStr">
        <is>
          <t>Gỡ bình luận làm giảm commentsCount của bài, khôi phục tăng lại</t>
        </is>
      </c>
      <c r="E68" s="15" t="inlineStr">
        <is>
          <t>Chức năng</t>
        </is>
      </c>
      <c r="F68" s="16" t="inlineStr">
        <is>
          <t>Cao</t>
        </is>
      </c>
      <c r="G68" s="17" t="inlineStr">
        <is>
          <t>Đã hoàn thiện</t>
        </is>
      </c>
      <c r="H68" s="17" t="inlineStr">
        <is>
          <t>Có</t>
        </is>
      </c>
      <c r="I6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68" s="15" t="inlineStr">
        <is>
          <t>1. Ghi commentsCount của POST-2467DDA0 (growth-lab) trong DB
2. POST /admin/content/comments/&lt;id CMT-A3B80A38&gt;/remove {"reason":"Spam"}
3. Kiểm tra lại commentsCount
4. POST .../restore {}
5. Kiểm tra lại</t>
        </is>
      </c>
      <c r="K68" s="15" t="inlineStr">
        <is>
          <t>CMT-A3B80A38</t>
        </is>
      </c>
      <c r="L68" s="15" t="inlineStr">
        <is>
          <t>Sau remove: status=removed và commentsCount của bài −1; sau restore: status=published, commentsCount +1 (về giá trị ban đầu). Ẩn (hide) không đổi commentsCount của bài.</t>
        </is>
      </c>
      <c r="M68" s="15" t="inlineStr"/>
      <c r="N68" s="18" t="inlineStr">
        <is>
          <t>Chưa test</t>
        </is>
      </c>
      <c r="O68" s="15" t="inlineStr"/>
      <c r="P68" s="15" t="inlineStr"/>
      <c r="Q68" s="18" t="inlineStr">
        <is>
          <t>Chưa test</t>
        </is>
      </c>
      <c r="R68" s="15" t="inlineStr"/>
    </row>
    <row r="69" ht="105" customHeight="1">
      <c r="A69" s="14" t="inlineStr">
        <is>
          <t>TC-ADM2-068</t>
        </is>
      </c>
      <c r="B69" s="15" t="inlineStr">
        <is>
          <t>Admin Console (đợt 2: Nội dung, Thanh toán, Khám phá)</t>
        </is>
      </c>
      <c r="C69" s="15" t="inlineStr">
        <is>
          <t>Nội dung · Bình luận</t>
        </is>
      </c>
      <c r="D69" s="15" t="inlineStr">
        <is>
          <t>API bình luận: list lọc postId/status, 400/404/409 và bulk</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6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69" s="15" t="inlineStr">
        <is>
          <t>-</t>
        </is>
      </c>
      <c r="L69" s="15" t="inlineStr">
        <is>
          <t>Lọc đúng; chi tiết có post {id,title}, reportList, history; status bogus 400; id lạ 404; hide lần 2 409; bulk 200 {updated:1,skipped:[]}. Summary /content/comments/summary có total/today/reported/removed/hidden.</t>
        </is>
      </c>
      <c r="M69" s="15" t="inlineStr"/>
      <c r="N69" s="18" t="inlineStr">
        <is>
          <t>Chưa test</t>
        </is>
      </c>
      <c r="O69" s="15" t="inlineStr"/>
      <c r="P69" s="15" t="inlineStr"/>
      <c r="Q69" s="18" t="inlineStr">
        <is>
          <t>Chưa test</t>
        </is>
      </c>
      <c r="R69" s="15" t="inlineStr"/>
    </row>
    <row r="70" ht="60" customHeight="1">
      <c r="A70" s="14" t="inlineStr">
        <is>
          <t>TC-ADM2-069</t>
        </is>
      </c>
      <c r="B70" s="15" t="inlineStr">
        <is>
          <t>Admin Console (đợt 2: Nội dung, Thanh toán, Khám phá)</t>
        </is>
      </c>
      <c r="C70" s="15" t="inlineStr">
        <is>
          <t>Nội dung · Bình luận</t>
        </is>
      </c>
      <c r="D70" s="15" t="inlineStr">
        <is>
          <t>Bình luận bị gỡ/ẩn biến mất khỏi API công khai /posts/:id/comments</t>
        </is>
      </c>
      <c r="E70" s="15" t="inlineStr">
        <is>
          <t>Chức năng</t>
        </is>
      </c>
      <c r="F70" s="16" t="inlineStr">
        <is>
          <t>Cao</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70" s="15" t="inlineStr">
        <is>
          <t>1. Admin gỡ CMT-A3B80A38 (dưới POST-2467DDA0)
2. Daniel: GET /api/posts/&lt;id POST-2467DDA0&gt;/comments
3. Admin khôi phục
4. Daniel gọi lại</t>
        </is>
      </c>
      <c r="K70" s="15" t="inlineStr">
        <is>
          <t>CMT-A3B80A38</t>
        </is>
      </c>
      <c r="L7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70" s="15" t="inlineStr"/>
      <c r="N70" s="18" t="inlineStr">
        <is>
          <t>Chưa test</t>
        </is>
      </c>
      <c r="O70" s="15" t="inlineStr"/>
      <c r="P70" s="15" t="inlineStr"/>
      <c r="Q70" s="18" t="inlineStr">
        <is>
          <t>Chưa test</t>
        </is>
      </c>
      <c r="R70" s="15" t="inlineStr"/>
    </row>
    <row r="71" ht="45" customHeight="1">
      <c r="A71" s="14" t="inlineStr">
        <is>
          <t>TC-ADM2-070</t>
        </is>
      </c>
      <c r="B71" s="15" t="inlineStr">
        <is>
          <t>Admin Console (đợt 2: Nội dung, Thanh toán, Khám phá)</t>
        </is>
      </c>
      <c r="C71" s="15" t="inlineStr">
        <is>
          <t>Nội dung · Khóa học</t>
        </is>
      </c>
      <c r="D71" s="15" t="inlineStr">
        <is>
          <t>Trang Khóa học: tab trạng thái có đếm, cột và dữ liệu seed</t>
        </is>
      </c>
      <c r="E71" s="15" t="inlineStr">
        <is>
          <t>Giao diện</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t>
        </is>
      </c>
      <c r="J71" s="15" t="inlineStr">
        <is>
          <t>1. Mở /admin/content/courses
2. Đọc số đếm 5 tab: Tất cả, Đã xuất bản, Nháp, Đã lưu trữ, Đã gỡ
3. Tìm 'System Design Drafts'</t>
        </is>
      </c>
      <c r="K71" s="15" t="inlineStr">
        <is>
          <t>System Design Drafts</t>
        </is>
      </c>
      <c r="L71" s="15" t="inlineStr">
        <is>
          <t>Tiêu đề 'Khóa học' (phụ đề 'Khóa học do creator xuất bản trên nền tảng.'); đếm khớp /content/courses/summary (seed sạch: 124/121/1/1/1); dòng 'System Design Drafts': mã rút gọn 8 ký tự id, Giảng viên 'Alex Rivera', Cộng đồng 'Code Camp', Học viên = số thành viên cộng đồng (≈68), Bài học 4, Hoàn thành thanh ≈5%, Báo cáo 0, Trạng thái 'Nháp'. Không có thẻ KPI trên đầu trang này.</t>
        </is>
      </c>
      <c r="M71" s="15" t="inlineStr"/>
      <c r="N71" s="18" t="inlineStr">
        <is>
          <t>Chưa test</t>
        </is>
      </c>
      <c r="O71" s="15" t="inlineStr"/>
      <c r="P71" s="15" t="inlineStr"/>
      <c r="Q71" s="18" t="inlineStr">
        <is>
          <t>Chưa test</t>
        </is>
      </c>
      <c r="R71" s="15" t="inlineStr"/>
    </row>
    <row r="72" ht="45" customHeight="1">
      <c r="A72" s="14" t="inlineStr">
        <is>
          <t>TC-ADM2-071</t>
        </is>
      </c>
      <c r="B72" s="15" t="inlineStr">
        <is>
          <t>Admin Console (đợt 2: Nội dung, Thanh toán, Khám phá)</t>
        </is>
      </c>
      <c r="C72" s="15" t="inlineStr">
        <is>
          <t>Nội dung · Khóa học</t>
        </is>
      </c>
      <c r="D72" s="15" t="inlineStr">
        <is>
          <t>Tìm Khóa học theo tên khóa, tên cộng đồng, tên chủ cộng đồng</t>
        </is>
      </c>
      <c r="E72" s="15" t="inlineStr">
        <is>
          <t>Chức năng</t>
        </is>
      </c>
      <c r="F72" s="20" t="inlineStr">
        <is>
          <t>Trung bình</t>
        </is>
      </c>
      <c r="G72" s="17" t="inlineStr">
        <is>
          <t>Đã hoàn thiện</t>
        </is>
      </c>
      <c r="H72" s="17" t="inlineStr">
        <is>
          <t>Có</t>
        </is>
      </c>
      <c r="I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t>
        </is>
      </c>
      <c r="J72" s="15" t="inlineStr">
        <is>
          <t>1. Gõ 'Typography'
2. Gõ 'Code Camp'
3. Gõ 'Sarah'</t>
        </is>
      </c>
      <c r="K72" s="15" t="inlineStr">
        <is>
          <t>Typography | Code Camp | Sarah</t>
        </is>
      </c>
      <c r="L72" s="15" t="inlineStr">
        <is>
          <t>Lần 1: Typography Masterclass. Lần 2: 4 mô-đun của Code Camp (Node.js from Zero, System Design Drafts + 2 mô-đun mặc định). Lần 3: mô-đun của cộng đồng do Sarah Kim làm chủ (Growth Lab).</t>
        </is>
      </c>
      <c r="M72" s="15" t="inlineStr"/>
      <c r="N72" s="18" t="inlineStr">
        <is>
          <t>Chưa test</t>
        </is>
      </c>
      <c r="O72" s="15" t="inlineStr"/>
      <c r="P72" s="15" t="inlineStr"/>
      <c r="Q72" s="18" t="inlineStr">
        <is>
          <t>Chưa test</t>
        </is>
      </c>
      <c r="R72" s="15" t="inlineStr"/>
    </row>
    <row r="73" ht="45" customHeight="1">
      <c r="A73" s="14" t="inlineStr">
        <is>
          <t>TC-ADM2-072</t>
        </is>
      </c>
      <c r="B73" s="15" t="inlineStr">
        <is>
          <t>Admin Console (đợt 2: Nội dung, Thanh toán, Khám phá)</t>
        </is>
      </c>
      <c r="C73" s="15" t="inlineStr">
        <is>
          <t>Nội dung · Khóa học</t>
        </is>
      </c>
      <c r="D73" s="15" t="inlineStr">
        <is>
          <t>Lọc theo tab Nháp / Đã lưu trữ / Đã gỡ trả đúng khóa seed</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t>
        </is>
      </c>
      <c r="J73" s="15" t="inlineStr">
        <is>
          <t>1. Bấm tab 'Nháp'
2. Bấm tab 'Đã lưu trữ'
3. Bấm tab 'Đã gỡ'</t>
        </is>
      </c>
      <c r="K73" s="15" t="inlineStr">
        <is>
          <t>-</t>
        </is>
      </c>
      <c r="L73" s="15" t="inlineStr">
        <is>
          <t>Nháp: System Design Drafts. Đã lưu trữ: Budgeting 101 (old edition). Đã gỡ: Get Rich Quick Secrets (badge 'Đã gỡ' đỏ, preview hiện 'Lý do kiểm duyệt' = Misleading claims). Mỗi tab 1 dòng.</t>
        </is>
      </c>
      <c r="M73" s="15" t="inlineStr"/>
      <c r="N73" s="18" t="inlineStr">
        <is>
          <t>Chưa test</t>
        </is>
      </c>
      <c r="O73" s="15" t="inlineStr"/>
      <c r="P73" s="15" t="inlineStr"/>
      <c r="Q73" s="18" t="inlineStr">
        <is>
          <t>Chưa test</t>
        </is>
      </c>
      <c r="R73" s="15" t="inlineStr"/>
    </row>
    <row r="74" ht="30" customHeight="1">
      <c r="A74" s="14" t="inlineStr">
        <is>
          <t>TC-ADM2-073</t>
        </is>
      </c>
      <c r="B74" s="15" t="inlineStr">
        <is>
          <t>Admin Console (đợt 2: Nội dung, Thanh toán, Khám phá)</t>
        </is>
      </c>
      <c r="C74" s="15" t="inlineStr">
        <is>
          <t>Nội dung · Khóa học</t>
        </is>
      </c>
      <c r="D74" s="15" t="inlineStr">
        <is>
          <t>Sắp xếp Khóa học: Cũ nhất, Nhiều học viên, Nhiều bài học, Tên A–Z</t>
        </is>
      </c>
      <c r="E74" s="15" t="inlineStr">
        <is>
          <t>Chức năng</t>
        </is>
      </c>
      <c r="F74" s="17" t="inlineStr">
        <is>
          <t>Thấp</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4" s="15" t="inlineStr">
        <is>
          <t>1. Chọn lần lượt 4 mục 'Sắp xếp'
2. Bấm 'Xóa bộ lọc'</t>
        </is>
      </c>
      <c r="K74" s="15" t="inlineStr">
        <is>
          <t>-</t>
        </is>
      </c>
      <c r="L74" s="15" t="inlineStr">
        <is>
          <t>'Tên A–Z' tăng dần theo tiêu đề; 'Nhiều học viên' giảm dần theo số học viên; 'Nhiều bài học' giảm dần theo số bài; không lỗi; 'Xóa bộ lọc' về mặc định (mới nhất).</t>
        </is>
      </c>
      <c r="M74" s="15" t="inlineStr"/>
      <c r="N74" s="18" t="inlineStr">
        <is>
          <t>Chưa test</t>
        </is>
      </c>
      <c r="O74" s="15" t="inlineStr"/>
      <c r="P74" s="15" t="inlineStr"/>
      <c r="Q74" s="18" t="inlineStr">
        <is>
          <t>Chưa test</t>
        </is>
      </c>
      <c r="R74" s="15" t="inlineStr"/>
    </row>
    <row r="75" ht="60" customHeight="1">
      <c r="A75" s="14" t="inlineStr">
        <is>
          <t>TC-ADM2-074</t>
        </is>
      </c>
      <c r="B75" s="15" t="inlineStr">
        <is>
          <t>Admin Console (đợt 2: Nội dung, Thanh toán, Khám phá)</t>
        </is>
      </c>
      <c r="C75" s="15" t="inlineStr">
        <is>
          <t>Nội dung · Khóa học</t>
        </is>
      </c>
      <c r="D75" s="15" t="inlineStr">
        <is>
          <t>Menu thao tác Khóa học theo trạng thái (Xuất bản/Hủy xuất bản/Lưu trữ/Gỡ/Khôi phục/Mở cộng đồng)</t>
        </is>
      </c>
      <c r="E75" s="15" t="inlineStr">
        <is>
          <t>Chức năng</t>
        </is>
      </c>
      <c r="F75" s="16" t="inlineStr">
        <is>
          <t>Cao</t>
        </is>
      </c>
      <c r="G75" s="17" t="inlineStr">
        <is>
          <t>Đã hoàn thiện</t>
        </is>
      </c>
      <c r="H75" s="17" t="inlineStr">
        <is>
          <t>Có</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t>
        </is>
      </c>
      <c r="J75" s="15" t="inlineStr">
        <is>
          <t>1. Menu dòng Node.js from Zero (published)
2. Menu System Design Drafts (draft)
3. Menu Budgeting 101 (archived)
4. Menu Get Rich Quick Secrets (removed)</t>
        </is>
      </c>
      <c r="K75" s="15" t="inlineStr">
        <is>
          <t>-</t>
        </is>
      </c>
      <c r="L7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75" s="15" t="inlineStr"/>
      <c r="N75" s="18" t="inlineStr">
        <is>
          <t>Chưa test</t>
        </is>
      </c>
      <c r="O75" s="15" t="inlineStr"/>
      <c r="P75" s="15" t="inlineStr"/>
      <c r="Q75" s="18" t="inlineStr">
        <is>
          <t>Chưa test</t>
        </is>
      </c>
      <c r="R75" s="15" t="inlineStr"/>
    </row>
    <row r="76" ht="30" customHeight="1">
      <c r="A76" s="14" t="inlineStr">
        <is>
          <t>TC-ADM2-075</t>
        </is>
      </c>
      <c r="B76" s="15" t="inlineStr">
        <is>
          <t>Admin Console (đợt 2: Nội dung, Thanh toán, Khám phá)</t>
        </is>
      </c>
      <c r="C76" s="15" t="inlineStr">
        <is>
          <t>Nội dung · Khóa học</t>
        </is>
      </c>
      <c r="D76" s="15" t="inlineStr">
        <is>
          <t>Xem trước Khóa học: giảng viên, học viên, danh sách bài học kèm trạng thái, lịch sử</t>
        </is>
      </c>
      <c r="E76" s="15" t="inlineStr">
        <is>
          <t>Chức năng</t>
        </is>
      </c>
      <c r="F76" s="16" t="inlineStr">
        <is>
          <t>Cao</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seed sạch: 473 bài (466 published, 2 hidden, 5 removed). Bài bình thường dùng được: LSN-39855DC0 (growth-lab, 'Case study walkthrough 4', video 12 phút, Experimentation Playbook), LSN-6CFA84D6 ('Setting up your workspace 2', text 23 phút).</t>
        </is>
      </c>
      <c r="J76" s="15" t="inlineStr">
        <is>
          <t>1. Mở Xem trước 'Experimentation Playbook'</t>
        </is>
      </c>
      <c r="K76" s="15" t="inlineStr">
        <is>
          <t>Experimentation Playbook</t>
        </is>
      </c>
      <c r="L7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76" s="15" t="inlineStr"/>
      <c r="N76" s="18" t="inlineStr">
        <is>
          <t>Chưa test</t>
        </is>
      </c>
      <c r="O76" s="15" t="inlineStr"/>
      <c r="P76" s="15" t="inlineStr"/>
      <c r="Q76" s="18" t="inlineStr">
        <is>
          <t>Chưa test</t>
        </is>
      </c>
      <c r="R76" s="15" t="inlineStr"/>
    </row>
    <row r="77" ht="60" customHeight="1">
      <c r="A77" s="14" t="inlineStr">
        <is>
          <t>TC-ADM2-076</t>
        </is>
      </c>
      <c r="B77" s="15" t="inlineStr">
        <is>
          <t>Admin Console (đợt 2: Nội dung, Thanh toán, Khám phá)</t>
        </is>
      </c>
      <c r="C77" s="15" t="inlineStr">
        <is>
          <t>Nội dung · Khóa học</t>
        </is>
      </c>
      <c r="D77" s="15" t="inlineStr">
        <is>
          <t>Hủy xuất bản khóa học: modal, toast, trạng thái Nháp, thông báo giảng viên, audit</t>
        </is>
      </c>
      <c r="E77" s="15" t="inlineStr">
        <is>
          <t>Chức năng</t>
        </is>
      </c>
      <c r="F77" s="16" t="inlineStr">
        <is>
          <t>Cao</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t>
        </is>
      </c>
      <c r="J77" s="15" t="inlineStr">
        <is>
          <t>1. Menu 'Node.js from Zero' &gt; 'Hủy xuất bản'
2. Chọn lý do 'Nội dung nhạy cảm', ghi chú 'QA', giữ 'Thông báo cho giảng viên'
3. Xác nhận
4. Đăng nhập alex@sofinhub.test xem thông báo; tra audit 'course.unpublish'</t>
        </is>
      </c>
      <c r="K77" s="15" t="inlineStr">
        <is>
          <t>Node.js from Zero</t>
        </is>
      </c>
      <c r="L7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77" s="15" t="inlineStr"/>
      <c r="N77" s="18" t="inlineStr">
        <is>
          <t>Chưa test</t>
        </is>
      </c>
      <c r="O77" s="15" t="inlineStr"/>
      <c r="P77" s="15" t="inlineStr"/>
      <c r="Q77" s="18" t="inlineStr">
        <is>
          <t>Chưa test</t>
        </is>
      </c>
      <c r="R77" s="15" t="inlineStr"/>
    </row>
    <row r="78" ht="30" customHeight="1">
      <c r="A78" s="14" t="inlineStr">
        <is>
          <t>TC-ADM2-077</t>
        </is>
      </c>
      <c r="B78" s="15" t="inlineStr">
        <is>
          <t>Admin Console (đợt 2: Nội dung, Thanh toán, Khám phá)</t>
        </is>
      </c>
      <c r="C78" s="15" t="inlineStr">
        <is>
          <t>Nội dung · Khóa học</t>
        </is>
      </c>
      <c r="D78" s="15" t="inlineStr">
        <is>
          <t>Xuất bản lại khóa học (Nháp/Đã lưu trữ -&gt; Đã xuất bản)</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t>
        </is>
      </c>
      <c r="J78" s="15" t="inlineStr">
        <is>
          <t>1. Menu 'System Design Drafts' &gt; 'Xuất bản' &gt; xác nhận
2. Menu 'Budgeting 101 (old edition)' &gt; 'Xuất bản' &gt; xác nhận</t>
        </is>
      </c>
      <c r="K78" s="15" t="inlineStr">
        <is>
          <t>System Design Drafts, Budgeting 101</t>
        </is>
      </c>
      <c r="L78" s="15" t="inlineStr">
        <is>
          <t>Cả hai: toast 'Đã xuất bản khóa học', trạng thái 'Đã xuất bản', lý do kiểm duyệt bị xóa; audit course.publish; KHÔNG gửi thông báo cho giảng viên khi xuất bản.</t>
        </is>
      </c>
      <c r="M78" s="15" t="inlineStr"/>
      <c r="N78" s="18" t="inlineStr">
        <is>
          <t>Chưa test</t>
        </is>
      </c>
      <c r="O78" s="15" t="inlineStr"/>
      <c r="P78" s="15" t="inlineStr"/>
      <c r="Q78" s="18" t="inlineStr">
        <is>
          <t>Chưa test</t>
        </is>
      </c>
      <c r="R78" s="15" t="inlineStr"/>
    </row>
    <row r="79" ht="30" customHeight="1">
      <c r="A79" s="14" t="inlineStr">
        <is>
          <t>TC-ADM2-078</t>
        </is>
      </c>
      <c r="B79" s="15" t="inlineStr">
        <is>
          <t>Admin Console (đợt 2: Nội dung, Thanh toán, Khám phá)</t>
        </is>
      </c>
      <c r="C79" s="15" t="inlineStr">
        <is>
          <t>Nội dung · Khóa học</t>
        </is>
      </c>
      <c r="D79" s="15" t="inlineStr">
        <is>
          <t>Lưu trữ khóa học (Đã xuất bản/Nháp -&gt; Đã lưu trữ) với lý do tùy chọn</t>
        </is>
      </c>
      <c r="E79" s="15" t="inlineStr">
        <is>
          <t>Chức năng</t>
        </is>
      </c>
      <c r="F79" s="20" t="inlineStr">
        <is>
          <t>Trung bình</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t>
        </is>
      </c>
      <c r="J79" s="15" t="inlineStr">
        <is>
          <t>1. Menu '12-Week Strength Program' &gt; 'Lưu trữ'
2. Xác nhận không chọn lý do</t>
        </is>
      </c>
      <c r="K79" s="15" t="inlineStr">
        <is>
          <t>12-Week Strength Program</t>
        </is>
      </c>
      <c r="L79" s="15" t="inlineStr">
        <is>
          <t>Toast 'Đã lưu trữ khóa học'; trạng thái 'Đã lưu trữ'; audit course.archive; nút xác nhận không bị khóa vì lý do không bắt buộc ở archive.</t>
        </is>
      </c>
      <c r="M79" s="15" t="inlineStr"/>
      <c r="N79" s="18" t="inlineStr">
        <is>
          <t>Chưa test</t>
        </is>
      </c>
      <c r="O79" s="15" t="inlineStr"/>
      <c r="P79" s="15" t="inlineStr"/>
      <c r="Q79" s="18" t="inlineStr">
        <is>
          <t>Chưa test</t>
        </is>
      </c>
      <c r="R79" s="15" t="inlineStr"/>
    </row>
    <row r="80" ht="45" customHeight="1">
      <c r="A80" s="14" t="inlineStr">
        <is>
          <t>TC-ADM2-079</t>
        </is>
      </c>
      <c r="B80" s="15" t="inlineStr">
        <is>
          <t>Admin Console (đợt 2: Nội dung, Thanh toán, Khám phá)</t>
        </is>
      </c>
      <c r="C80" s="15" t="inlineStr">
        <is>
          <t>Nội dung · Khóa học</t>
        </is>
      </c>
      <c r="D80" s="15" t="inlineStr">
        <is>
          <t>Gỡ khóa học rồi khôi phục: giữ nguyên trạng thái xuất bản trước đó</t>
        </is>
      </c>
      <c r="E80" s="15" t="inlineStr">
        <is>
          <t>Chức năng</t>
        </is>
      </c>
      <c r="F80" s="16" t="inlineStr">
        <is>
          <t>Cao</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t>
        </is>
      </c>
      <c r="J80" s="15" t="inlineStr">
        <is>
          <t>1. Menu 'Budgeting 101 (old edition)' (archived) &gt; 'Gỡ' lý do 'Khác'
2. Quan sát badge 'Đã gỡ'
3. Menu &gt; 'Khôi phục' &gt; xác nhận</t>
        </is>
      </c>
      <c r="K80" s="15" t="inlineStr">
        <is>
          <t>Budgeting 101</t>
        </is>
      </c>
      <c r="L80" s="15" t="inlineStr">
        <is>
          <t>Sau Gỡ: 'Đã gỡ' (tab Đã lưu trữ -1, Đã gỡ +1); sau Khôi phục: quay lại 'Đã lưu trữ' (KHÔNG thành published) vì removedAt độc lập với trạng thái xuất bản; toast 'Đã gỡ khóa học' / 'Đã khôi phục khóa học'.</t>
        </is>
      </c>
      <c r="M80" s="15" t="inlineStr"/>
      <c r="N80" s="18" t="inlineStr">
        <is>
          <t>Chưa test</t>
        </is>
      </c>
      <c r="O80" s="15" t="inlineStr"/>
      <c r="P80" s="15" t="inlineStr"/>
      <c r="Q80" s="18" t="inlineStr">
        <is>
          <t>Chưa test</t>
        </is>
      </c>
      <c r="R80" s="15" t="inlineStr"/>
    </row>
    <row r="81" ht="105" customHeight="1">
      <c r="A81" s="14" t="inlineStr">
        <is>
          <t>TC-ADM2-080</t>
        </is>
      </c>
      <c r="B81" s="15" t="inlineStr">
        <is>
          <t>Admin Console (đợt 2: Nội dung, Thanh toán, Khám phá)</t>
        </is>
      </c>
      <c r="C81" s="15" t="inlineStr">
        <is>
          <t>Nội dung · Khóa học</t>
        </is>
      </c>
      <c r="D81" s="15" t="inlineStr">
        <is>
          <t>API Khóa học: list/summary/detail, lọc status/courseId, sort, 400</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t>
        </is>
      </c>
      <c r="J81" s="15" t="inlineStr">
        <is>
          <t>1. GET /content/courses/summary
2. GET /content/courses?courseId=code-camp&amp;status=draft
3. GET /content/courses?sort=students&amp;limit=5
4. GET /content/courses/&lt;id Node.js from Zero = 8da8a3b9-...&gt;
5. GET /content/courses?status=nope
6. GET /content/courses?sort=nope
7. GET /content/courses/nope</t>
        </is>
      </c>
      <c r="K81" s="15" t="inlineStr">
        <is>
          <t>code-camp</t>
        </is>
      </c>
      <c r="L8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thumbnail luôn null, reports luôn 0.</t>
        </is>
      </c>
      <c r="M81" s="15" t="inlineStr"/>
      <c r="N81" s="18" t="inlineStr">
        <is>
          <t>Chưa test</t>
        </is>
      </c>
      <c r="O81" s="15" t="inlineStr"/>
      <c r="P81" s="15" t="inlineStr"/>
      <c r="Q81" s="18" t="inlineStr">
        <is>
          <t>Chưa test</t>
        </is>
      </c>
      <c r="R81" s="15" t="inlineStr"/>
    </row>
    <row r="82" ht="165" customHeight="1">
      <c r="A82" s="14" t="inlineStr">
        <is>
          <t>TC-ADM2-081</t>
        </is>
      </c>
      <c r="B82" s="15" t="inlineStr">
        <is>
          <t>Admin Console (đợt 2: Nội dung, Thanh toán, Khám phá)</t>
        </is>
      </c>
      <c r="C82" s="15" t="inlineStr">
        <is>
          <t>Nội dung · Khóa học</t>
        </is>
      </c>
      <c r="D82" s="15" t="inlineStr">
        <is>
          <t>API Khóa học: bảng chuyển trạng thái publish/unpublish/archive/remove/restore và mã 400/409</t>
        </is>
      </c>
      <c r="E82" s="15" t="inlineStr">
        <is>
          <t>Chức năng</t>
        </is>
      </c>
      <c r="F82" s="16" t="inlineStr">
        <is>
          <t>Cao</t>
        </is>
      </c>
      <c r="G82" s="17" t="inlineStr">
        <is>
          <t>Đã hoàn thiện</t>
        </is>
      </c>
      <c r="H82" s="17" t="inlineStr">
        <is>
          <t>Có</t>
        </is>
      </c>
      <c r="I8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t>
        </is>
      </c>
      <c r="J8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82" s="15" t="inlineStr">
        <is>
          <t>Experimentation Playbook</t>
        </is>
      </c>
      <c r="L82" s="15" t="inlineStr">
        <is>
          <t>409 'Chỉ xuất bản được khóa học đang ở trạng thái nháp hoặc lưu trữ'; 400 thiếu lý do; unpublish ra status='draft'; sau remove status='removed'; restore trả 'archived' (giữ trạng thái xuất bản trước đó); id lạ 404.</t>
        </is>
      </c>
      <c r="M82" s="15" t="inlineStr"/>
      <c r="N82" s="18" t="inlineStr">
        <is>
          <t>Chưa test</t>
        </is>
      </c>
      <c r="O82" s="15" t="inlineStr"/>
      <c r="P82" s="15" t="inlineStr"/>
      <c r="Q82" s="18" t="inlineStr">
        <is>
          <t>Chưa test</t>
        </is>
      </c>
      <c r="R82" s="15" t="inlineStr"/>
    </row>
    <row r="83" ht="90" customHeight="1">
      <c r="A83" s="14" t="inlineStr">
        <is>
          <t>TC-ADM2-082</t>
        </is>
      </c>
      <c r="B83" s="15" t="inlineStr">
        <is>
          <t>Admin Console (đợt 2: Nội dung, Thanh toán, Khám phá)</t>
        </is>
      </c>
      <c r="C83" s="15" t="inlineStr">
        <is>
          <t>Nội dung · Khóa học</t>
        </is>
      </c>
      <c r="D83" s="15" t="inlineStr">
        <is>
          <t>Khóa học draft/archived/removed biến mất khỏi API lớp học của thành viên thường</t>
        </is>
      </c>
      <c r="E83" s="15" t="inlineStr">
        <is>
          <t>Chức năng</t>
        </is>
      </c>
      <c r="F83" s="16" t="inlineStr">
        <is>
          <t>Cao</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ClassroomModule: Growth Foundations &amp; Experimentation Playbook (growth-lab, published, mỗi khóa 4 bài), Node.js from Zero (code-camp, published), System Design Drafts (code-camp, DRAFT), 12-Week Strength Program (fit-forever, published), Budgeting 101 (old edition) (mindful-money, ARCHIVED), Typography Masterclass (pixel-pro, published), Get Rich Quick Secrets (spam-hub, ĐÃ GỠ 'Misleading claims'); mỗi cộng đồng còn có thêm 2 mô-đun mặc định 'Chào mừng &amp; Lộ trình' / 'Tư duy &amp; Nền tảng' (mỗi mô-đun 1 bài). Tổng seed sạch: 124 khóa (121 published, 1 draft, 1 archived, 1 removed). Đăng nhập daniel@sofinhub.test (thành viên growth-lab).</t>
        </is>
      </c>
      <c r="J83" s="15" t="inlineStr">
        <is>
          <t>1. Daniel: GET /api/courses/growth-lab/modules (ghi nhận 'Experimentation Playbook')
2. Admin hủy xuất bản 'Experimentation Playbook'
3. Daniel gọi lại
4. Admin xuất bản lại, rồi lưu trữ
5. Daniel gọi lại
6. Admin gỡ, Daniel gọi lại</t>
        </is>
      </c>
      <c r="K83" s="15" t="inlineStr">
        <is>
          <t>growth-lab / Experimentation Playbook</t>
        </is>
      </c>
      <c r="L83" s="15" t="inlineStr">
        <is>
          <t>Chỉ trạng thái published và chưa gỡ mới hiện trong /courses/growth-lab/modules; draft, archived, removed đều ẩn với thành viên thường; xuất bản lại thì hiện lại.</t>
        </is>
      </c>
      <c r="M83" s="15" t="inlineStr"/>
      <c r="N83" s="18" t="inlineStr">
        <is>
          <t>Chưa test</t>
        </is>
      </c>
      <c r="O83" s="15" t="inlineStr"/>
      <c r="P83" s="15" t="inlineStr"/>
      <c r="Q83" s="18" t="inlineStr">
        <is>
          <t>Chưa test</t>
        </is>
      </c>
      <c r="R83" s="15" t="inlineStr"/>
    </row>
    <row r="84" ht="30" customHeight="1">
      <c r="A84" s="14" t="inlineStr">
        <is>
          <t>TC-ADM2-083</t>
        </is>
      </c>
      <c r="B84" s="15" t="inlineStr">
        <is>
          <t>Admin Console (đợt 2: Nội dung, Thanh toán, Khám phá)</t>
        </is>
      </c>
      <c r="C84" s="15" t="inlineStr">
        <is>
          <t>Nội dung · Khóa học</t>
        </is>
      </c>
      <c r="D84" s="15" t="inlineStr">
        <is>
          <t>Mô-đun draft do admin hủy xuất bản cũng ẩn với mod cộng đồng</t>
        </is>
      </c>
      <c r="E84" s="15" t="inlineStr">
        <is>
          <t>Bảo mật</t>
        </is>
      </c>
      <c r="F84" s="20" t="inlineStr">
        <is>
          <t>Trung bình</t>
        </is>
      </c>
      <c r="G84" s="17" t="inlineStr">
        <is>
          <t>Đã hoàn thiện</t>
        </is>
      </c>
      <c r="H84" s="20" t="inlineStr">
        <is>
          <t>Một phần</t>
        </is>
      </c>
      <c r="I84" s="15" t="inlineStr">
        <is>
          <t>DB sạch sau npm run db:reset (có seed/admin-batch2.ts; mã POST-/CMT-/TXN-/SUB-/RF-/PO- cố định, xem sheet 'Tài khoản &amp; dữ liệu test' mục A3). Admin hủy xuất bản một mô-đun của cộng đồng photo (mod photo: mod@sofinhub.test). Case làm thay đổi dữ liệu seed (MUTATE) - khôi phục bằng npm run db:reset (db:seed là idempotent chỉ-tạo nên KHÔNG hoàn tác thao tác admin đã làm); hoặc chạy trên bản ghi khác chưa bị đụng tới.</t>
        </is>
      </c>
      <c r="J84" s="15" t="inlineStr">
        <is>
          <t>1. Admin: GET /content/courses?courseId=photo rồi POST .../unpublish {reason:'QA'} cho 1 mô-đun
2. mod@sofinhub.test: GET /api/courses/photo/modules</t>
        </is>
      </c>
      <c r="K84" s="15" t="inlineStr">
        <is>
          <t>photo</t>
        </is>
      </c>
      <c r="L84" s="15" t="inlineStr">
        <is>
          <t>Mod cộng đồng KHÔNG còn thấy mô-đun đó (khác hành vi cũ: mod thấy cả khóa draft do chính mình tạo) - đúng mục 10 'Khác biệt' của admin-batch2.md.</t>
        </is>
      </c>
      <c r="M84" s="15" t="inlineStr"/>
      <c r="N84" s="18" t="inlineStr">
        <is>
          <t>Chưa test</t>
        </is>
      </c>
      <c r="O84" s="15" t="inlineStr"/>
      <c r="P84" s="15" t="inlineStr"/>
      <c r="Q84" s="18" t="inlineStr">
        <is>
          <t>Chưa test</t>
        </is>
      </c>
      <c r="R84" s="15" t="inlineStr"/>
    </row>
    <row r="85" ht="30" customHeight="1">
      <c r="A85" s="14" t="inlineStr">
        <is>
          <t>TC-ADM2-084</t>
        </is>
      </c>
      <c r="B85" s="15" t="inlineStr">
        <is>
          <t>Admin Console (đợt 2: Nội dung, Thanh toán, Khám phá)</t>
        </is>
      </c>
      <c r="C85" s="15" t="inlineStr">
        <is>
          <t>Nội dung · Khóa học</t>
        </is>
      </c>
      <c r="D85" s="15" t="inlineStr">
        <is>
          <t>Khóa học: reports luôn 0 và thumbnail luôn null (ClassroomModule không có cờ báo cáo)</t>
        </is>
      </c>
      <c r="E85" s="15" t="inlineStr">
        <is>
          <t>Chức năng</t>
        </is>
      </c>
      <c r="F85" s="17" t="inlineStr">
        <is>
          <t>Thấp</t>
        </is>
      </c>
      <c r="G85" s="17" t="inlineStr">
        <is>
          <t>Đã hoàn thiện</t>
        </is>
      </c>
      <c r="H85" s="17" t="inlineStr">
        <is>
          <t>Có</t>
        </is>
      </c>
      <c r="I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85" s="15" t="inlineStr">
        <is>
          <t>1. GET /api/admin/content/courses?limit=100
2. Đối chiếu trường reports, thumbnail của từng phần tử</t>
        </is>
      </c>
      <c r="K85" s="15" t="inlineStr">
        <is>
          <t>-</t>
        </is>
      </c>
      <c r="L85" s="15" t="inlineStr">
        <is>
          <t>Mọi phần tử: reports=0, thumbnail=null (giao diện hiển thị avatar chữ cái thay ảnh bìa). Hành vi hiện tại, xem case Kế hoạch 'Khóa học/Bài học/Sự kiện chưa có báo cáo'.</t>
        </is>
      </c>
      <c r="M85" s="15" t="inlineStr"/>
      <c r="N85" s="18" t="inlineStr">
        <is>
          <t>Chưa test</t>
        </is>
      </c>
      <c r="O85" s="15" t="inlineStr"/>
      <c r="P85" s="15" t="inlineStr"/>
      <c r="Q85" s="18" t="inlineStr">
        <is>
          <t>Chưa test</t>
        </is>
      </c>
      <c r="R85" s="15" t="inlineStr"/>
    </row>
    <row r="86" ht="60" customHeight="1">
      <c r="A86" s="14" t="inlineStr">
        <is>
          <t>TC-ADM2-085</t>
        </is>
      </c>
      <c r="B86" s="15" t="inlineStr">
        <is>
          <t>Admin Console (đợt 2: Nội dung, Thanh toán, Khám phá)</t>
        </is>
      </c>
      <c r="C86" s="15" t="inlineStr">
        <is>
          <t>Nội dung · Bài học</t>
        </is>
      </c>
      <c r="D86" s="15" t="inlineStr">
        <is>
          <t>Trang Bài học: tab loại (Tất cả/Video/Văn bản/Tệp), lọc Trạng thái, cột 'Lượt hoàn thành'</t>
        </is>
      </c>
      <c r="E86" s="15" t="inlineStr">
        <is>
          <t>Giao diện</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seed sạch: 473 bài (466 published, 2 hidden, 5 removed). Bài bình thường dùng được: LSN-39855DC0 (growth-lab, 'Case study walkthrough 4', video 12 phút, Experimentation Playbook), LSN-6CFA84D6 ('Setting up your workspace 2', text 23 phút).</t>
        </is>
      </c>
      <c r="J86" s="15" t="inlineStr">
        <is>
          <t>1. Mở /admin/content/lessons
2. Bấm tab 'Video', 'Văn bản', 'Tệp'
3. Lọc 'Trạng thái' = 'Đã ẩn'
4. Lọc 'Trạng thái' = 'Đã gỡ'</t>
        </is>
      </c>
      <c r="K86" s="15" t="inlineStr">
        <is>
          <t>-</t>
        </is>
      </c>
      <c r="L86" s="15" t="inlineStr">
        <is>
          <t>Tiêu đề 'Bài học' (phụ đề 'Từng bài học trong các khóa học.'); chỉ tab 'Tất cả' có số đếm (≈473); tab loại chỉ hiện đúng loại; 'Đã ẩn' ra 2 dòng (LSN-408423DE, LSN-303F7046); 'Đã gỡ' ra 5 dòng; cột: Bài học (tiêu đề+mã LSN), Mô-đun, Cộng đồng, Loại, Lượt hoàn thành, Báo cáo, Trạng thái.</t>
        </is>
      </c>
      <c r="M86" s="15" t="inlineStr"/>
      <c r="N86" s="18" t="inlineStr">
        <is>
          <t>Chưa test</t>
        </is>
      </c>
      <c r="O86" s="15" t="inlineStr"/>
      <c r="P86" s="15" t="inlineStr"/>
      <c r="Q86" s="18" t="inlineStr">
        <is>
          <t>Chưa test</t>
        </is>
      </c>
      <c r="R86" s="15" t="inlineStr"/>
    </row>
    <row r="87" ht="45" customHeight="1">
      <c r="A87" s="14" t="inlineStr">
        <is>
          <t>TC-ADM2-086</t>
        </is>
      </c>
      <c r="B87" s="15" t="inlineStr">
        <is>
          <t>Admin Console (đợt 2: Nội dung, Thanh toán, Khám phá)</t>
        </is>
      </c>
      <c r="C87" s="15" t="inlineStr">
        <is>
          <t>Nội dung · Bài học</t>
        </is>
      </c>
      <c r="D87" s="15" t="inlineStr">
        <is>
          <t>Tìm Bài học theo tiêu đề, tên mô-đun, cộng đồng, mã LSN</t>
        </is>
      </c>
      <c r="E87" s="15" t="inlineStr">
        <is>
          <t>Chức năng</t>
        </is>
      </c>
      <c r="F87" s="20" t="inlineStr">
        <is>
          <t>Trung bình</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seed sạch: 473 bài (466 published, 2 hidden, 5 removed). Bài bình thường dùng được: LSN-39855DC0 (growth-lab, 'Case study walkthrough 4', video 12 phút, Experimentation Playbook), LSN-6CFA84D6 ('Setting up your workspace 2', text 23 phút).</t>
        </is>
      </c>
      <c r="J87" s="15" t="inlineStr">
        <is>
          <t>1. Gõ 'Get Rich Quick'
2. Gõ 'LSN-408423DE'
3. Gõ 'Case study walkthrough 4'</t>
        </is>
      </c>
      <c r="K87" s="15" t="inlineStr">
        <is>
          <t>Get Rich Quick | LSN-408423DE | Case study walkthrough 4</t>
        </is>
      </c>
      <c r="L87" s="15" t="inlineStr">
        <is>
          <t>Lần 1: 4 bài (tất cả 'Đã gỡ') thuộc mô-đun Get Rich Quick Secrets; lần 2: đúng 'Templates &amp; checklists 3' (Đã ẩn) của 12-Week Strength Program; lần 3: các bài có tiêu đề này, gồm LSN-39855DC0 (Experimentation Playbook).</t>
        </is>
      </c>
      <c r="M87" s="15" t="inlineStr"/>
      <c r="N87" s="18" t="inlineStr">
        <is>
          <t>Chưa test</t>
        </is>
      </c>
      <c r="O87" s="15" t="inlineStr"/>
      <c r="P87" s="15" t="inlineStr"/>
      <c r="Q87" s="18" t="inlineStr">
        <is>
          <t>Chưa test</t>
        </is>
      </c>
      <c r="R87" s="15" t="inlineStr"/>
    </row>
    <row r="88" ht="30" customHeight="1">
      <c r="A88" s="14" t="inlineStr">
        <is>
          <t>TC-ADM2-087</t>
        </is>
      </c>
      <c r="B88" s="15" t="inlineStr">
        <is>
          <t>Admin Console (đợt 2: Nội dung, Thanh toán, Khám phá)</t>
        </is>
      </c>
      <c r="C88" s="15" t="inlineStr">
        <is>
          <t>Nội dung · Bài học</t>
        </is>
      </c>
      <c r="D88" s="15" t="inlineStr">
        <is>
          <t>Sắp xếp Bài học: Nhiều lượt hoàn thành, Tên A–Z</t>
        </is>
      </c>
      <c r="E88" s="15" t="inlineStr">
        <is>
          <t>Chức năng</t>
        </is>
      </c>
      <c r="F88" s="17" t="inlineStr">
        <is>
          <t>Thấp</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8" s="15" t="inlineStr">
        <is>
          <t>1. Chọn 'Nhiều lượt hoàn thành'
2. Chọn 'Tên A–Z'</t>
        </is>
      </c>
      <c r="K88" s="15" t="inlineStr">
        <is>
          <t>-</t>
        </is>
      </c>
      <c r="L88" s="15" t="inlineStr">
        <is>
          <t>Lần 1: cột 'Lượt hoàn thành' giảm dần; lần 2: tiêu đề tăng dần A→Z.</t>
        </is>
      </c>
      <c r="M88" s="15" t="inlineStr"/>
      <c r="N88" s="18" t="inlineStr">
        <is>
          <t>Chưa test</t>
        </is>
      </c>
      <c r="O88" s="15" t="inlineStr"/>
      <c r="P88" s="15" t="inlineStr"/>
      <c r="Q88" s="18" t="inlineStr">
        <is>
          <t>Chưa test</t>
        </is>
      </c>
      <c r="R88" s="15" t="inlineStr"/>
    </row>
    <row r="89" ht="45" customHeight="1">
      <c r="A89" s="14" t="inlineStr">
        <is>
          <t>TC-ADM2-088</t>
        </is>
      </c>
      <c r="B89" s="15" t="inlineStr">
        <is>
          <t>Admin Console (đợt 2: Nội dung, Thanh toán, Khám phá)</t>
        </is>
      </c>
      <c r="C89" s="15" t="inlineStr">
        <is>
          <t>Nội dung · Bài học</t>
        </is>
      </c>
      <c r="D89" s="15" t="inlineStr">
        <is>
          <t>Menu thao tác Bài học (Xem trước/Ẩn/Gỡ/Khôi phục), không có 'Xem tác giả'</t>
        </is>
      </c>
      <c r="E89" s="15" t="inlineStr">
        <is>
          <t>Chức năng</t>
        </is>
      </c>
      <c r="F89" s="20" t="inlineStr">
        <is>
          <t>Trung bình</t>
        </is>
      </c>
      <c r="G89" s="17" t="inlineStr">
        <is>
          <t>Đã hoàn thiện</t>
        </is>
      </c>
      <c r="H89" s="17" t="inlineStr">
        <is>
          <t>Có</t>
        </is>
      </c>
      <c r="I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seed sạch: 473 bài (466 published, 2 hidden, 5 removed). Bài bình thường dùng được: LSN-39855DC0 (growth-lab, 'Case study walkthrough 4', video 12 phút, Experimentation Playbook), LSN-6CFA84D6 ('Setting up your workspace 2', text 23 phút).</t>
        </is>
      </c>
      <c r="J89" s="15" t="inlineStr">
        <is>
          <t>1. Mở menu dòng LSN-39855DC0 (published)
2. Menu LSN-408423DE (hidden)
3. Menu LSN-DA91F381 (removed)</t>
        </is>
      </c>
      <c r="K89" s="15" t="inlineStr">
        <is>
          <t>-</t>
        </is>
      </c>
      <c r="L89" s="15" t="inlineStr">
        <is>
          <t>published: Xem trước, Ẩn, Gỡ. hidden: Xem trước, Gỡ, Khôi phục. removed: Xem trước, Khôi phục. Không có thao tác 'Xem tác giả'.</t>
        </is>
      </c>
      <c r="M89" s="15" t="inlineStr"/>
      <c r="N89" s="18" t="inlineStr">
        <is>
          <t>Chưa test</t>
        </is>
      </c>
      <c r="O89" s="15" t="inlineStr"/>
      <c r="P89" s="15" t="inlineStr"/>
      <c r="Q89" s="18" t="inlineStr">
        <is>
          <t>Chưa test</t>
        </is>
      </c>
      <c r="R89" s="15" t="inlineStr"/>
    </row>
    <row r="90" ht="30" customHeight="1">
      <c r="A90" s="14" t="inlineStr">
        <is>
          <t>TC-ADM2-089</t>
        </is>
      </c>
      <c r="B90" s="15" t="inlineStr">
        <is>
          <t>Admin Console (đợt 2: Nội dung, Thanh toán, Khám phá)</t>
        </is>
      </c>
      <c r="C90" s="15" t="inlineStr">
        <is>
          <t>Nội dung · Bài học</t>
        </is>
      </c>
      <c r="D90" s="15" t="inlineStr">
        <is>
          <t>Xem trước Bài học: mô-đun, loại, thời lượng, nội dung, lý do kiểm duyệt</t>
        </is>
      </c>
      <c r="E90" s="15" t="inlineStr">
        <is>
          <t>Chức năng</t>
        </is>
      </c>
      <c r="F90" s="20" t="inlineStr">
        <is>
          <t>Trung bình</t>
        </is>
      </c>
      <c r="G90" s="17" t="inlineStr">
        <is>
          <t>Đã hoàn thiện</t>
        </is>
      </c>
      <c r="H90" s="17" t="inlineStr">
        <is>
          <t>Có</t>
        </is>
      </c>
      <c r="I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seed sạch: 473 bài (466 published, 2 hidden, 5 removed). Bài bình thường dùng được: LSN-39855DC0 (growth-lab, 'Case study walkthrough 4', video 12 phút, Experimentation Playbook), LSN-6CFA84D6 ('Setting up your workspace 2', text 23 phút).</t>
        </is>
      </c>
      <c r="J90" s="15" t="inlineStr">
        <is>
          <t>1. Mở Xem trước LSN-408423DE</t>
        </is>
      </c>
      <c r="K90" s="15" t="inlineStr">
        <is>
          <t>LSN-408423DE</t>
        </is>
      </c>
      <c r="L90"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90" s="15" t="inlineStr"/>
      <c r="N90" s="18" t="inlineStr">
        <is>
          <t>Chưa test</t>
        </is>
      </c>
      <c r="O90" s="15" t="inlineStr"/>
      <c r="P90" s="15" t="inlineStr"/>
      <c r="Q90" s="18" t="inlineStr">
        <is>
          <t>Chưa test</t>
        </is>
      </c>
      <c r="R90" s="15" t="inlineStr"/>
    </row>
    <row r="91" ht="45" customHeight="1">
      <c r="A91" s="14" t="inlineStr">
        <is>
          <t>TC-ADM2-090</t>
        </is>
      </c>
      <c r="B91" s="15" t="inlineStr">
        <is>
          <t>Admin Console (đợt 2: Nội dung, Thanh toán, Khám phá)</t>
        </is>
      </c>
      <c r="C91" s="15" t="inlineStr">
        <is>
          <t>Nội dung · Bài học</t>
        </is>
      </c>
      <c r="D91" s="15" t="inlineStr">
        <is>
          <t>Ẩn bài học: toast 'Đã ẩn bài học', trạng thái, thông báo chủ cộng đồng, audit lesson.hide</t>
        </is>
      </c>
      <c r="E91" s="15" t="inlineStr">
        <is>
          <t>Chức năng</t>
        </is>
      </c>
      <c r="F91" s="16" t="inlineStr">
        <is>
          <t>Cao</t>
        </is>
      </c>
      <c r="G91" s="17" t="inlineStr">
        <is>
          <t>Đã hoàn thiện</t>
        </is>
      </c>
      <c r="H91" s="17" t="inlineStr">
        <is>
          <t>Có</t>
        </is>
      </c>
      <c r="I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seed sạch: 473 bài (466 published, 2 hidden, 5 removed). Bài bình thường dùng được: LSN-39855DC0 (growth-lab, 'Case study walkthrough 4', video 12 phút, Experimentation Playbook), LSN-6CFA84D6 ('Setting up your workspace 2', text 23 phút).</t>
        </is>
      </c>
      <c r="J91" s="15" t="inlineStr">
        <is>
          <t>1. Menu LSN-39855DC0 &gt; 'Ẩn' (lý do 'Khác', giữ thông báo)
2. Đăng nhập sarah@sofinhub.test xem thông báo
3. Tra audit 'lesson.hide'</t>
        </is>
      </c>
      <c r="K91" s="15" t="inlineStr">
        <is>
          <t>LSN-39855DC0</t>
        </is>
      </c>
      <c r="L91" s="15" t="inlineStr">
        <is>
          <t>Toast 'Đã ẩn bài học'; badge 'Đã ẩn'; Sarah (chủ Growth Lab) nhận thông báo 'Bài học đã bị ẩn' có tiêu đề bài + 'Lý do: Khác'; audit lesson.hide với metadata {community:'growth-lab', moduleId}.</t>
        </is>
      </c>
      <c r="M91" s="15" t="inlineStr"/>
      <c r="N91" s="18" t="inlineStr">
        <is>
          <t>Chưa test</t>
        </is>
      </c>
      <c r="O91" s="15" t="inlineStr"/>
      <c r="P91" s="15" t="inlineStr"/>
      <c r="Q91" s="18" t="inlineStr">
        <is>
          <t>Chưa test</t>
        </is>
      </c>
      <c r="R91" s="15" t="inlineStr"/>
    </row>
    <row r="92" ht="30" customHeight="1">
      <c r="A92" s="14" t="inlineStr">
        <is>
          <t>TC-ADM2-091</t>
        </is>
      </c>
      <c r="B92" s="15" t="inlineStr">
        <is>
          <t>Admin Console (đợt 2: Nội dung, Thanh toán, Khám phá)</t>
        </is>
      </c>
      <c r="C92" s="15" t="inlineStr">
        <is>
          <t>Nội dung · Bài học</t>
        </is>
      </c>
      <c r="D92" s="15" t="inlineStr">
        <is>
          <t>Gỡ rồi khôi phục bài học: toast và trạng thái</t>
        </is>
      </c>
      <c r="E92" s="15" t="inlineStr">
        <is>
          <t>Chức năng</t>
        </is>
      </c>
      <c r="F92" s="20" t="inlineStr">
        <is>
          <t>Trung bình</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seed sạch: 473 bài (466 published, 2 hidden, 5 removed). Bài bình thường dùng được: LSN-39855DC0 (growth-lab, 'Case study walkthrough 4', video 12 phút, Experimentation Playbook), LSN-6CFA84D6 ('Setting up your workspace 2', text 23 phút).</t>
        </is>
      </c>
      <c r="J92" s="15" t="inlineStr">
        <is>
          <t>1. Menu LSN-6CFA84D6 &gt; 'Gỡ' (lý do bắt buộc) &gt; xác nhận
2. Menu &gt; 'Khôi phục' &gt; xác nhận</t>
        </is>
      </c>
      <c r="K92" s="15" t="inlineStr">
        <is>
          <t>LSN-6CFA84D6</t>
        </is>
      </c>
      <c r="L92" s="15" t="inlineStr">
        <is>
          <t>'Đã gỡ bài học' rồi 'Đã khôi phục bài học'; trạng thái 'Đã gỡ' rồi 'Đã xuất bản'; audit lesson.remove và lesson.restore; lúc khôi phục không thông báo.</t>
        </is>
      </c>
      <c r="M92" s="15" t="inlineStr"/>
      <c r="N92" s="18" t="inlineStr">
        <is>
          <t>Chưa test</t>
        </is>
      </c>
      <c r="O92" s="15" t="inlineStr"/>
      <c r="P92" s="15" t="inlineStr"/>
      <c r="Q92" s="18" t="inlineStr">
        <is>
          <t>Chưa test</t>
        </is>
      </c>
      <c r="R92" s="15" t="inlineStr"/>
    </row>
    <row r="93" ht="90" customHeight="1">
      <c r="A93" s="14" t="inlineStr">
        <is>
          <t>TC-ADM2-092</t>
        </is>
      </c>
      <c r="B93" s="15" t="inlineStr">
        <is>
          <t>Admin Console (đợt 2: Nội dung, Thanh toán, Khám phá)</t>
        </is>
      </c>
      <c r="C93" s="15" t="inlineStr">
        <is>
          <t>Nội dung · Bài học</t>
        </is>
      </c>
      <c r="D93" s="15" t="inlineStr">
        <is>
          <t>API Bài học: list lọc type/moduleId/status, detail có body, 400/404</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seed sạch: 473 bài (466 published, 2 hidden, 5 removed). Bài bình thường dùng được: LSN-39855DC0 (growth-lab, 'Case study walkthrough 4', video 12 phút, Experimentation Playbook), LSN-6CFA84D6 ('Setting up your workspace 2', text 23 phút).</t>
        </is>
      </c>
      <c r="J93" s="15" t="inlineStr">
        <is>
          <t>1. GET /content/lessons/summary
2. GET /content/lessons?type=video&amp;status=hidden
3. GET /content/lessons?type=link
4. GET /content/lessons/&lt;id LSN-408423DE&gt;
5. GET /content/lessons/nope
6. GET /content/lessons?sort=nope</t>
        </is>
      </c>
      <c r="K93" s="15" t="inlineStr">
        <is>
          <t>-</t>
        </is>
      </c>
      <c r="L93" s="15" t="inlineStr">
        <is>
          <t>summary {total,published,hidden,removed}; type=video+hidden ra các bài video đang ẩn; type=link -&gt; 400 (chỉ video|text|file); detail có code LSN-..., body, videoUrl, embedUrl, attachments, history; nope 404; sort lạ 400.</t>
        </is>
      </c>
      <c r="M93" s="15" t="inlineStr"/>
      <c r="N93" s="18" t="inlineStr">
        <is>
          <t>Chưa test</t>
        </is>
      </c>
      <c r="O93" s="15" t="inlineStr"/>
      <c r="P93" s="15" t="inlineStr"/>
      <c r="Q93" s="18" t="inlineStr">
        <is>
          <t>Chưa test</t>
        </is>
      </c>
      <c r="R93" s="15" t="inlineStr"/>
    </row>
    <row r="94" ht="90" customHeight="1">
      <c r="A94" s="14" t="inlineStr">
        <is>
          <t>TC-ADM2-093</t>
        </is>
      </c>
      <c r="B94" s="15" t="inlineStr">
        <is>
          <t>Admin Console (đợt 2: Nội dung, Thanh toán, Khám phá)</t>
        </is>
      </c>
      <c r="C94" s="15" t="inlineStr">
        <is>
          <t>Nội dung · Bài học</t>
        </is>
      </c>
      <c r="D94" s="15" t="inlineStr">
        <is>
          <t>API Bài học: ẩn/gỡ/khôi phục và 409 khi sai trạng thái</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seed sạch: 473 bài (466 published, 2 hidden, 5 removed). Bài bình thường dùng được: LSN-39855DC0 (growth-lab, 'Case study walkthrough 4', video 12 phút, Experimentation Playbook), LSN-6CFA84D6 ('Setting up your workspace 2', text 23 phút).</t>
        </is>
      </c>
      <c r="J94" s="15" t="inlineStr">
        <is>
          <t>1. hide LSN-39855DC0 {reason:'Outdated'}
2. hide lần 2 -&gt; 409
3. remove {reason:'Policy'}
4. restore
5. restore lần 2 -&gt; 409
6. hide thiếu reason -&gt; 400</t>
        </is>
      </c>
      <c r="K94" s="15" t="inlineStr">
        <is>
          <t>LSN-39855DC0</t>
        </is>
      </c>
      <c r="L94" s="15" t="inlineStr">
        <is>
          <t>hide-&gt;hidden 200; hide lần 2 409 'bài học đang bị ẩn hoặc đã bị gỡ'; remove-&gt;removed; restore-&gt;published; restore lần 2 409 'bài học đang hiển thị bình thường'; thiếu lý do 400.</t>
        </is>
      </c>
      <c r="M94" s="15" t="inlineStr"/>
      <c r="N94" s="18" t="inlineStr">
        <is>
          <t>Chưa test</t>
        </is>
      </c>
      <c r="O94" s="15" t="inlineStr"/>
      <c r="P94" s="15" t="inlineStr"/>
      <c r="Q94" s="18" t="inlineStr">
        <is>
          <t>Chưa test</t>
        </is>
      </c>
      <c r="R94" s="15" t="inlineStr"/>
    </row>
    <row r="95" ht="75" customHeight="1">
      <c r="A95" s="14" t="inlineStr">
        <is>
          <t>TC-ADM2-094</t>
        </is>
      </c>
      <c r="B95" s="15" t="inlineStr">
        <is>
          <t>Admin Console (đợt 2: Nội dung, Thanh toán, Khám phá)</t>
        </is>
      </c>
      <c r="C95" s="15" t="inlineStr">
        <is>
          <t>Nội dung · Bài học</t>
        </is>
      </c>
      <c r="D95" s="15" t="inlineStr">
        <is>
          <t>Bài học bị ẩn/gỡ biến mất khỏi danh sách và chi tiết của thành viên; khôi phục hiện lại</t>
        </is>
      </c>
      <c r="E95" s="15" t="inlineStr">
        <is>
          <t>Chức năng</t>
        </is>
      </c>
      <c r="F95" s="16" t="inlineStr">
        <is>
          <t>Cao</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seed sạch: 473 bài (466 published, 2 hidden, 5 removed). Bài bình thường dùng được: LSN-39855DC0 (growth-lab, 'Case study walkthrough 4', video 12 phút, Experimentation Playbook), LSN-6CFA84D6 ('Setting up your workspace 2', text 23 phút). Đăng nhập daniel@sofinhub.test (thành viên growth-lab).</t>
        </is>
      </c>
      <c r="J95"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95" s="15" t="inlineStr">
        <is>
          <t>LSN-39855DC0</t>
        </is>
      </c>
      <c r="L95" s="15" t="inlineStr">
        <is>
          <t>Sau khi ẩn hoặc gỡ: danh sách còn 2 bài và chi tiết bài đó trả 404; sau khi khôi phục: danh sách 3 bài và mở được chi tiết.</t>
        </is>
      </c>
      <c r="M95" s="15" t="inlineStr"/>
      <c r="N95" s="18" t="inlineStr">
        <is>
          <t>Chưa test</t>
        </is>
      </c>
      <c r="O95" s="15" t="inlineStr"/>
      <c r="P95" s="15" t="inlineStr"/>
      <c r="Q95" s="18" t="inlineStr">
        <is>
          <t>Chưa test</t>
        </is>
      </c>
      <c r="R95" s="15" t="inlineStr"/>
    </row>
    <row r="96" ht="45" customHeight="1">
      <c r="A96" s="14" t="inlineStr">
        <is>
          <t>TC-ADM2-095</t>
        </is>
      </c>
      <c r="B96" s="15" t="inlineStr">
        <is>
          <t>Admin Console (đợt 2: Nội dung, Thanh toán, Khám phá)</t>
        </is>
      </c>
      <c r="C96" s="15" t="inlineStr">
        <is>
          <t>Nội dung · Sự kiện</t>
        </is>
      </c>
      <c r="D96" s="15" t="inlineStr">
        <is>
          <t>Trang Sự kiện: tab Tất cả/Sắp diễn ra/Đang diễn ra/Hoàn tất/Đã hủy, cột và trạng thái seed</t>
        </is>
      </c>
      <c r="E96" s="15" t="inlineStr">
        <is>
          <t>Giao diện</t>
        </is>
      </c>
      <c r="F96" s="16" t="inlineStr">
        <is>
          <t>Cao</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6" s="15" t="inlineStr">
        <is>
          <t>1. Mở /admin/content/events
2. Đọc số đếm các tab
3. Bấm tab 'Đã hủy' và 'Đang diễn ra'</t>
        </is>
      </c>
      <c r="K96" s="15" t="inlineStr">
        <is>
          <t>-</t>
        </is>
      </c>
      <c r="L96"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96" s="15" t="inlineStr"/>
      <c r="N96" s="18" t="inlineStr">
        <is>
          <t>Chưa test</t>
        </is>
      </c>
      <c r="O96" s="15" t="inlineStr"/>
      <c r="P96" s="15" t="inlineStr"/>
      <c r="Q96" s="18" t="inlineStr">
        <is>
          <t>Chưa test</t>
        </is>
      </c>
      <c r="R96" s="15" t="inlineStr"/>
    </row>
    <row r="97" ht="30" customHeight="1">
      <c r="A97" s="14" t="inlineStr">
        <is>
          <t>TC-ADM2-096</t>
        </is>
      </c>
      <c r="B97" s="15" t="inlineStr">
        <is>
          <t>Admin Console (đợt 2: Nội dung, Thanh toán, Khám phá)</t>
        </is>
      </c>
      <c r="C97" s="15" t="inlineStr">
        <is>
          <t>Nội dung · Sự kiện</t>
        </is>
      </c>
      <c r="D97" s="15" t="inlineStr">
        <is>
          <t>Sự kiện 'live' chỉ trong 2 giờ sau giờ bắt đầu rồi chuyển 'Hoàn tất'</t>
        </is>
      </c>
      <c r="E97" s="15" t="inlineStr">
        <is>
          <t>Chức năng</t>
        </is>
      </c>
      <c r="F97" s="20" t="inlineStr">
        <is>
          <t>Trung bình</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97" s="15" t="inlineStr">
        <is>
          <t>1. Đặt startAt = 30 phút trước, tải lại trang Sự kiện
2. Đặt startAt = 3 giờ trước, tải lại</t>
        </is>
      </c>
      <c r="K97" s="15" t="inlineStr">
        <is>
          <t>Mobility workshop (live now)</t>
        </is>
      </c>
      <c r="L97" s="15" t="inlineStr">
        <is>
          <t>Lần 1: 'Đang diễn ra' (xuất hiện ở tab Đang diễn ra). Lần 2: 'Hoàn tất'. Quy tắc: startAt ≤ now và &gt; now − 2 giờ = live; cancelled/removed thắng mọi trạng thái.</t>
        </is>
      </c>
      <c r="M97" s="15" t="inlineStr"/>
      <c r="N97" s="18" t="inlineStr">
        <is>
          <t>Chưa test</t>
        </is>
      </c>
      <c r="O97" s="15" t="inlineStr"/>
      <c r="P97" s="15" t="inlineStr"/>
      <c r="Q97" s="18" t="inlineStr">
        <is>
          <t>Chưa test</t>
        </is>
      </c>
      <c r="R97" s="15" t="inlineStr"/>
    </row>
    <row r="98" ht="45" customHeight="1">
      <c r="A98" s="14" t="inlineStr">
        <is>
          <t>TC-ADM2-097</t>
        </is>
      </c>
      <c r="B98" s="15" t="inlineStr">
        <is>
          <t>Admin Console (đợt 2: Nội dung, Thanh toán, Khám phá)</t>
        </is>
      </c>
      <c r="C98" s="15" t="inlineStr">
        <is>
          <t>Nội dung · Sự kiện</t>
        </is>
      </c>
      <c r="D98" s="15" t="inlineStr">
        <is>
          <t>Tab 'Tất cả' có cả sự kiện đã gỡ nhưng KHÔNG có tab 'Đã gỡ'; số đếm 'Tất cả' không tính sự kiện đã gỡ</t>
        </is>
      </c>
      <c r="E98" s="15" t="inlineStr">
        <is>
          <t>Chức năng</t>
        </is>
      </c>
      <c r="F98" s="20" t="inlineStr">
        <is>
          <t>Trung bình</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8" s="15" t="inlineStr">
        <is>
          <t>1. Bấm tab 'Tất cả', tìm 'Secret wealth webinar'
2. So số đếm 'Tất cả' với tổng số dòng
3. Kiểm tra các tab còn lại</t>
        </is>
      </c>
      <c r="K98" s="15" t="inlineStr">
        <is>
          <t>Secret wealth webinar</t>
        </is>
      </c>
      <c r="L98" s="15" t="inlineStr">
        <is>
          <t>Sự kiện đã gỡ hiện trong 'Tất cả' với badge 'Đã gỡ'; không có tab riêng 'Đã gỡ'; số đếm 'Tất cả' (summary.total) loại sự kiện đã gỡ nên nhỏ hơn số dòng 1 đơn vị (hành vi hiện tại).</t>
        </is>
      </c>
      <c r="M98" s="15" t="inlineStr"/>
      <c r="N98" s="18" t="inlineStr">
        <is>
          <t>Chưa test</t>
        </is>
      </c>
      <c r="O98" s="15" t="inlineStr"/>
      <c r="P98" s="15" t="inlineStr"/>
      <c r="Q98" s="18" t="inlineStr">
        <is>
          <t>Chưa test</t>
        </is>
      </c>
      <c r="R98" s="15" t="inlineStr"/>
    </row>
    <row r="99" ht="60" customHeight="1">
      <c r="A99" s="14" t="inlineStr">
        <is>
          <t>TC-ADM2-098</t>
        </is>
      </c>
      <c r="B99" s="15" t="inlineStr">
        <is>
          <t>Admin Console (đợt 2: Nội dung, Thanh toán, Khám phá)</t>
        </is>
      </c>
      <c r="C99" s="15" t="inlineStr">
        <is>
          <t>Nội dung · Sự kiện</t>
        </is>
      </c>
      <c r="D99" s="15" t="inlineStr">
        <is>
          <t>Tìm và sắp xếp Sự kiện (Mới tạo nhất / Theo ngày diễn ra)</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9" s="15" t="inlineStr">
        <is>
          <t>1. Gõ 'Growth AMA'
2. Gõ 'Sarah'
3. Gõ 'Code Camp'
4. Chọn sắp xếp 'Mới tạo nhất' rồi 'Theo ngày diễn ra'</t>
        </is>
      </c>
      <c r="K99" s="15" t="inlineStr">
        <is>
          <t>Growth AMA | Sarah | Code Camp</t>
        </is>
      </c>
      <c r="L99"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99" s="15" t="inlineStr"/>
      <c r="N99" s="18" t="inlineStr">
        <is>
          <t>Chưa test</t>
        </is>
      </c>
      <c r="O99" s="15" t="inlineStr"/>
      <c r="P99" s="15" t="inlineStr"/>
      <c r="Q99" s="18" t="inlineStr">
        <is>
          <t>Chưa test</t>
        </is>
      </c>
      <c r="R99" s="15" t="inlineStr"/>
    </row>
    <row r="100" ht="60" customHeight="1">
      <c r="A100" s="14" t="inlineStr">
        <is>
          <t>TC-ADM2-099</t>
        </is>
      </c>
      <c r="B100" s="15" t="inlineStr">
        <is>
          <t>Admin Console (đợt 2: Nội dung, Thanh toán, Khám phá)</t>
        </is>
      </c>
      <c r="C100" s="15" t="inlineStr">
        <is>
          <t>Nội dung · Sự kiện</t>
        </is>
      </c>
      <c r="D100" s="15" t="inlineStr">
        <is>
          <t>Menu thao tác Sự kiện theo trạng thái (Xem/Sửa/Hủy/Gỡ/Khôi phục)</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00" s="15" t="inlineStr">
        <is>
          <t>1. Menu 'Growth AMA with the founders' (sắp diễn ra)
2. Menu 'Quarterly budget reset' (hoàn tất)
3. Menu 'Hack night' (đã hủy)
4. Menu 'Secret wealth webinar' (đã gỡ)</t>
        </is>
      </c>
      <c r="K100" s="15" t="inlineStr">
        <is>
          <t>-</t>
        </is>
      </c>
      <c r="L100" s="15" t="inlineStr">
        <is>
          <t>Sắp/đang: Xem, Sửa, Hủy, Gỡ. Hoàn tất: Xem, Gỡ (KHÔNG có Sửa/Hủy). Đã hủy: Xem, Gỡ, Khôi phục. Đã gỡ: Xem, Khôi phục.</t>
        </is>
      </c>
      <c r="M100" s="15" t="inlineStr"/>
      <c r="N100" s="18" t="inlineStr">
        <is>
          <t>Chưa test</t>
        </is>
      </c>
      <c r="O100" s="15" t="inlineStr"/>
      <c r="P100" s="15" t="inlineStr"/>
      <c r="Q100" s="18" t="inlineStr">
        <is>
          <t>Chưa test</t>
        </is>
      </c>
      <c r="R100" s="15" t="inlineStr"/>
    </row>
    <row r="101" ht="30" customHeight="1">
      <c r="A101" s="14" t="inlineStr">
        <is>
          <t>TC-ADM2-100</t>
        </is>
      </c>
      <c r="B101" s="15" t="inlineStr">
        <is>
          <t>Admin Console (đợt 2: Nội dung, Thanh toán, Khám phá)</t>
        </is>
      </c>
      <c r="C101" s="15" t="inlineStr">
        <is>
          <t>Nội dung · Sự kiện</t>
        </is>
      </c>
      <c r="D101" s="15" t="inlineStr">
        <is>
          <t>Xem sự kiện (modal): người tổ chức, thời gian + múi giờ, link họp, danh sách RSVP, lịch sử</t>
        </is>
      </c>
      <c r="E101" s="15" t="inlineStr">
        <is>
          <t>Chức năng</t>
        </is>
      </c>
      <c r="F101" s="16" t="inlineStr">
        <is>
          <t>Cao</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01" s="15" t="inlineStr">
        <is>
          <t>1. Mở 'Xem' ở 'Live coding: build a CLI in Node'</t>
        </is>
      </c>
      <c r="K101" s="15" t="inlineStr">
        <is>
          <t>Live coding: build a CLI in Node</t>
        </is>
      </c>
      <c r="L101"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101" s="15" t="inlineStr"/>
      <c r="N101" s="18" t="inlineStr">
        <is>
          <t>Chưa test</t>
        </is>
      </c>
      <c r="O101" s="15" t="inlineStr"/>
      <c r="P101" s="15" t="inlineStr"/>
      <c r="Q101" s="18" t="inlineStr">
        <is>
          <t>Chưa test</t>
        </is>
      </c>
      <c r="R101" s="15" t="inlineStr"/>
    </row>
    <row r="102" ht="30" customHeight="1">
      <c r="A102" s="14" t="inlineStr">
        <is>
          <t>TC-ADM2-101</t>
        </is>
      </c>
      <c r="B102" s="15" t="inlineStr">
        <is>
          <t>Admin Console (đợt 2: Nội dung, Thanh toán, Khám phá)</t>
        </is>
      </c>
      <c r="C102" s="15" t="inlineStr">
        <is>
          <t>Nội dung · Sự kiện</t>
        </is>
      </c>
      <c r="D102" s="15" t="inlineStr">
        <is>
          <t>Xem sự kiện đã hủy hiển thị 'Lý do hủy'</t>
        </is>
      </c>
      <c r="E102" s="15" t="inlineStr">
        <is>
          <t>Chức năng</t>
        </is>
      </c>
      <c r="F102" s="17" t="inlineStr">
        <is>
          <t>Thấp</t>
        </is>
      </c>
      <c r="G102" s="17" t="inlineStr">
        <is>
          <t>Đã hoàn thiện</t>
        </is>
      </c>
      <c r="H102" s="17" t="inlineStr">
        <is>
          <t>Có</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02" s="15" t="inlineStr">
        <is>
          <t>1. Mở 'Xem' ở 'Hack night (cancelled: host unavailable)'</t>
        </is>
      </c>
      <c r="K102" s="15" t="inlineStr">
        <is>
          <t>Hack night</t>
        </is>
      </c>
      <c r="L102" s="15" t="inlineStr">
        <is>
          <t>Có dòng 'Lý do hủy' = Host unavailable; Trạng thái 'Đã hủy'; 'Người đã đăng ký (2)' Daniel Park, Ethan Brooks; lịch sử có event.cancel (từ seed audit).</t>
        </is>
      </c>
      <c r="M102" s="15" t="inlineStr"/>
      <c r="N102" s="18" t="inlineStr">
        <is>
          <t>Chưa test</t>
        </is>
      </c>
      <c r="O102" s="15" t="inlineStr"/>
      <c r="P102" s="15" t="inlineStr"/>
      <c r="Q102" s="18" t="inlineStr">
        <is>
          <t>Chưa test</t>
        </is>
      </c>
      <c r="R102" s="15" t="inlineStr"/>
    </row>
    <row r="103" ht="45" customHeight="1">
      <c r="A103" s="14" t="inlineStr">
        <is>
          <t>TC-ADM2-102</t>
        </is>
      </c>
      <c r="B103" s="15" t="inlineStr">
        <is>
          <t>Admin Console (đợt 2: Nội dung, Thanh toán, Khám phá)</t>
        </is>
      </c>
      <c r="C103" s="15" t="inlineStr">
        <is>
          <t>Nội dung · Sự kiện</t>
        </is>
      </c>
      <c r="D103" s="15" t="inlineStr">
        <is>
          <t>Sửa sự kiện: đổi tên, giờ, link họp, sức chứa thành công</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03" s="15" t="inlineStr">
        <is>
          <t>1. Menu 'Growth AMA with the founders' &gt; 'Sửa'
2. Đổi tên thành 'Growth AMA (đã sửa)', sức chứa 10, link https://meet.example.com/qa, đổi giờ sang 2 ngày sau
3. Bấm 'Lưu thay đổi'</t>
        </is>
      </c>
      <c r="K103" s="15" t="inlineStr">
        <is>
          <t>Growth AMA</t>
        </is>
      </c>
      <c r="L103"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103" s="15" t="inlineStr"/>
      <c r="N103" s="18" t="inlineStr">
        <is>
          <t>Chưa test</t>
        </is>
      </c>
      <c r="O103" s="15" t="inlineStr"/>
      <c r="P103" s="15" t="inlineStr"/>
      <c r="Q103" s="18" t="inlineStr">
        <is>
          <t>Chưa test</t>
        </is>
      </c>
      <c r="R103" s="15" t="inlineStr"/>
    </row>
    <row r="104" ht="45" customHeight="1">
      <c r="A104" s="14" t="inlineStr">
        <is>
          <t>TC-ADM2-103</t>
        </is>
      </c>
      <c r="B104" s="15" t="inlineStr">
        <is>
          <t>Admin Console (đợt 2: Nội dung, Thanh toán, Khám phá)</t>
        </is>
      </c>
      <c r="C104" s="15" t="inlineStr">
        <is>
          <t>Nội dung · Sự kiện</t>
        </is>
      </c>
      <c r="D104" s="15" t="inlineStr">
        <is>
          <t>Sửa sự kiện: kiểm tra dữ liệu ở form (tên rỗng, sức chứa không phải số nguyên &gt;= 1)</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04" s="15" t="inlineStr">
        <is>
          <t>1. Mở 'Sửa' ở 'Live coding: build a CLI in Node'
2. Xóa trắng tên
3. Nhập tên lại; sức chứa 'abc'; sức chứa '0'; sức chứa '2.5'; xóa trắng sức chứa</t>
        </is>
      </c>
      <c r="K104" s="15" t="inlineStr">
        <is>
          <t>-</t>
        </is>
      </c>
      <c r="L104" s="15" t="inlineStr">
        <is>
          <t>Nút 'Lưu thay đổi' bị khóa khi tên rỗng, sức chứa 'abc'/'0'/'2.5'; để trống sức chứa = không giới hạn (hợp lệ, gửi capacity=null).</t>
        </is>
      </c>
      <c r="M104" s="15" t="inlineStr"/>
      <c r="N104" s="18" t="inlineStr">
        <is>
          <t>Chưa test</t>
        </is>
      </c>
      <c r="O104" s="15" t="inlineStr"/>
      <c r="P104" s="15" t="inlineStr"/>
      <c r="Q104" s="18" t="inlineStr">
        <is>
          <t>Chưa test</t>
        </is>
      </c>
      <c r="R104" s="15" t="inlineStr"/>
    </row>
    <row r="105" ht="30" customHeight="1">
      <c r="A105" s="14" t="inlineStr">
        <is>
          <t>TC-ADM2-104</t>
        </is>
      </c>
      <c r="B105" s="15" t="inlineStr">
        <is>
          <t>Admin Console (đợt 2: Nội dung, Thanh toán, Khám phá)</t>
        </is>
      </c>
      <c r="C105" s="15" t="inlineStr">
        <is>
          <t>Nội dung · Sự kiện</t>
        </is>
      </c>
      <c r="D105" s="15" t="inlineStr">
        <is>
          <t>Sửa sự kiện: sức chứa nhỏ hơn số người đã RSVP hiện lỗi 409 trong modal</t>
        </is>
      </c>
      <c r="E105" s="15" t="inlineStr">
        <is>
          <t>Chức năng</t>
        </is>
      </c>
      <c r="F105" s="20" t="inlineStr">
        <is>
          <t>Trung bình</t>
        </is>
      </c>
      <c r="G105" s="17" t="inlineStr">
        <is>
          <t>Đã hoàn thiện</t>
        </is>
      </c>
      <c r="H105" s="17" t="inlineStr">
        <is>
          <t>Có</t>
        </is>
      </c>
      <c r="I10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05" s="15" t="inlineStr">
        <is>
          <t>1. 'Sửa' 'Growth AMA with the founders' (4 RSVP)
2. Nhập sức chứa 2 và lưu</t>
        </is>
      </c>
      <c r="K105" s="15" t="inlineStr">
        <is>
          <t>capacity=2</t>
        </is>
      </c>
      <c r="L105" s="15" t="inlineStr">
        <is>
          <t>Modal không đóng, hiện 'Sức chứa không được nhỏ hơn số người đã đăng ký'; dữ liệu không đổi.</t>
        </is>
      </c>
      <c r="M105" s="15" t="inlineStr"/>
      <c r="N105" s="18" t="inlineStr">
        <is>
          <t>Chưa test</t>
        </is>
      </c>
      <c r="O105" s="15" t="inlineStr"/>
      <c r="P105" s="15" t="inlineStr"/>
      <c r="Q105" s="18" t="inlineStr">
        <is>
          <t>Chưa test</t>
        </is>
      </c>
      <c r="R105" s="15" t="inlineStr"/>
    </row>
    <row r="106" ht="60" customHeight="1">
      <c r="A106" s="14" t="inlineStr">
        <is>
          <t>TC-ADM2-105</t>
        </is>
      </c>
      <c r="B106" s="15" t="inlineStr">
        <is>
          <t>Admin Console (đợt 2: Nội dung, Thanh toán, Khám phá)</t>
        </is>
      </c>
      <c r="C106" s="15" t="inlineStr">
        <is>
          <t>Nội dung · Sự kiện</t>
        </is>
      </c>
      <c r="D106" s="15" t="inlineStr">
        <is>
          <t>Hủy sự kiện: modal, thông báo cho người RSVP, toast, trạng thái 'Đã hủy', audit</t>
        </is>
      </c>
      <c r="E106" s="15" t="inlineStr">
        <is>
          <t>Chức năng</t>
        </is>
      </c>
      <c r="F106" s="16" t="inlineStr">
        <is>
          <t>Cao</t>
        </is>
      </c>
      <c r="G106" s="17" t="inlineStr">
        <is>
          <t>Đã hoàn thiện</t>
        </is>
      </c>
      <c r="H106" s="17" t="inlineStr">
        <is>
          <t>Có</t>
        </is>
      </c>
      <c r="I1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06"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106" s="15" t="inlineStr">
        <is>
          <t>Growth AMA</t>
        </is>
      </c>
      <c r="L106" s="15" t="inlineStr">
        <is>
          <t>Toast 'Đã hủy sự kiện'; trạng thái 'Đã hủy', 'Lý do hủy' = Trùng lịch; Alex/Daniel/Liam/Ava nhận thông báo 'Sự kiện đã bị hủy' ('...đã bị quản trị viên hủy (Trùng lịch).'); Emma (không RSVP) KHÔNG nhận; audit event.cancel.</t>
        </is>
      </c>
      <c r="M106" s="15" t="inlineStr"/>
      <c r="N106" s="18" t="inlineStr">
        <is>
          <t>Chưa test</t>
        </is>
      </c>
      <c r="O106" s="15" t="inlineStr"/>
      <c r="P106" s="15" t="inlineStr"/>
      <c r="Q106" s="18" t="inlineStr">
        <is>
          <t>Chưa test</t>
        </is>
      </c>
      <c r="R106" s="15" t="inlineStr"/>
    </row>
    <row r="107" ht="30" customHeight="1">
      <c r="A107" s="14" t="inlineStr">
        <is>
          <t>TC-ADM2-106</t>
        </is>
      </c>
      <c r="B107" s="15" t="inlineStr">
        <is>
          <t>Admin Console (đợt 2: Nội dung, Thanh toán, Khám phá)</t>
        </is>
      </c>
      <c r="C107" s="15" t="inlineStr">
        <is>
          <t>Nội dung · Sự kiện</t>
        </is>
      </c>
      <c r="D107" s="15" t="inlineStr">
        <is>
          <t>Hủy sự kiện bỏ chọn 'Thông báo' thì không ai nhận thông báo</t>
        </is>
      </c>
      <c r="E107" s="15" t="inlineStr">
        <is>
          <t>Chức năng</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07" s="15" t="inlineStr">
        <is>
          <t>1. Hủy 'Portfolio review night' với lý do 'Khác', bỏ tích thông báo
2. Đăng nhập liam@ kiểm tra thông báo</t>
        </is>
      </c>
      <c r="K107" s="15" t="inlineStr">
        <is>
          <t>Portfolio review night</t>
        </is>
      </c>
      <c r="L107" s="15" t="inlineStr">
        <is>
          <t>Sự kiện 'Đã hủy' nhưng Liam/Sophia không có thông báo mới 'Sự kiện đã bị hủy' (notifyAttendees=false).</t>
        </is>
      </c>
      <c r="M107" s="15" t="inlineStr"/>
      <c r="N107" s="18" t="inlineStr">
        <is>
          <t>Chưa test</t>
        </is>
      </c>
      <c r="O107" s="15" t="inlineStr"/>
      <c r="P107" s="15" t="inlineStr"/>
      <c r="Q107" s="18" t="inlineStr">
        <is>
          <t>Chưa test</t>
        </is>
      </c>
      <c r="R107" s="15" t="inlineStr"/>
    </row>
    <row r="108" ht="45" customHeight="1">
      <c r="A108" s="14" t="inlineStr">
        <is>
          <t>TC-ADM2-107</t>
        </is>
      </c>
      <c r="B108" s="15" t="inlineStr">
        <is>
          <t>Admin Console (đợt 2: Nội dung, Thanh toán, Khám phá)</t>
        </is>
      </c>
      <c r="C108" s="15" t="inlineStr">
        <is>
          <t>Nội dung · Sự kiện</t>
        </is>
      </c>
      <c r="D108" s="15" t="inlineStr">
        <is>
          <t>Gỡ sự kiện: toast, trạng thái 'Đã gỡ', biến mất khỏi API công khai; khôi phục</t>
        </is>
      </c>
      <c r="E108" s="15" t="inlineStr">
        <is>
          <t>Chức năng</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108" s="15" t="inlineStr">
        <is>
          <t>1. Menu 'Quarterly budget reset' (mindful-money) &gt; 'Gỡ' lý do 'Spam' &gt; xác nhận
2. noah@: GET /api/courses/mindful-money/events và GET /api/events/&lt;id&gt;
3. Admin 'Khôi phục'</t>
        </is>
      </c>
      <c r="K108" s="15" t="inlineStr">
        <is>
          <t>Quarterly budget reset</t>
        </is>
      </c>
      <c r="L108" s="15" t="inlineStr">
        <is>
          <t>Toast 'Đã gỡ sự kiện'; 'Đã gỡ'; danh sách công khai không còn sự kiện và GET /events/:id = 404; sau 'Khôi phục' (toast 'Đã khôi phục sự kiện') hiện lại với trạng thái theo giờ (Hoàn tất).</t>
        </is>
      </c>
      <c r="M108" s="15" t="inlineStr"/>
      <c r="N108" s="18" t="inlineStr">
        <is>
          <t>Chưa test</t>
        </is>
      </c>
      <c r="O108" s="15" t="inlineStr"/>
      <c r="P108" s="15" t="inlineStr"/>
      <c r="Q108" s="18" t="inlineStr">
        <is>
          <t>Chưa test</t>
        </is>
      </c>
      <c r="R108" s="15" t="inlineStr"/>
    </row>
    <row r="109" ht="45" customHeight="1">
      <c r="A109" s="14" t="inlineStr">
        <is>
          <t>TC-ADM2-108</t>
        </is>
      </c>
      <c r="B109" s="15" t="inlineStr">
        <is>
          <t>Admin Console (đợt 2: Nội dung, Thanh toán, Khám phá)</t>
        </is>
      </c>
      <c r="C109" s="15" t="inlineStr">
        <is>
          <t>Nội dung · Sự kiện</t>
        </is>
      </c>
      <c r="D109" s="15" t="inlineStr">
        <is>
          <t>Sự kiện bị hủy: người chưa RSVP đăng ký nhận 409; API công khai trả cancelledAt</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109" s="15" t="inlineStr">
        <is>
          <t>1. Admin hủy 'Growth AMA with the founders'
2. emma@: POST /api/events/&lt;id&gt;/rsvp
3. emma@: GET /api/courses/growth-lab/events</t>
        </is>
      </c>
      <c r="K109" s="15" t="inlineStr">
        <is>
          <t>Growth AMA</t>
        </is>
      </c>
      <c r="L109" s="15" t="inlineStr">
        <is>
          <t>POST rsvp trả 409 CONFLICT (sự kiện đã hủy); danh sách sự kiện công khai vẫn có sự kiện kèm trường cancelledAt (có giá trị) để FE hiển thị 'đã hủy'.</t>
        </is>
      </c>
      <c r="M109" s="15" t="inlineStr"/>
      <c r="N109" s="18" t="inlineStr">
        <is>
          <t>Chưa test</t>
        </is>
      </c>
      <c r="O109" s="15" t="inlineStr"/>
      <c r="P109" s="15" t="inlineStr"/>
      <c r="Q109" s="18" t="inlineStr">
        <is>
          <t>Chưa test</t>
        </is>
      </c>
      <c r="R109" s="15" t="inlineStr"/>
    </row>
    <row r="110" ht="30" customHeight="1">
      <c r="A110" s="14" t="inlineStr">
        <is>
          <t>TC-ADM2-109</t>
        </is>
      </c>
      <c r="B110" s="15" t="inlineStr">
        <is>
          <t>Admin Console (đợt 2: Nội dung, Thanh toán, Khám phá)</t>
        </is>
      </c>
      <c r="C110" s="15" t="inlineStr">
        <is>
          <t>Nội dung · Sự kiện</t>
        </is>
      </c>
      <c r="D110" s="15" t="inlineStr">
        <is>
          <t>Khôi phục sự kiện bị hủy: trở về trạng thái theo giờ</t>
        </is>
      </c>
      <c r="E110" s="15" t="inlineStr">
        <is>
          <t>Chức năng</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10" s="15" t="inlineStr">
        <is>
          <t>1. Menu 'Hack night' &gt; 'Khôi phục' &gt; xác nhận</t>
        </is>
      </c>
      <c r="K110" s="15" t="inlineStr">
        <is>
          <t>Hack night</t>
        </is>
      </c>
      <c r="L110" s="15" t="inlineStr">
        <is>
          <t>Toast 'Đã khôi phục sự kiện'; trạng thái 'Sắp diễn ra' (startAt +5 ngày); xóa cancelReason/cancelledAt/removedAt; audit event.restore; người RSVP không bị gửi thông báo.</t>
        </is>
      </c>
      <c r="M110" s="15" t="inlineStr"/>
      <c r="N110" s="18" t="inlineStr">
        <is>
          <t>Chưa test</t>
        </is>
      </c>
      <c r="O110" s="15" t="inlineStr"/>
      <c r="P110" s="15" t="inlineStr"/>
      <c r="Q110" s="18" t="inlineStr">
        <is>
          <t>Chưa test</t>
        </is>
      </c>
      <c r="R110" s="15" t="inlineStr"/>
    </row>
    <row r="111" ht="105" customHeight="1">
      <c r="A111" s="14" t="inlineStr">
        <is>
          <t>TC-ADM2-110</t>
        </is>
      </c>
      <c r="B111" s="15" t="inlineStr">
        <is>
          <t>Admin Console (đợt 2: Nội dung, Thanh toán, Khám phá)</t>
        </is>
      </c>
      <c r="C111" s="15" t="inlineStr">
        <is>
          <t>Nội dung · Sự kiện</t>
        </is>
      </c>
      <c r="D111" s="15" t="inlineStr">
        <is>
          <t>API Sự kiện: list lọc status/courseId/sort, detail có rsvps (&lt;=50), 400/404</t>
        </is>
      </c>
      <c r="E111" s="15" t="inlineStr">
        <is>
          <t>Chức năng</t>
        </is>
      </c>
      <c r="F111" s="16" t="inlineStr">
        <is>
          <t>Cao</t>
        </is>
      </c>
      <c r="G111" s="17" t="inlineStr">
        <is>
          <t>Đã hoàn thiện</t>
        </is>
      </c>
      <c r="H111" s="17" t="inlineStr">
        <is>
          <t>Có</t>
        </is>
      </c>
      <c r="I11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11"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111" s="15" t="inlineStr">
        <is>
          <t>-</t>
        </is>
      </c>
      <c r="L111" s="15" t="inlineStr">
        <is>
          <t>summary {total,upcoming,live,completed,cancelled}; cancelled ra Hack night; chi tiết có description, rsvps (4 Person), history; status=removed và status=nope -&gt; 400 (chỉ upcoming|live|completed|cancelled); nope 404.</t>
        </is>
      </c>
      <c r="M111" s="15" t="inlineStr"/>
      <c r="N111" s="18" t="inlineStr">
        <is>
          <t>Chưa test</t>
        </is>
      </c>
      <c r="O111" s="15" t="inlineStr"/>
      <c r="P111" s="15" t="inlineStr"/>
      <c r="Q111" s="18" t="inlineStr">
        <is>
          <t>Chưa test</t>
        </is>
      </c>
      <c r="R111" s="15" t="inlineStr"/>
    </row>
    <row r="112" ht="165" customHeight="1">
      <c r="A112" s="14" t="inlineStr">
        <is>
          <t>TC-ADM2-111</t>
        </is>
      </c>
      <c r="B112" s="15" t="inlineStr">
        <is>
          <t>Admin Console (đợt 2: Nội dung, Thanh toán, Khám phá)</t>
        </is>
      </c>
      <c r="C112" s="15" t="inlineStr">
        <is>
          <t>Nội dung · Sự kiện</t>
        </is>
      </c>
      <c r="D112" s="15" t="inlineStr">
        <is>
          <t>API Sự kiện: PATCH (400 không có gì để cập nhật/URL sai) và cancel/remove/restore với 409</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112"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112" s="15" t="inlineStr">
        <is>
          <t>Growth AMA, Quarterly budget reset</t>
        </is>
      </c>
      <c r="L112"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112" s="15" t="inlineStr"/>
      <c r="N112" s="18" t="inlineStr">
        <is>
          <t>Chưa test</t>
        </is>
      </c>
      <c r="O112" s="15" t="inlineStr"/>
      <c r="P112" s="15" t="inlineStr"/>
      <c r="Q112" s="18" t="inlineStr">
        <is>
          <t>Chưa test</t>
        </is>
      </c>
      <c r="R112" s="15" t="inlineStr"/>
    </row>
    <row r="113" ht="30" customHeight="1">
      <c r="A113" s="14" t="inlineStr">
        <is>
          <t>TC-ADM2-112</t>
        </is>
      </c>
      <c r="B113" s="15" t="inlineStr">
        <is>
          <t>Admin Console (đợt 2: Nội dung, Thanh toán, Khám phá)</t>
        </is>
      </c>
      <c r="C113" s="15" t="inlineStr">
        <is>
          <t>Nội dung · Sự kiện</t>
        </is>
      </c>
      <c r="D113" s="15" t="inlineStr">
        <is>
          <t>Sức chứa đặt bằng đúng số RSVP: PATCH hợp lệ và RSVP công khai tiếp theo nhận 409</t>
        </is>
      </c>
      <c r="E113" s="15" t="inlineStr">
        <is>
          <t>Chức năng</t>
        </is>
      </c>
      <c r="F113" s="17" t="inlineStr">
        <is>
          <t>Thấp</t>
        </is>
      </c>
      <c r="G113" s="17" t="inlineStr">
        <is>
          <t>Đã hoàn thiện</t>
        </is>
      </c>
      <c r="H113" s="17" t="inlineStr">
        <is>
          <t>Có</t>
        </is>
      </c>
      <c r="I11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113" s="15" t="inlineStr">
        <is>
          <t>1. PATCH capacity=4 cho 'Growth AMA with the founders' (đã 4 RSVP)
2. emma@: POST /api/events/&lt;id&gt;/rsvp</t>
        </is>
      </c>
      <c r="K113" s="15" t="inlineStr">
        <is>
          <t>capacity=4</t>
        </is>
      </c>
      <c r="L113" s="15" t="inlineStr">
        <is>
          <t>PATCH 200 (4 không nhỏ hơn 4 RSVP); RSVP của emma trả 409 (đã đầy chỗ).</t>
        </is>
      </c>
      <c r="M113" s="15" t="inlineStr"/>
      <c r="N113" s="18" t="inlineStr">
        <is>
          <t>Chưa test</t>
        </is>
      </c>
      <c r="O113" s="15" t="inlineStr"/>
      <c r="P113" s="15" t="inlineStr"/>
      <c r="Q113" s="18" t="inlineStr">
        <is>
          <t>Chưa test</t>
        </is>
      </c>
      <c r="R113" s="15" t="inlineStr"/>
    </row>
    <row r="114" ht="45" customHeight="1">
      <c r="A114" s="14" t="inlineStr">
        <is>
          <t>TC-ADM2-113</t>
        </is>
      </c>
      <c r="B114" s="15" t="inlineStr">
        <is>
          <t>Admin Console (đợt 2: Nội dung, Thanh toán, Khám phá)</t>
        </is>
      </c>
      <c r="C114" s="15" t="inlineStr">
        <is>
          <t>Nội dung · Media</t>
        </is>
      </c>
      <c r="D114" s="15" t="inlineStr">
        <is>
          <t>Trang Media: 4 KPI và chế độ Lưới mặc định</t>
        </is>
      </c>
      <c r="E114" s="15" t="inlineStr">
        <is>
          <t>Giao diện</t>
        </is>
      </c>
      <c r="F114" s="16" t="inlineStr">
        <is>
          <t>Cao</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14" s="15" t="inlineStr">
        <is>
          <t>1. Mở /admin/content/media
2. Đọc KPI 'Tổng tệp', 'Dung lượng', 'Bị gắn cờ', 'Đã gỡ'
3. Đọc tiêu đề thẻ lưới</t>
        </is>
      </c>
      <c r="K114" s="15" t="inlineStr">
        <is>
          <t>-</t>
        </is>
      </c>
      <c r="L114"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114" s="15" t="inlineStr"/>
      <c r="N114" s="18" t="inlineStr">
        <is>
          <t>Chưa test</t>
        </is>
      </c>
      <c r="O114" s="15" t="inlineStr"/>
      <c r="P114" s="15" t="inlineStr"/>
      <c r="Q114" s="18" t="inlineStr">
        <is>
          <t>Chưa test</t>
        </is>
      </c>
      <c r="R114" s="15" t="inlineStr"/>
    </row>
    <row r="115" ht="30" customHeight="1">
      <c r="A115" s="14" t="inlineStr">
        <is>
          <t>TC-ADM2-114</t>
        </is>
      </c>
      <c r="B115" s="15" t="inlineStr">
        <is>
          <t>Admin Console (đợt 2: Nội dung, Thanh toán, Khám phá)</t>
        </is>
      </c>
      <c r="C115" s="15" t="inlineStr">
        <is>
          <t>Nội dung · Media</t>
        </is>
      </c>
      <c r="D115" s="15" t="inlineStr">
        <is>
          <t>Chip loại tệp: Tất cả / Hình ảnh / Video / Tài liệu / Âm thanh</t>
        </is>
      </c>
      <c r="E115" s="15" t="inlineStr">
        <is>
          <t>Chức năng</t>
        </is>
      </c>
      <c r="F115" s="16" t="inlineStr">
        <is>
          <t>Cao</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15" s="15" t="inlineStr">
        <is>
          <t>1. Bấm lần lượt từng chip loại
2. Ghi số tệp ở dòng phụ</t>
        </is>
      </c>
      <c r="K115" s="15" t="inlineStr">
        <is>
          <t>-</t>
        </is>
      </c>
      <c r="L115" s="15" t="inlineStr">
        <is>
          <t>Hình ảnh 5 tệp, Video 2, Tài liệu 5 (pdf, docx, zip, txt), Âm thanh 0 -&gt; hiện 'Không có tệp nào.'; khớp summary.byKind.</t>
        </is>
      </c>
      <c r="M115" s="15" t="inlineStr"/>
      <c r="N115" s="18" t="inlineStr">
        <is>
          <t>Chưa test</t>
        </is>
      </c>
      <c r="O115" s="15" t="inlineStr"/>
      <c r="P115" s="15" t="inlineStr"/>
      <c r="Q115" s="18" t="inlineStr">
        <is>
          <t>Chưa test</t>
        </is>
      </c>
      <c r="R115" s="15" t="inlineStr"/>
    </row>
    <row r="116" ht="30" customHeight="1">
      <c r="A116" s="14" t="inlineStr">
        <is>
          <t>TC-ADM2-115</t>
        </is>
      </c>
      <c r="B116" s="15" t="inlineStr">
        <is>
          <t>Admin Console (đợt 2: Nội dung, Thanh toán, Khám phá)</t>
        </is>
      </c>
      <c r="C116" s="15" t="inlineStr">
        <is>
          <t>Nội dung · Media</t>
        </is>
      </c>
      <c r="D116" s="15" t="inlineStr">
        <is>
          <t>Chip trạng thái: Mọi trạng thái / Hoạt động / Bị gắn cờ / Đã gỡ</t>
        </is>
      </c>
      <c r="E116" s="15" t="inlineStr">
        <is>
          <t>Chức năng</t>
        </is>
      </c>
      <c r="F116" s="16" t="inlineStr">
        <is>
          <t>Cao</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16" s="15" t="inlineStr">
        <is>
          <t>1. Bấm lần lượt từng chip trạng thái</t>
        </is>
      </c>
      <c r="K116" s="15" t="inlineStr">
        <is>
          <t>-</t>
        </is>
      </c>
      <c r="L116" s="15" t="inlineStr">
        <is>
          <t>Hoạt động 9 tệp; Bị gắn cờ 2 (notion-template.pdf, leaked-meal-plan.pdf, mỗi thẻ có nhãn '1 báo cáo' đỏ); Đã gỡ 1 (signals-pack.zip, KHÔNG có nút Xem trước); kết hợp chip loại + trạng thái cho ra giao của hai bộ lọc.</t>
        </is>
      </c>
      <c r="M116" s="15" t="inlineStr"/>
      <c r="N116" s="18" t="inlineStr">
        <is>
          <t>Chưa test</t>
        </is>
      </c>
      <c r="O116" s="15" t="inlineStr"/>
      <c r="P116" s="15" t="inlineStr"/>
      <c r="Q116" s="18" t="inlineStr">
        <is>
          <t>Chưa test</t>
        </is>
      </c>
      <c r="R116" s="15" t="inlineStr"/>
    </row>
    <row r="117" ht="45" customHeight="1">
      <c r="A117" s="14" t="inlineStr">
        <is>
          <t>TC-ADM2-116</t>
        </is>
      </c>
      <c r="B117" s="15" t="inlineStr">
        <is>
          <t>Admin Console (đợt 2: Nội dung, Thanh toán, Khám phá)</t>
        </is>
      </c>
      <c r="C117" s="15" t="inlineStr">
        <is>
          <t>Nội dung · Media</t>
        </is>
      </c>
      <c r="D117" s="15" t="inlineStr">
        <is>
          <t>Tìm Media theo tên tệp, tên chủ tệp, tên cộng đồng</t>
        </is>
      </c>
      <c r="E117" s="15" t="inlineStr">
        <is>
          <t>Chức năng</t>
        </is>
      </c>
      <c r="F117" s="20" t="inlineStr">
        <is>
          <t>Trung bình</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17" s="15" t="inlineStr">
        <is>
          <t>1. Gõ 'leaked'
2. Gõ 'Emma'
3. Gõ 'Pixel Pro'</t>
        </is>
      </c>
      <c r="K117" s="15" t="inlineStr">
        <is>
          <t>leaked | Emma | Pixel Pro</t>
        </is>
      </c>
      <c r="L117" s="15" t="inlineStr">
        <is>
          <t>Lần 1: leaked-meal-plan.pdf; lần 2: 3 tệp của Emma Garcia (checklist.docx, banner-q4.jpg, typography-sheet.png); lần 3: các tệp thuộc cộng đồng Pixel Pro (3 tệp).</t>
        </is>
      </c>
      <c r="M117" s="15" t="inlineStr"/>
      <c r="N117" s="18" t="inlineStr">
        <is>
          <t>Chưa test</t>
        </is>
      </c>
      <c r="O117" s="15" t="inlineStr"/>
      <c r="P117" s="15" t="inlineStr"/>
      <c r="Q117" s="18" t="inlineStr">
        <is>
          <t>Chưa test</t>
        </is>
      </c>
      <c r="R117" s="15" t="inlineStr"/>
    </row>
    <row r="118" ht="30" customHeight="1">
      <c r="A118" s="14" t="inlineStr">
        <is>
          <t>TC-ADM2-117</t>
        </is>
      </c>
      <c r="B118" s="15" t="inlineStr">
        <is>
          <t>Admin Console (đợt 2: Nội dung, Thanh toán, Khám phá)</t>
        </is>
      </c>
      <c r="C118" s="15" t="inlineStr">
        <is>
          <t>Nội dung · Media</t>
        </is>
      </c>
      <c r="D118" s="15" t="inlineStr">
        <is>
          <t>Chuyển Lưới/Bảng: bảng có cột Tên tệp, Chủ tệp, Cộng đồng, Dung lượng, Báo cáo, Trạng thái, Tải lên</t>
        </is>
      </c>
      <c r="E118" s="15" t="inlineStr">
        <is>
          <t>Giao diện</t>
        </is>
      </c>
      <c r="F118" s="20" t="inlineStr">
        <is>
          <t>Trung bình</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18" s="15" t="inlineStr">
        <is>
          <t>1. Bấm 'Bảng' ở 'Chế độ xem'
2. Bấm 'Lưới' quay lại</t>
        </is>
      </c>
      <c r="K118" s="15" t="inlineStr">
        <is>
          <t>-</t>
        </is>
      </c>
      <c r="L118"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118" s="15" t="inlineStr"/>
      <c r="N118" s="18" t="inlineStr">
        <is>
          <t>Chưa test</t>
        </is>
      </c>
      <c r="O118" s="15" t="inlineStr"/>
      <c r="P118" s="15" t="inlineStr"/>
      <c r="Q118" s="18" t="inlineStr">
        <is>
          <t>Chưa test</t>
        </is>
      </c>
      <c r="R118" s="15" t="inlineStr"/>
    </row>
    <row r="119" ht="30" customHeight="1">
      <c r="A119" s="14" t="inlineStr">
        <is>
          <t>TC-ADM2-118</t>
        </is>
      </c>
      <c r="B119" s="15" t="inlineStr">
        <is>
          <t>Admin Console (đợt 2: Nội dung, Thanh toán, Khám phá)</t>
        </is>
      </c>
      <c r="C119" s="15" t="inlineStr">
        <is>
          <t>Nội dung · Media</t>
        </is>
      </c>
      <c r="D119" s="15" t="inlineStr">
        <is>
          <t>Phân trang Media 24 tệp/trang (khi &gt; 24)</t>
        </is>
      </c>
      <c r="E119" s="15" t="inlineStr">
        <is>
          <t>Chức năng</t>
        </is>
      </c>
      <c r="F119" s="17" t="inlineStr">
        <is>
          <t>Thấp</t>
        </is>
      </c>
      <c r="G119" s="17" t="inlineStr">
        <is>
          <t>Đã hoàn thiện</t>
        </is>
      </c>
      <c r="H119" s="16" t="inlineStr">
        <is>
          <t>Không</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119" s="15" t="inlineStr">
        <is>
          <t>1. Tải lên thêm 13 tệp
2. Mở /admin/content/media</t>
        </is>
      </c>
      <c r="K119" s="15" t="inlineStr">
        <is>
          <t>13 tệp thêm</t>
        </is>
      </c>
      <c r="L119" s="15" t="inlineStr">
        <is>
          <t>Có bộ phân trang ở dưới lưới (24/trang), trang 2 hiện các tệp còn lại; đổi bộ lọc thì về trang 1.</t>
        </is>
      </c>
      <c r="M119" s="15" t="inlineStr"/>
      <c r="N119" s="18" t="inlineStr">
        <is>
          <t>Chưa test</t>
        </is>
      </c>
      <c r="O119" s="15" t="inlineStr"/>
      <c r="P119" s="15" t="inlineStr"/>
      <c r="Q119" s="18" t="inlineStr">
        <is>
          <t>Chưa test</t>
        </is>
      </c>
      <c r="R119" s="15" t="inlineStr"/>
    </row>
    <row r="120" ht="45" customHeight="1">
      <c r="A120" s="14" t="inlineStr">
        <is>
          <t>TC-ADM2-119</t>
        </is>
      </c>
      <c r="B120" s="15" t="inlineStr">
        <is>
          <t>Admin Console (đợt 2: Nội dung, Thanh toán, Khám phá)</t>
        </is>
      </c>
      <c r="C120" s="15" t="inlineStr">
        <is>
          <t>Nội dung · Media</t>
        </is>
      </c>
      <c r="D120" s="15" t="inlineStr">
        <is>
          <t>Media: trạng thái tải, lỗi và Thử lại</t>
        </is>
      </c>
      <c r="E120" s="15" t="inlineStr">
        <is>
          <t>Giao diện</t>
        </is>
      </c>
      <c r="F120" s="20" t="inlineStr">
        <is>
          <t>Trung bình</t>
        </is>
      </c>
      <c r="G120" s="17" t="inlineStr">
        <is>
          <t>Đã hoàn thiện</t>
        </is>
      </c>
      <c r="H120" s="20" t="inlineStr">
        <is>
          <t>Một phần</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0" s="15" t="inlineStr">
        <is>
          <t>1. Chặn /api/admin/content/media trong DevTools
2. F5 trang Media
3. Bỏ chặn, bấm 'Thử lại'</t>
        </is>
      </c>
      <c r="K120" s="15" t="inlineStr">
        <is>
          <t>-</t>
        </is>
      </c>
      <c r="L120" s="15" t="inlineStr">
        <is>
          <t>Hiện 'Đang tải…' rồi khối lỗi có nút 'Thử lại'; sau Thử lại hiện lưới bình thường.</t>
        </is>
      </c>
      <c r="M120" s="15" t="inlineStr"/>
      <c r="N120" s="18" t="inlineStr">
        <is>
          <t>Chưa test</t>
        </is>
      </c>
      <c r="O120" s="15" t="inlineStr"/>
      <c r="P120" s="15" t="inlineStr"/>
      <c r="Q120" s="18" t="inlineStr">
        <is>
          <t>Chưa test</t>
        </is>
      </c>
      <c r="R120" s="15" t="inlineStr"/>
    </row>
    <row r="121" ht="45" customHeight="1">
      <c r="A121" s="14" t="inlineStr">
        <is>
          <t>TC-ADM2-120</t>
        </is>
      </c>
      <c r="B121" s="15" t="inlineStr">
        <is>
          <t>Admin Console (đợt 2: Nội dung, Thanh toán, Khám phá)</t>
        </is>
      </c>
      <c r="C121" s="15" t="inlineStr">
        <is>
          <t>Nội dung · Media</t>
        </is>
      </c>
      <c r="D121" s="15" t="inlineStr">
        <is>
          <t>Gắn cờ tệp (chế độ Bảng): lý do bắt buộc, toast, KPI và nhãn báo cáo</t>
        </is>
      </c>
      <c r="E121" s="15" t="inlineStr">
        <is>
          <t>Chức năng</t>
        </is>
      </c>
      <c r="F121" s="16" t="inlineStr">
        <is>
          <t>Cao</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21" s="15" t="inlineStr">
        <is>
          <t>1. Chuyển 'Bảng'
2. Menu 'budget-preview.png' &gt; 'Gắn cờ'
3. Chọn lý do 'Bản quyền' &gt; xác nhận</t>
        </is>
      </c>
      <c r="K121" s="15" t="inlineStr">
        <is>
          <t>budget-preview.png</t>
        </is>
      </c>
      <c r="L121" s="15" t="inlineStr">
        <is>
          <t>Modal 'Gắn cờ tệp?'; nút khóa tới khi chọn lý do; toast 'Đã gắn cờ tệp'; trạng thái 'Bị gắn cờ', Báo cáo = 1, KPI 'Bị gắn cờ' +1; audit media.flag (targetId = key tệp). Không gửi thông báo cho chủ tệp.</t>
        </is>
      </c>
      <c r="M121" s="15" t="inlineStr"/>
      <c r="N121" s="18" t="inlineStr">
        <is>
          <t>Chưa test</t>
        </is>
      </c>
      <c r="O121" s="15" t="inlineStr"/>
      <c r="P121" s="15" t="inlineStr"/>
      <c r="Q121" s="18" t="inlineStr">
        <is>
          <t>Chưa test</t>
        </is>
      </c>
      <c r="R121" s="15" t="inlineStr"/>
    </row>
    <row r="122" ht="30" customHeight="1">
      <c r="A122" s="14" t="inlineStr">
        <is>
          <t>TC-ADM2-121</t>
        </is>
      </c>
      <c r="B122" s="15" t="inlineStr">
        <is>
          <t>Admin Console (đợt 2: Nội dung, Thanh toán, Khám phá)</t>
        </is>
      </c>
      <c r="C122" s="15" t="inlineStr">
        <is>
          <t>Nội dung · Media</t>
        </is>
      </c>
      <c r="D122" s="15" t="inlineStr">
        <is>
          <t>Bỏ gắn cờ tệp: modal có ghi chú tùy chọn, trạng thái về Hoạt động</t>
        </is>
      </c>
      <c r="E122" s="15" t="inlineStr">
        <is>
          <t>Chức năng</t>
        </is>
      </c>
      <c r="F122" s="20" t="inlineStr">
        <is>
          <t>Trung bình</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22" s="15" t="inlineStr">
        <is>
          <t>1. Menu 'notion-template.pdf' (đã cờ) &gt; 'Bỏ gắn cờ' &gt; xác nhận</t>
        </is>
      </c>
      <c r="K122" s="15" t="inlineStr">
        <is>
          <t>notion-template.pdf</t>
        </is>
      </c>
      <c r="L122" s="15" t="inlineStr">
        <is>
          <t>Toast 'Đã bỏ gắn cờ'; trạng thái 'Hoạt động', Báo cáo 0; KPI 'Bị gắn cờ' −1; audit media.unflag.</t>
        </is>
      </c>
      <c r="M122" s="15" t="inlineStr"/>
      <c r="N122" s="18" t="inlineStr">
        <is>
          <t>Chưa test</t>
        </is>
      </c>
      <c r="O122" s="15" t="inlineStr"/>
      <c r="P122" s="15" t="inlineStr"/>
      <c r="Q122" s="18" t="inlineStr">
        <is>
          <t>Chưa test</t>
        </is>
      </c>
      <c r="R122" s="15" t="inlineStr"/>
    </row>
    <row r="123" ht="30" customHeight="1">
      <c r="A123" s="14" t="inlineStr">
        <is>
          <t>TC-ADM2-122</t>
        </is>
      </c>
      <c r="B123" s="15" t="inlineStr">
        <is>
          <t>Admin Console (đợt 2: Nội dung, Thanh toán, Khám phá)</t>
        </is>
      </c>
      <c r="C123" s="15" t="inlineStr">
        <is>
          <t>Nội dung · Media</t>
        </is>
      </c>
      <c r="D123" s="15" t="inlineStr">
        <is>
          <t>Gỡ tệp: modal có 'Thông báo cho chủ tệp', toast, trạng thái 'Đã gỡ'</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23" s="15" t="inlineStr">
        <is>
          <t>1. Menu 'checklist.docx' &gt; 'Gỡ' (lý do 'Khác', giữ thông báo)
2. Đăng nhập emma@ xem thông báo</t>
        </is>
      </c>
      <c r="K123" s="15" t="inlineStr">
        <is>
          <t>checklist.docx</t>
        </is>
      </c>
      <c r="L123" s="15" t="inlineStr">
        <is>
          <t>Modal 'Gỡ tệp' '... Tệp sẽ không còn truy cập được công khai.'; toast 'Đã gỡ tệp'; 'Đã gỡ' (KPI +1); mất nút 'Xem trước'; Emma nhận thông báo 'File của bạn đã bị gỡ' có tên tệp + 'Lý do: Khác'; audit media.remove.</t>
        </is>
      </c>
      <c r="M123" s="15" t="inlineStr"/>
      <c r="N123" s="18" t="inlineStr">
        <is>
          <t>Chưa test</t>
        </is>
      </c>
      <c r="O123" s="15" t="inlineStr"/>
      <c r="P123" s="15" t="inlineStr"/>
      <c r="Q123" s="18" t="inlineStr">
        <is>
          <t>Chưa test</t>
        </is>
      </c>
      <c r="R123" s="15" t="inlineStr"/>
    </row>
    <row r="124" ht="30" customHeight="1">
      <c r="A124" s="14" t="inlineStr">
        <is>
          <t>TC-ADM2-123</t>
        </is>
      </c>
      <c r="B124" s="15" t="inlineStr">
        <is>
          <t>Admin Console (đợt 2: Nội dung, Thanh toán, Khám phá)</t>
        </is>
      </c>
      <c r="C124" s="15" t="inlineStr">
        <is>
          <t>Nội dung · Media</t>
        </is>
      </c>
      <c r="D124" s="15" t="inlineStr">
        <is>
          <t>Khôi phục tệp đã gỡ</t>
        </is>
      </c>
      <c r="E124" s="15" t="inlineStr">
        <is>
          <t>Chức năng</t>
        </is>
      </c>
      <c r="F124" s="20" t="inlineStr">
        <is>
          <t>Trung bình</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24" s="15" t="inlineStr">
        <is>
          <t>1. Thẻ 'signals-pack.zip' &gt; nút 'Khôi phục' &gt; xác nhận</t>
        </is>
      </c>
      <c r="K124" s="15" t="inlineStr">
        <is>
          <t>signals-pack.zip</t>
        </is>
      </c>
      <c r="L124" s="15" t="inlineStr">
        <is>
          <t>Toast 'Đã khôi phục tệp'; trạng thái 'Hoạt động'; KPI 'Đã gỡ' −1; hiện lại nút 'Xem trước'; audit media.restore.</t>
        </is>
      </c>
      <c r="M124" s="15" t="inlineStr"/>
      <c r="N124" s="18" t="inlineStr">
        <is>
          <t>Chưa test</t>
        </is>
      </c>
      <c r="O124" s="15" t="inlineStr"/>
      <c r="P124" s="15" t="inlineStr"/>
      <c r="Q124" s="18" t="inlineStr">
        <is>
          <t>Chưa test</t>
        </is>
      </c>
      <c r="R124" s="15" t="inlineStr"/>
    </row>
    <row r="125" ht="30" customHeight="1">
      <c r="A125" s="14" t="inlineStr">
        <is>
          <t>TC-ADM2-124</t>
        </is>
      </c>
      <c r="B125" s="15" t="inlineStr">
        <is>
          <t>Admin Console (đợt 2: Nội dung, Thanh toán, Khám phá)</t>
        </is>
      </c>
      <c r="C125" s="15" t="inlineStr">
        <is>
          <t>Nội dung · Media</t>
        </is>
      </c>
      <c r="D125" s="15" t="inlineStr">
        <is>
          <t>Nút 'Xem trước' mở tệp ở tab mới; tệp seed (chỉ metadata) trả 404</t>
        </is>
      </c>
      <c r="E125" s="15" t="inlineStr">
        <is>
          <t>Chức năng</t>
        </is>
      </c>
      <c r="F125" s="17" t="inlineStr">
        <is>
          <t>Thấp</t>
        </is>
      </c>
      <c r="G125" s="17" t="inlineStr">
        <is>
          <t>Đã hoàn thiện</t>
        </is>
      </c>
      <c r="H125" s="20" t="inlineStr">
        <is>
          <t>Một phần</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25" s="15" t="inlineStr">
        <is>
          <t>1. Thẻ 'budget-preview.png' &gt; 'Xem trước'</t>
        </is>
      </c>
      <c r="K125" s="15" t="inlineStr">
        <is>
          <t>budget-preview.png</t>
        </is>
      </c>
      <c r="L125" s="15" t="inlineStr">
        <is>
          <t>Tab mới mở /api/files/50871a26495c5339209f99291851d627.png; vì seed chỉ có metadata nên trả 404 (với tệp thật upload qua /uploads thì xem được). Tệp 'Đã gỡ' không có nút Xem trước.</t>
        </is>
      </c>
      <c r="M125" s="15" t="inlineStr"/>
      <c r="N125" s="18" t="inlineStr">
        <is>
          <t>Chưa test</t>
        </is>
      </c>
      <c r="O125" s="15" t="inlineStr"/>
      <c r="P125" s="15" t="inlineStr"/>
      <c r="Q125" s="18" t="inlineStr">
        <is>
          <t>Chưa test</t>
        </is>
      </c>
      <c r="R125" s="15" t="inlineStr"/>
    </row>
    <row r="126" ht="30" customHeight="1">
      <c r="A126" s="14" t="inlineStr">
        <is>
          <t>TC-ADM2-125</t>
        </is>
      </c>
      <c r="B126" s="15" t="inlineStr">
        <is>
          <t>Admin Console (đợt 2: Nội dung, Thanh toán, Khám phá)</t>
        </is>
      </c>
      <c r="C126" s="15" t="inlineStr">
        <is>
          <t>Nội dung · Media</t>
        </is>
      </c>
      <c r="D126" s="15" t="inlineStr">
        <is>
          <t>Nút 'Tải xuống' (kèm Bearer): tệp thật tải được, tệp seed hiện toast lỗi</t>
        </is>
      </c>
      <c r="E126" s="15" t="inlineStr">
        <is>
          <t>Chức năng</t>
        </is>
      </c>
      <c r="F126" s="20" t="inlineStr">
        <is>
          <t>Trung bình</t>
        </is>
      </c>
      <c r="G126" s="17" t="inlineStr">
        <is>
          <t>Đã hoàn thiện</t>
        </is>
      </c>
      <c r="H126" s="20" t="inlineStr">
        <is>
          <t>Một phần</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26" s="15" t="inlineStr">
        <is>
          <t>1. Bấm 'Tải xuống' ở 'budget-preview.png' (seed)
2. Bấm 'Tải xuống' ở tệp 'a.png' vừa upload</t>
        </is>
      </c>
      <c r="K126" s="15" t="inlineStr">
        <is>
          <t>a.png</t>
        </is>
      </c>
      <c r="L126" s="15" t="inlineStr">
        <is>
          <t>Tệp seed: toast lỗi 'File không còn trong storage' (404); tệp thật: trình duyệt tải file tên a.png đúng dung lượng, header attachment + nosniff; tải được cả tệp đã gỡ.</t>
        </is>
      </c>
      <c r="M126" s="15" t="inlineStr"/>
      <c r="N126" s="18" t="inlineStr">
        <is>
          <t>Chưa test</t>
        </is>
      </c>
      <c r="O126" s="15" t="inlineStr"/>
      <c r="P126" s="15" t="inlineStr"/>
      <c r="Q126" s="18" t="inlineStr">
        <is>
          <t>Chưa test</t>
        </is>
      </c>
      <c r="R126" s="15" t="inlineStr"/>
    </row>
    <row r="127" ht="105" customHeight="1">
      <c r="A127" s="14" t="inlineStr">
        <is>
          <t>TC-ADM2-126</t>
        </is>
      </c>
      <c r="B127" s="15" t="inlineStr">
        <is>
          <t>Admin Console (đợt 2: Nội dung, Thanh toán, Khám phá)</t>
        </is>
      </c>
      <c r="C127" s="15" t="inlineStr">
        <is>
          <t>Nội dung · Media</t>
        </is>
      </c>
      <c r="D127" s="15" t="inlineStr">
        <is>
          <t>API Media: list lọc kind/status/q và summary</t>
        </is>
      </c>
      <c r="E127" s="15" t="inlineStr">
        <is>
          <t>Chức năng</t>
        </is>
      </c>
      <c r="F127" s="16" t="inlineStr">
        <is>
          <t>Cao</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27" s="15" t="inlineStr">
        <is>
          <t>1. GET /content/media/summary
2. GET /content/media?kind=image
3. GET /content/media?status=flagged
4. GET /content/media?status=flagged,removed&amp;sort=size
5. GET /content/media?q=emma
6. GET /content/media?kind=bogus
7. GET /content/media?sort=bogus</t>
        </is>
      </c>
      <c r="K127" s="15" t="inlineStr">
        <is>
          <t>-</t>
        </is>
      </c>
      <c r="L127"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27" s="15" t="inlineStr"/>
      <c r="N127" s="18" t="inlineStr">
        <is>
          <t>Chưa test</t>
        </is>
      </c>
      <c r="O127" s="15" t="inlineStr"/>
      <c r="P127" s="15" t="inlineStr"/>
      <c r="Q127" s="18" t="inlineStr">
        <is>
          <t>Chưa test</t>
        </is>
      </c>
      <c r="R127" s="15" t="inlineStr"/>
    </row>
    <row r="128" ht="30" customHeight="1">
      <c r="A128" s="14" t="inlineStr">
        <is>
          <t>TC-ADM2-127</t>
        </is>
      </c>
      <c r="B128" s="15" t="inlineStr">
        <is>
          <t>Admin Console (đợt 2: Nội dung, Thanh toán, Khám phá)</t>
        </is>
      </c>
      <c r="C128" s="15" t="inlineStr">
        <is>
          <t>Nội dung · Media</t>
        </is>
      </c>
      <c r="D128" s="15" t="inlineStr">
        <is>
          <t>API Media: chi tiết theo key và 404</t>
        </is>
      </c>
      <c r="E128" s="15" t="inlineStr">
        <is>
          <t>Chức năng</t>
        </is>
      </c>
      <c r="F128" s="20" t="inlineStr">
        <is>
          <t>Trung bình</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28" s="15" t="inlineStr">
        <is>
          <t>1. GET /content/media/7e67c7a1b47e2661c431b37641431f15.pdf (notion-template.pdf)
2. GET /content/media/ffffffffffffffffffffffffffffffff.png</t>
        </is>
      </c>
      <c r="K128" s="15" t="inlineStr">
        <is>
          <t>key notion-template.pdf</t>
        </is>
      </c>
      <c r="L128" s="15" t="inlineStr">
        <is>
          <t>Lần 1: 200 status 'flagged', flagReason 'Possible copyrighted material', reports 1, url '/api/files/&lt;key&gt;', history[]; lần 2: 404 'Không tìm thấy file'.</t>
        </is>
      </c>
      <c r="M128" s="15" t="inlineStr"/>
      <c r="N128" s="18" t="inlineStr">
        <is>
          <t>Chưa test</t>
        </is>
      </c>
      <c r="O128" s="15" t="inlineStr"/>
      <c r="P128" s="15" t="inlineStr"/>
      <c r="Q128" s="18" t="inlineStr">
        <is>
          <t>Chưa test</t>
        </is>
      </c>
      <c r="R128" s="15" t="inlineStr"/>
    </row>
    <row r="129" ht="135" customHeight="1">
      <c r="A129" s="14" t="inlineStr">
        <is>
          <t>TC-ADM2-128</t>
        </is>
      </c>
      <c r="B129" s="15" t="inlineStr">
        <is>
          <t>Admin Console (đợt 2: Nội dung, Thanh toán, Khám phá)</t>
        </is>
      </c>
      <c r="C129" s="15" t="inlineStr">
        <is>
          <t>Nội dung · Media</t>
        </is>
      </c>
      <c r="D129" s="15" t="inlineStr">
        <is>
          <t>API Media: flag/unflag/remove/restore và các 409</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29"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29" s="15" t="inlineStr">
        <is>
          <t>budget-preview.png (key 50871a26495c5339209f99291851d627.png)</t>
        </is>
      </c>
      <c r="L129" s="15" t="inlineStr">
        <is>
          <t>Đúng mã/trạng thái từng bước; remove -&gt; status 'removed', url=null; restore -&gt; 'active'; audit đủ media.flag/unflag/remove/restore (targetType=media, targetId=key).</t>
        </is>
      </c>
      <c r="M129" s="15" t="inlineStr"/>
      <c r="N129" s="18" t="inlineStr">
        <is>
          <t>Chưa test</t>
        </is>
      </c>
      <c r="O129" s="15" t="inlineStr"/>
      <c r="P129" s="15" t="inlineStr"/>
      <c r="Q129" s="18" t="inlineStr">
        <is>
          <t>Chưa test</t>
        </is>
      </c>
      <c r="R129" s="15" t="inlineStr"/>
    </row>
    <row r="130" ht="90" customHeight="1">
      <c r="A130" s="14" t="inlineStr">
        <is>
          <t>TC-ADM2-129</t>
        </is>
      </c>
      <c r="B130" s="15" t="inlineStr">
        <is>
          <t>Admin Console (đợt 2: Nội dung, Thanh toán, Khám phá)</t>
        </is>
      </c>
      <c r="C130" s="15" t="inlineStr">
        <is>
          <t>Nội dung · Media</t>
        </is>
      </c>
      <c r="D130" s="15" t="inlineStr">
        <is>
          <t>Tệp bị gỡ: /api/files/&lt;key&gt; 404, biến mất khỏi /me/uploads, admin vẫn tải được; khôi phục phục vụ lại</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30" s="15" t="inlineStr">
        <is>
          <t>1. GET /api/files/&lt;key&gt; (200)
2. Admin POST /content/media/&lt;key&gt;/remove {reason:'Malware'}
3. GET /api/files/&lt;key&gt;
4. member1: GET /api/me/uploads
5. Admin GET /api/admin/content/media/&lt;key&gt;/download với Bearer admin
6. Admin restore, GET /api/files/&lt;key&gt;</t>
        </is>
      </c>
      <c r="K130" s="15" t="inlineStr">
        <is>
          <t>tệp upload mới</t>
        </is>
      </c>
      <c r="L130"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30" s="15" t="inlineStr"/>
      <c r="N130" s="18" t="inlineStr">
        <is>
          <t>Chưa test</t>
        </is>
      </c>
      <c r="O130" s="15" t="inlineStr"/>
      <c r="P130" s="15" t="inlineStr"/>
      <c r="Q130" s="18" t="inlineStr">
        <is>
          <t>Chưa test</t>
        </is>
      </c>
      <c r="R130" s="15" t="inlineStr"/>
    </row>
    <row r="131" ht="45" customHeight="1">
      <c r="A131" s="14" t="inlineStr">
        <is>
          <t>TC-ADM2-130</t>
        </is>
      </c>
      <c r="B131" s="15" t="inlineStr">
        <is>
          <t>Admin Console (đợt 2: Nội dung, Thanh toán, Khám phá)</t>
        </is>
      </c>
      <c r="C131" s="15" t="inlineStr">
        <is>
          <t>Nội dung · Media</t>
        </is>
      </c>
      <c r="D131" s="15" t="inlineStr">
        <is>
          <t>API Media: download trả 404 'File không còn trong storage' cho tệp seed và 401/403 theo quyền</t>
        </is>
      </c>
      <c r="E131" s="15" t="inlineStr">
        <is>
          <t>Bảo mật</t>
        </is>
      </c>
      <c r="F131" s="20" t="inlineStr">
        <is>
          <t>Trung bình</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31" s="15" t="inlineStr">
        <is>
          <t>1. GET /api/admin/content/media/7e67c7a1b47e2661c431b37641431f15.pdf/download (Bearer admin)
2. Cùng URL không token
3. Cùng URL với token member1</t>
        </is>
      </c>
      <c r="K131" s="15" t="inlineStr">
        <is>
          <t>-</t>
        </is>
      </c>
      <c r="L131" s="15" t="inlineStr">
        <is>
          <t>Admin: 404 NOT_FOUND 'File không còn trong storage' (seed không có tệp vật lý); không token 401; member1 403.</t>
        </is>
      </c>
      <c r="M131" s="15" t="inlineStr"/>
      <c r="N131" s="18" t="inlineStr">
        <is>
          <t>Chưa test</t>
        </is>
      </c>
      <c r="O131" s="15" t="inlineStr"/>
      <c r="P131" s="15" t="inlineStr"/>
      <c r="Q131" s="18" t="inlineStr">
        <is>
          <t>Chưa test</t>
        </is>
      </c>
      <c r="R131" s="15" t="inlineStr"/>
    </row>
    <row r="132" ht="45" customHeight="1">
      <c r="A132" s="14" t="inlineStr">
        <is>
          <t>TC-ADM2-131</t>
        </is>
      </c>
      <c r="B132" s="15" t="inlineStr">
        <is>
          <t>Admin Console (đợt 2: Nội dung, Thanh toán, Khám phá)</t>
        </is>
      </c>
      <c r="C132" s="15" t="inlineStr">
        <is>
          <t>Thanh toán · Giao dịch (UI)</t>
        </is>
      </c>
      <c r="D132" s="15" t="inlineStr">
        <is>
          <t>Trang Giao dịch: tiêu đề, chip 7/30/90 ngày (mặc định 30) và 5 KPI</t>
        </is>
      </c>
      <c r="E132" s="15" t="inlineStr">
        <is>
          <t>Giao diện</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Mở /admin/payments/tx
2. Quan sát nhóm chip khoảng thời gian và 5 thẻ KPI
3. Đối chiếu GET /api/admin/payments/transactions/summary?from=&lt;hôm nay − 30 ngày&gt;</t>
        </is>
      </c>
      <c r="K132" s="15" t="inlineStr">
        <is>
          <t>-</t>
        </is>
      </c>
      <c r="L132"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32" s="15" t="inlineStr"/>
      <c r="N132" s="18" t="inlineStr">
        <is>
          <t>Chưa test</t>
        </is>
      </c>
      <c r="O132" s="15" t="inlineStr"/>
      <c r="P132" s="15" t="inlineStr"/>
      <c r="Q132" s="18" t="inlineStr">
        <is>
          <t>Chưa test</t>
        </is>
      </c>
      <c r="R132" s="15" t="inlineStr"/>
    </row>
    <row r="133" ht="30" customHeight="1">
      <c r="A133" s="14" t="inlineStr">
        <is>
          <t>TC-ADM2-132</t>
        </is>
      </c>
      <c r="B133" s="15" t="inlineStr">
        <is>
          <t>Admin Console (đợt 2: Nội dung, Thanh toán, Khám phá)</t>
        </is>
      </c>
      <c r="C133" s="15" t="inlineStr">
        <is>
          <t>Thanh toán · Giao dịch (UI)</t>
        </is>
      </c>
      <c r="D133" s="15" t="inlineStr">
        <is>
          <t>Đổi chip 7/30/90 ngày cập nhật cả KPI và bảng theo cùng from</t>
        </is>
      </c>
      <c r="E133" s="15" t="inlineStr">
        <is>
          <t>Chức năng</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3" s="15" t="inlineStr">
        <is>
          <t>1. Bấm chip '7 ngày', ghi KPI 'Giao dịch' và số dòng tổng của bảng
2. Bấm '90 ngày' và ghi lại</t>
        </is>
      </c>
      <c r="K133" s="15" t="inlineStr">
        <is>
          <t>-</t>
        </is>
      </c>
      <c r="L133"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33" s="15" t="inlineStr"/>
      <c r="N133" s="18" t="inlineStr">
        <is>
          <t>Chưa test</t>
        </is>
      </c>
      <c r="O133" s="15" t="inlineStr"/>
      <c r="P133" s="15" t="inlineStr"/>
      <c r="Q133" s="18" t="inlineStr">
        <is>
          <t>Chưa test</t>
        </is>
      </c>
      <c r="R133" s="15" t="inlineStr"/>
    </row>
    <row r="134" ht="30" customHeight="1">
      <c r="A134" s="14" t="inlineStr">
        <is>
          <t>TC-ADM2-133</t>
        </is>
      </c>
      <c r="B134" s="15" t="inlineStr">
        <is>
          <t>Admin Console (đợt 2: Nội dung, Thanh toán, Khám phá)</t>
        </is>
      </c>
      <c r="C134" s="15" t="inlineStr">
        <is>
          <t>Thanh toán · Giao dịch (UI)</t>
        </is>
      </c>
      <c r="D134" s="15" t="inlineStr">
        <is>
          <t>Bảng Giao dịch: cột và định dạng tiền/ngày/phương thức</t>
        </is>
      </c>
      <c r="E134" s="15" t="inlineStr">
        <is>
          <t>Giao diện</t>
        </is>
      </c>
      <c r="F134" s="20" t="inlineStr">
        <is>
          <t>Trung bình</t>
        </is>
      </c>
      <c r="G134" s="17" t="inlineStr">
        <is>
          <t>Đã hoàn thiện</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4" s="15" t="inlineStr">
        <is>
          <t>1. Chip '90 ngày', ô tìm kiếm gõ 'TXN-F699FA13'</t>
        </is>
      </c>
      <c r="K134" s="15" t="inlineStr">
        <is>
          <t>TXN-F699FA13</t>
        </is>
      </c>
      <c r="L134"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34" s="15" t="inlineStr"/>
      <c r="N134" s="18" t="inlineStr">
        <is>
          <t>Chưa test</t>
        </is>
      </c>
      <c r="O134" s="15" t="inlineStr"/>
      <c r="P134" s="15" t="inlineStr"/>
      <c r="Q134" s="18" t="inlineStr">
        <is>
          <t>Chưa test</t>
        </is>
      </c>
      <c r="R134" s="15" t="inlineStr"/>
    </row>
    <row r="135" ht="30" customHeight="1">
      <c r="A135" s="14" t="inlineStr">
        <is>
          <t>TC-ADM2-134</t>
        </is>
      </c>
      <c r="B135" s="15" t="inlineStr">
        <is>
          <t>Admin Console (đợt 2: Nội dung, Thanh toán, Khám phá)</t>
        </is>
      </c>
      <c r="C135" s="15" t="inlineStr">
        <is>
          <t>Thanh toán · Giao dịch (UI)</t>
        </is>
      </c>
      <c r="D135" s="15" t="inlineStr">
        <is>
          <t>Dòng giao dịch gia hạn hiển thị 'Membership · Renewal'</t>
        </is>
      </c>
      <c r="E135" s="15" t="inlineStr">
        <is>
          <t>Giao diện</t>
        </is>
      </c>
      <c r="F135" s="17" t="inlineStr">
        <is>
          <t>Thấp</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5" s="15" t="inlineStr">
        <is>
          <t>1. Lọc 'Loại' = 'Gia hạn'</t>
        </is>
      </c>
      <c r="K135" s="15" t="inlineStr">
        <is>
          <t>kind=renewal</t>
        </is>
      </c>
      <c r="L135" s="15" t="inlineStr">
        <is>
          <t>Chỉ còn giao dịch gia hạn; cột Sản phẩm = 'Membership · Renewal'.</t>
        </is>
      </c>
      <c r="M135" s="15" t="inlineStr"/>
      <c r="N135" s="18" t="inlineStr">
        <is>
          <t>Chưa test</t>
        </is>
      </c>
      <c r="O135" s="15" t="inlineStr"/>
      <c r="P135" s="15" t="inlineStr"/>
      <c r="Q135" s="18" t="inlineStr">
        <is>
          <t>Chưa test</t>
        </is>
      </c>
      <c r="R135" s="15" t="inlineStr"/>
    </row>
    <row r="136" ht="75" customHeight="1">
      <c r="A136" s="14" t="inlineStr">
        <is>
          <t>TC-ADM2-135</t>
        </is>
      </c>
      <c r="B136" s="15" t="inlineStr">
        <is>
          <t>Admin Console (đợt 2: Nội dung, Thanh toán, Khám phá)</t>
        </is>
      </c>
      <c r="C136" s="15" t="inlineStr">
        <is>
          <t>Thanh toán · Giao dịch (UI)</t>
        </is>
      </c>
      <c r="D136" s="15" t="inlineStr">
        <is>
          <t>Tìm kiếm Giao dịch theo mã TXN, mã hóa đơn INV, email/tên khách, cộng đồng, mã cổng</t>
        </is>
      </c>
      <c r="E136" s="15" t="inlineStr">
        <is>
          <t>Chức năng</t>
        </is>
      </c>
      <c r="F136" s="16" t="inlineStr">
        <is>
          <t>Cao</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6" s="15" t="inlineStr">
        <is>
          <t>1. Chip '90 ngày'. Gõ 'TXN-763C9F36'
2. Gõ 'INV-2026-900064'
3. Gõ 'maya'
4. Gõ 'Pixel'
5. Gõ 'mock_ch_seed_1'</t>
        </is>
      </c>
      <c r="K136" s="15" t="inlineStr">
        <is>
          <t>TXN-763C9F36 | INV-2026-900064 | maya | Pixel | mock_ch_seed_1</t>
        </is>
      </c>
      <c r="L136"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36" s="15" t="inlineStr"/>
      <c r="N136" s="18" t="inlineStr">
        <is>
          <t>Chưa test</t>
        </is>
      </c>
      <c r="O136" s="15" t="inlineStr"/>
      <c r="P136" s="15" t="inlineStr"/>
      <c r="Q136" s="18" t="inlineStr">
        <is>
          <t>Chưa test</t>
        </is>
      </c>
      <c r="R136" s="15" t="inlineStr"/>
    </row>
    <row r="137" ht="30" customHeight="1">
      <c r="A137" s="14" t="inlineStr">
        <is>
          <t>TC-ADM2-136</t>
        </is>
      </c>
      <c r="B137" s="15" t="inlineStr">
        <is>
          <t>Admin Console (đợt 2: Nội dung, Thanh toán, Khám phá)</t>
        </is>
      </c>
      <c r="C137" s="15" t="inlineStr">
        <is>
          <t>Thanh toán · Giao dịch (UI)</t>
        </is>
      </c>
      <c r="D137" s="15" t="inlineStr">
        <is>
          <t>Lọc theo Trạng thái: Thành công / Thất bại / Đang chờ / Đã hoàn tiền</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7" s="15" t="inlineStr">
        <is>
          <t>1. Chip '90 ngày'. Lọc 'Trạng thái' lần lượt 4 giá trị
2. Lọc kết hợp 'Thất bại' + 'Loại' = 'Lần đầu'</t>
        </is>
      </c>
      <c r="K137" s="15" t="inlineStr">
        <is>
          <t>-</t>
        </is>
      </c>
      <c r="L137" s="15" t="inlineStr">
        <is>
          <t>'Đang chờ': 2 dòng (TXN-70F1FA03, TXN-E2DB5581); 'Thất bại': 9 dòng; 'Đã hoàn tiền': 3 dòng (TXN-BE8C2E88, TXN-E9A88057, TXN-EFAAEA9E); kết hợp thất bại + lần đầu: 3 dòng (TXN-5ECCCEFC, TXN-6134AE3A, TXN-EDCA0F1F).</t>
        </is>
      </c>
      <c r="M137" s="15" t="inlineStr"/>
      <c r="N137" s="18" t="inlineStr">
        <is>
          <t>Chưa test</t>
        </is>
      </c>
      <c r="O137" s="15" t="inlineStr"/>
      <c r="P137" s="15" t="inlineStr"/>
      <c r="Q137" s="18" t="inlineStr">
        <is>
          <t>Chưa test</t>
        </is>
      </c>
      <c r="R137" s="15" t="inlineStr"/>
    </row>
    <row r="138" ht="30" customHeight="1">
      <c r="A138" s="14" t="inlineStr">
        <is>
          <t>TC-ADM2-137</t>
        </is>
      </c>
      <c r="B138" s="15" t="inlineStr">
        <is>
          <t>Admin Console (đợt 2: Nội dung, Thanh toán, Khám phá)</t>
        </is>
      </c>
      <c r="C138" s="15" t="inlineStr">
        <is>
          <t>Thanh toán · Giao dịch (UI)</t>
        </is>
      </c>
      <c r="D138" s="15" t="inlineStr">
        <is>
          <t>Lọc theo Phương thức thanh toán (Stripe/VNPay/MoMo)</t>
        </is>
      </c>
      <c r="E138" s="15" t="inlineStr">
        <is>
          <t>Chức năng</t>
        </is>
      </c>
      <c r="F138" s="20" t="inlineStr">
        <is>
          <t>Trung bình</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8" s="15" t="inlineStr">
        <is>
          <t>1. Lọc lần lượt 'Stripe', 'VNPay', 'MoMo'</t>
        </is>
      </c>
      <c r="K138" s="15" t="inlineStr">
        <is>
          <t>-</t>
        </is>
      </c>
      <c r="L138" s="15" t="inlineStr">
        <is>
          <t>Mỗi lần cột 'Phương thức' chỉ có đúng nhãn đã chọn; ví dụ MoMo chứa TXN-70F1FA03, TXN-6134AE3A, TXN-BE8C2E88.</t>
        </is>
      </c>
      <c r="M138" s="15" t="inlineStr"/>
      <c r="N138" s="18" t="inlineStr">
        <is>
          <t>Chưa test</t>
        </is>
      </c>
      <c r="O138" s="15" t="inlineStr"/>
      <c r="P138" s="15" t="inlineStr"/>
      <c r="Q138" s="18" t="inlineStr">
        <is>
          <t>Chưa test</t>
        </is>
      </c>
      <c r="R138" s="15" t="inlineStr"/>
    </row>
    <row r="139" ht="60" customHeight="1">
      <c r="A139" s="14" t="inlineStr">
        <is>
          <t>TC-ADM2-138</t>
        </is>
      </c>
      <c r="B139" s="15" t="inlineStr">
        <is>
          <t>Admin Console (đợt 2: Nội dung, Thanh toán, Khám phá)</t>
        </is>
      </c>
      <c r="C139" s="15" t="inlineStr">
        <is>
          <t>Thanh toán · Giao dịch (UI)</t>
        </is>
      </c>
      <c r="D139" s="15" t="inlineStr">
        <is>
          <t>Sắp xếp Giao dịch: mới nhất (mặc định), Cũ nhất, Số tiền cao nhất</t>
        </is>
      </c>
      <c r="E139" s="15" t="inlineStr">
        <is>
          <t>Chức năng</t>
        </is>
      </c>
      <c r="F139" s="20" t="inlineStr">
        <is>
          <t>Trung bình</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9" s="15" t="inlineStr">
        <is>
          <t>1. Chip '90 ngày'
2. Chọn 'Cũ nhất'
3. Chọn 'Số tiền cao nhất'
4. 'Xóa bộ lọc'</t>
        </is>
      </c>
      <c r="K139" s="15" t="inlineStr">
        <is>
          <t>-</t>
        </is>
      </c>
      <c r="L139" s="15" t="inlineStr">
        <is>
          <t>Cũ nhất: ngày tăng dần; Số tiền cao nhất: các giao dịch $99 lên đầu rồi $79, $49...; 'Xóa bộ lọc' về mới nhất.</t>
        </is>
      </c>
      <c r="M139" s="15" t="inlineStr"/>
      <c r="N139" s="18" t="inlineStr">
        <is>
          <t>Chưa test</t>
        </is>
      </c>
      <c r="O139" s="15" t="inlineStr"/>
      <c r="P139" s="15" t="inlineStr"/>
      <c r="Q139" s="18" t="inlineStr">
        <is>
          <t>Chưa test</t>
        </is>
      </c>
      <c r="R139" s="15" t="inlineStr"/>
    </row>
    <row r="140" ht="30" customHeight="1">
      <c r="A140" s="14" t="inlineStr">
        <is>
          <t>TC-ADM2-139</t>
        </is>
      </c>
      <c r="B140" s="15" t="inlineStr">
        <is>
          <t>Admin Console (đợt 2: Nội dung, Thanh toán, Khám phá)</t>
        </is>
      </c>
      <c r="C140" s="15" t="inlineStr">
        <is>
          <t>Thanh toán · Giao dịch (UI)</t>
        </is>
      </c>
      <c r="D140" s="15" t="inlineStr">
        <is>
          <t>Phân trang Giao dịch 20 dòng/trang và sang trang 2, trang cuối</t>
        </is>
      </c>
      <c r="E140" s="15" t="inlineStr">
        <is>
          <t>Chức năng</t>
        </is>
      </c>
      <c r="F140" s="20" t="inlineStr">
        <is>
          <t>Trung bình</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40" s="15" t="inlineStr">
        <is>
          <t>1. Chip '90 ngày' (≈110 dòng)
2. Bấm 'Trang sau' liên tục tới trang cuối</t>
        </is>
      </c>
      <c r="K140" s="15" t="inlineStr">
        <is>
          <t>-</t>
        </is>
      </c>
      <c r="L140" s="15" t="inlineStr">
        <is>
          <t>Trang 1 có 20 dòng; trang cuối có số dòng còn lại (≈10); 'Trang sau' bị vô hiệu ở trang cuối; tổng trang = ceil(tổng/20).</t>
        </is>
      </c>
      <c r="M140" s="15" t="inlineStr"/>
      <c r="N140" s="18" t="inlineStr">
        <is>
          <t>Chưa test</t>
        </is>
      </c>
      <c r="O140" s="15" t="inlineStr"/>
      <c r="P140" s="15" t="inlineStr"/>
      <c r="Q140" s="18" t="inlineStr">
        <is>
          <t>Chưa test</t>
        </is>
      </c>
      <c r="R140" s="15" t="inlineStr"/>
    </row>
    <row r="141" ht="30" customHeight="1">
      <c r="A141" s="14" t="inlineStr">
        <is>
          <t>TC-ADM2-140</t>
        </is>
      </c>
      <c r="B141" s="15" t="inlineStr">
        <is>
          <t>Admin Console (đợt 2: Nội dung, Thanh toán, Khám phá)</t>
        </is>
      </c>
      <c r="C141" s="15" t="inlineStr">
        <is>
          <t>Thanh toán · Giao dịch (UI)</t>
        </is>
      </c>
      <c r="D141" s="15" t="inlineStr">
        <is>
          <t>Trạng thái rỗng / tải / lỗi của bảng Giao dịch</t>
        </is>
      </c>
      <c r="E141" s="15" t="inlineStr">
        <is>
          <t>Giao diện</t>
        </is>
      </c>
      <c r="F141" s="20" t="inlineStr">
        <is>
          <t>Trung bình</t>
        </is>
      </c>
      <c r="G141" s="17" t="inlineStr">
        <is>
          <t>Đã hoàn thiện</t>
        </is>
      </c>
      <c r="H141" s="20" t="inlineStr">
        <is>
          <t>Một phần</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41" s="15" t="inlineStr">
        <is>
          <t>1. Gõ 'zzzkhongco' vào ô tìm
2. Chặn /api/admin/payments/transactions rồi F5, bỏ chặn, bấm 'Thử lại'</t>
        </is>
      </c>
      <c r="K141" s="15" t="inlineStr">
        <is>
          <t>-</t>
        </is>
      </c>
      <c r="L141" s="15" t="inlineStr">
        <is>
          <t>Rỗng: 'Không có kết quả phù hợp.'; đang tải: 'Đang tải…'; lỗi: khối lỗi + nút 'Thử lại' tải lại được.</t>
        </is>
      </c>
      <c r="M141" s="15" t="inlineStr"/>
      <c r="N141" s="18" t="inlineStr">
        <is>
          <t>Chưa test</t>
        </is>
      </c>
      <c r="O141" s="15" t="inlineStr"/>
      <c r="P141" s="15" t="inlineStr"/>
      <c r="Q141" s="18" t="inlineStr">
        <is>
          <t>Chưa test</t>
        </is>
      </c>
      <c r="R141" s="15" t="inlineStr"/>
    </row>
    <row r="142" ht="60" customHeight="1">
      <c r="A142" s="14" t="inlineStr">
        <is>
          <t>TC-ADM2-141</t>
        </is>
      </c>
      <c r="B142" s="15" t="inlineStr">
        <is>
          <t>Admin Console (đợt 2: Nội dung, Thanh toán, Khám phá)</t>
        </is>
      </c>
      <c r="C142" s="15" t="inlineStr">
        <is>
          <t>Thanh toán · Giao dịch (UI)</t>
        </is>
      </c>
      <c r="D142" s="15" t="inlineStr">
        <is>
          <t>Menu dòng Giao dịch: 'Xem' luôn có; 'Hoàn tiền' chỉ khi Thành công</t>
        </is>
      </c>
      <c r="E142" s="15" t="inlineStr">
        <is>
          <t>Chức năng</t>
        </is>
      </c>
      <c r="F142" s="16" t="inlineStr">
        <is>
          <t>Cao</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42" s="15" t="inlineStr">
        <is>
          <t>1. Menu dòng TXN-763C9F36 (Thành công)
2. Menu TXN-5ECCCEFC (Thất bại)
3. Menu TXN-BE8C2E88 (Đã hoàn)
4. Menu TXN-70F1FA03 (Đang chờ)</t>
        </is>
      </c>
      <c r="K142" s="15" t="inlineStr">
        <is>
          <t>-</t>
        </is>
      </c>
      <c r="L142" s="15" t="inlineStr">
        <is>
          <t>Thành công: Xem, Hoàn tiền; Thất bại/Đã hoàn/Đang chờ: chỉ 'Xem'. Bấm cả dòng mở /admin/payments/tx/&lt;id&gt;.</t>
        </is>
      </c>
      <c r="M142" s="15" t="inlineStr"/>
      <c r="N142" s="18" t="inlineStr">
        <is>
          <t>Chưa test</t>
        </is>
      </c>
      <c r="O142" s="15" t="inlineStr"/>
      <c r="P142" s="15" t="inlineStr"/>
      <c r="Q142" s="18" t="inlineStr">
        <is>
          <t>Chưa test</t>
        </is>
      </c>
      <c r="R142" s="15" t="inlineStr"/>
    </row>
    <row r="143" ht="30" customHeight="1">
      <c r="A143" s="14" t="inlineStr">
        <is>
          <t>TC-ADM2-142</t>
        </is>
      </c>
      <c r="B143" s="15" t="inlineStr">
        <is>
          <t>Admin Console (đợt 2: Nội dung, Thanh toán, Khám phá)</t>
        </is>
      </c>
      <c r="C143" s="15" t="inlineStr">
        <is>
          <t>Thanh toán · Giao dịch (UI)</t>
        </is>
      </c>
      <c r="D143" s="15" t="inlineStr">
        <is>
          <t>Chi tiết giao dịch thành công: KPI, 3 thẻ thông tin, chi tiết thanh toán, dòng thời gian</t>
        </is>
      </c>
      <c r="E143" s="15" t="inlineStr">
        <is>
          <t>Giao diện</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43" s="15" t="inlineStr">
        <is>
          <t>1. Mở chi tiết TXN-763C9F36</t>
        </is>
      </c>
      <c r="K143" s="15" t="inlineStr">
        <is>
          <t>TXN-763C9F36</t>
        </is>
      </c>
      <c r="L143"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43" s="15" t="inlineStr"/>
      <c r="N143" s="18" t="inlineStr">
        <is>
          <t>Chưa test</t>
        </is>
      </c>
      <c r="O143" s="15" t="inlineStr"/>
      <c r="P143" s="15" t="inlineStr"/>
      <c r="Q143" s="18" t="inlineStr">
        <is>
          <t>Chưa test</t>
        </is>
      </c>
      <c r="R143" s="15" t="inlineStr"/>
    </row>
    <row r="144" ht="30" customHeight="1">
      <c r="A144" s="14" t="inlineStr">
        <is>
          <t>TC-ADM2-143</t>
        </is>
      </c>
      <c r="B144" s="15" t="inlineStr">
        <is>
          <t>Admin Console (đợt 2: Nội dung, Thanh toán, Khám phá)</t>
        </is>
      </c>
      <c r="C144" s="15" t="inlineStr">
        <is>
          <t>Thanh toán · Giao dịch (UI)</t>
        </is>
      </c>
      <c r="D144" s="15" t="inlineStr">
        <is>
          <t>Chi tiết giao dịch thất bại: lý do, nút 'Thử lại', timeline 'Thanh toán thất bại', creator nhận $0</t>
        </is>
      </c>
      <c r="E144" s="15" t="inlineStr">
        <is>
          <t>Giao diện</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44" s="15" t="inlineStr">
        <is>
          <t>1. Mở chi tiết TXN-5ECCCEFC</t>
        </is>
      </c>
      <c r="K144" s="15" t="inlineStr">
        <is>
          <t>TXN-5ECCCEFC</t>
        </is>
      </c>
      <c r="L144" s="15" t="inlineStr">
        <is>
          <t>Trạng thái 'Thất bại'; 'Lý do thất bại' = processing_error trong 'Chi tiết thanh toán'; Hóa đơn '—'; Phí nền tảng $0.00, Creator nhận $0.00; timeline có 'Thanh toán thất bại'; có nút 'Thử lại' (xanh) và KHÔNG có 'Hoàn tiền'.</t>
        </is>
      </c>
      <c r="M144" s="15" t="inlineStr"/>
      <c r="N144" s="18" t="inlineStr">
        <is>
          <t>Chưa test</t>
        </is>
      </c>
      <c r="O144" s="15" t="inlineStr"/>
      <c r="P144" s="15" t="inlineStr"/>
      <c r="Q144" s="18" t="inlineStr">
        <is>
          <t>Chưa test</t>
        </is>
      </c>
      <c r="R144" s="15" t="inlineStr"/>
    </row>
    <row r="145" ht="30" customHeight="1">
      <c r="A145" s="14" t="inlineStr">
        <is>
          <t>TC-ADM2-144</t>
        </is>
      </c>
      <c r="B145" s="15" t="inlineStr">
        <is>
          <t>Admin Console (đợt 2: Nội dung, Thanh toán, Khám phá)</t>
        </is>
      </c>
      <c r="C145" s="15" t="inlineStr">
        <is>
          <t>Thanh toán · Giao dịch (UI)</t>
        </is>
      </c>
      <c r="D145" s="15" t="inlineStr">
        <is>
          <t>Chi tiết giao dịch đã hoàn một phần/toàn phần: số liệu phí sau hoàn tiền</t>
        </is>
      </c>
      <c r="E145" s="15" t="inlineStr">
        <is>
          <t>Chức năng</t>
        </is>
      </c>
      <c r="F145" s="16" t="inlineStr">
        <is>
          <t>Cao</t>
        </is>
      </c>
      <c r="G145" s="17" t="inlineStr">
        <is>
          <t>Đã hoàn thiện</t>
        </is>
      </c>
      <c r="H145" s="17" t="inlineStr">
        <is>
          <t>Có</t>
        </is>
      </c>
      <c r="I1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45" s="15" t="inlineStr">
        <is>
          <t>1. Mở chi tiết TXN-E9A88057 (hoàn một phần)
2. Mở TXN-BE8C2E88 (hoàn đủ)</t>
        </is>
      </c>
      <c r="K145" s="15" t="inlineStr">
        <is>
          <t>TXN-E9A88057, TXN-BE8C2E88</t>
        </is>
      </c>
      <c r="L145"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45" s="15" t="inlineStr"/>
      <c r="N145" s="18" t="inlineStr">
        <is>
          <t>Chưa test</t>
        </is>
      </c>
      <c r="O145" s="15" t="inlineStr"/>
      <c r="P145" s="15" t="inlineStr"/>
      <c r="Q145" s="18" t="inlineStr">
        <is>
          <t>Chưa test</t>
        </is>
      </c>
      <c r="R145" s="15" t="inlineStr"/>
    </row>
    <row r="146" ht="30" customHeight="1">
      <c r="A146" s="14" t="inlineStr">
        <is>
          <t>TC-ADM2-145</t>
        </is>
      </c>
      <c r="B146" s="15" t="inlineStr">
        <is>
          <t>Admin Console (đợt 2: Nội dung, Thanh toán, Khám phá)</t>
        </is>
      </c>
      <c r="C146" s="15" t="inlineStr">
        <is>
          <t>Thanh toán · Giao dịch (UI)</t>
        </is>
      </c>
      <c r="D146" s="15" t="inlineStr">
        <is>
          <t>Chi tiết giao dịch có tranh chấp liệt kê CB và nhãn lý do</t>
        </is>
      </c>
      <c r="E146" s="15" t="inlineStr">
        <is>
          <t>Chức năng</t>
        </is>
      </c>
      <c r="F146" s="20" t="inlineStr">
        <is>
          <t>Trung bình</t>
        </is>
      </c>
      <c r="G146" s="17" t="inlineStr">
        <is>
          <t>Đã hoàn thiện</t>
        </is>
      </c>
      <c r="H146" s="17" t="inlineStr">
        <is>
          <t>Có</t>
        </is>
      </c>
      <c r="I1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46" s="15" t="inlineStr">
        <is>
          <t>1. Mở chi tiết TXN-EFAAEA9E (đã hoàn, có tranh chấp Noah 'Gian lận' đã thua)</t>
        </is>
      </c>
      <c r="K146" s="15" t="inlineStr">
        <is>
          <t>TXN-EFAAEA9E</t>
        </is>
      </c>
      <c r="L146" s="15" t="inlineStr">
        <is>
          <t>Thẻ 'Hoàn tiền &amp; tranh chấp' có RF-F7E223A6 ('Hoàn tất') và 1 tranh chấp 'CB-000nn · $49.00 · Gian lận' trạng thái 'Thua'; timeline có 'Tranh chấp thanh toán' và 'Đã hoàn tiền'.</t>
        </is>
      </c>
      <c r="M146" s="15" t="inlineStr"/>
      <c r="N146" s="18" t="inlineStr">
        <is>
          <t>Chưa test</t>
        </is>
      </c>
      <c r="O146" s="15" t="inlineStr"/>
      <c r="P146" s="15" t="inlineStr"/>
      <c r="Q146" s="18" t="inlineStr">
        <is>
          <t>Chưa test</t>
        </is>
      </c>
      <c r="R146" s="15" t="inlineStr"/>
    </row>
    <row r="147" ht="30" customHeight="1">
      <c r="A147" s="14" t="inlineStr">
        <is>
          <t>TC-ADM2-146</t>
        </is>
      </c>
      <c r="B147" s="15" t="inlineStr">
        <is>
          <t>Admin Console (đợt 2: Nội dung, Thanh toán, Khám phá)</t>
        </is>
      </c>
      <c r="C147" s="15" t="inlineStr">
        <is>
          <t>Thanh toán · Giao dịch (UI)</t>
        </is>
      </c>
      <c r="D147" s="15" t="inlineStr">
        <is>
          <t>Chi tiết giao dịch: mã không tồn tại hiện khối lỗi</t>
        </is>
      </c>
      <c r="E147" s="15" t="inlineStr">
        <is>
          <t>Giao diện</t>
        </is>
      </c>
      <c r="F147" s="17" t="inlineStr">
        <is>
          <t>Thấp</t>
        </is>
      </c>
      <c r="G147" s="17" t="inlineStr">
        <is>
          <t>Đã hoàn thiện</t>
        </is>
      </c>
      <c r="H147" s="17" t="inlineStr">
        <is>
          <t>Có</t>
        </is>
      </c>
      <c r="I1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47" s="15" t="inlineStr">
        <is>
          <t>1. Mở http://localhost:5173/admin/payments/tx/khong-ton-tai</t>
        </is>
      </c>
      <c r="K147" s="15" t="inlineStr">
        <is>
          <t>khong-ton-tai</t>
        </is>
      </c>
      <c r="L147" s="15" t="inlineStr">
        <is>
          <t>Khối lỗi 'Không tìm thấy giao dịch' (404) + nút 'Thử lại'; không màn trắng.</t>
        </is>
      </c>
      <c r="M147" s="15" t="inlineStr"/>
      <c r="N147" s="18" t="inlineStr">
        <is>
          <t>Chưa test</t>
        </is>
      </c>
      <c r="O147" s="15" t="inlineStr"/>
      <c r="P147" s="15" t="inlineStr"/>
      <c r="Q147" s="18" t="inlineStr">
        <is>
          <t>Chưa test</t>
        </is>
      </c>
      <c r="R147" s="15" t="inlineStr"/>
    </row>
    <row r="148" ht="60" customHeight="1">
      <c r="A148" s="14" t="inlineStr">
        <is>
          <t>TC-ADM2-147</t>
        </is>
      </c>
      <c r="B148" s="15" t="inlineStr">
        <is>
          <t>Admin Console (đợt 2: Nội dung, Thanh toán, Khám phá)</t>
        </is>
      </c>
      <c r="C148" s="15" t="inlineStr">
        <is>
          <t>Thanh toán · Giao dịch (UI)</t>
        </is>
      </c>
      <c r="D148" s="15" t="inlineStr">
        <is>
          <t>Hoàn tiền từ bảng: modal có số tiền mặc định bằng phần còn lại, 8 lý do, validate số tiền</t>
        </is>
      </c>
      <c r="E148" s="15" t="inlineStr">
        <is>
          <t>Chức năng</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48" s="15" t="inlineStr">
        <is>
          <t>1. Chip '90 ngày', menu dòng TXN-E8AF54EA ($99) &gt; 'Hoàn tiền'
2. Quan sát ô 'Số tiền hoàn (USD)'
3. Nhập 0, 99.01, abc, 12.345, 50
4. Xem danh sách lý do</t>
        </is>
      </c>
      <c r="K148" s="15" t="inlineStr">
        <is>
          <t>TXN-E8AF54EA</t>
        </is>
      </c>
      <c r="L148"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48" s="15" t="inlineStr"/>
      <c r="N148" s="18" t="inlineStr">
        <is>
          <t>Chưa test</t>
        </is>
      </c>
      <c r="O148" s="15" t="inlineStr"/>
      <c r="P148" s="15" t="inlineStr"/>
      <c r="Q148" s="18" t="inlineStr">
        <is>
          <t>Chưa test</t>
        </is>
      </c>
      <c r="R148" s="15" t="inlineStr"/>
    </row>
    <row r="149" ht="60" customHeight="1">
      <c r="A149" s="14" t="inlineStr">
        <is>
          <t>TC-ADM2-148</t>
        </is>
      </c>
      <c r="B149" s="15" t="inlineStr">
        <is>
          <t>Admin Console (đợt 2: Nội dung, Thanh toán, Khám phá)</t>
        </is>
      </c>
      <c r="C149" s="15" t="inlineStr">
        <is>
          <t>Thanh toán · Giao dịch (UI)</t>
        </is>
      </c>
      <c r="D149" s="15" t="inlineStr">
        <is>
          <t>Hoàn tiền một phần từ bảng: trạng thái, KPI và thông báo khách</t>
        </is>
      </c>
      <c r="E149" s="15" t="inlineStr">
        <is>
          <t>Chức năng</t>
        </is>
      </c>
      <c r="F149" s="16" t="inlineStr">
        <is>
          <t>Cao</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49" s="15" t="inlineStr">
        <is>
          <t>1. Hoàn TXN-E8AF54EA số tiền 40.00, lý do 'Đổi ý', ghi chú 'QA một phần'
2. Quan sát toast, dòng và KPI 'Hoàn tiền'
3. Mở chi tiết giao dịch
4. Đăng nhập ethan@ xem thông báo</t>
        </is>
      </c>
      <c r="K149" s="15" t="inlineStr">
        <is>
          <t>40.00 USD</t>
        </is>
      </c>
      <c r="L149"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49" s="15" t="inlineStr"/>
      <c r="N149" s="18" t="inlineStr">
        <is>
          <t>Chưa test</t>
        </is>
      </c>
      <c r="O149" s="15" t="inlineStr"/>
      <c r="P149" s="15" t="inlineStr"/>
      <c r="Q149" s="18" t="inlineStr">
        <is>
          <t>Chưa test</t>
        </is>
      </c>
      <c r="R149" s="15" t="inlineStr"/>
    </row>
    <row r="150" ht="30" customHeight="1">
      <c r="A150" s="14" t="inlineStr">
        <is>
          <t>TC-ADM2-149</t>
        </is>
      </c>
      <c r="B150" s="15" t="inlineStr">
        <is>
          <t>Admin Console (đợt 2: Nội dung, Thanh toán, Khám phá)</t>
        </is>
      </c>
      <c r="C150" s="15" t="inlineStr">
        <is>
          <t>Thanh toán · Giao dịch (UI)</t>
        </is>
      </c>
      <c r="D150" s="15" t="inlineStr">
        <is>
          <t>Hoàn tiền toàn phần giao dịch lẻ: trạng thái và KHÔNG thu hồi quyền vì không có gói</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50" s="15" t="inlineStr">
        <is>
          <t>1. Hoàn TXN-84E9A3BA ($29, Ava, code-camp) toàn bộ, lý do 'Mua nhầm'
2. Đăng nhập ava@ kiểm tra GET /api/courses/code-camp/posts</t>
        </is>
      </c>
      <c r="K150" s="15" t="inlineStr">
        <is>
          <t>TXN-84E9A3BA</t>
        </is>
      </c>
      <c r="L150" s="15" t="inlineStr">
        <is>
          <t>Dòng 'Đã hoàn tiền', Đã hoàn $29.00, Creator nhận −$1.14; vì giao dịch lẻ (không gắn gói) nên Ava vẫn là thành viên code-camp (thu hồi quyền chỉ xảy ra khi giao dịch là kỳ hiện tại của một gói).</t>
        </is>
      </c>
      <c r="M150" s="15" t="inlineStr"/>
      <c r="N150" s="18" t="inlineStr">
        <is>
          <t>Chưa test</t>
        </is>
      </c>
      <c r="O150" s="15" t="inlineStr"/>
      <c r="P150" s="15" t="inlineStr"/>
      <c r="Q150" s="18" t="inlineStr">
        <is>
          <t>Chưa test</t>
        </is>
      </c>
      <c r="R150" s="15" t="inlineStr"/>
    </row>
    <row r="151" ht="30" customHeight="1">
      <c r="A151" s="14" t="inlineStr">
        <is>
          <t>TC-ADM2-150</t>
        </is>
      </c>
      <c r="B151" s="15" t="inlineStr">
        <is>
          <t>Admin Console (đợt 2: Nội dung, Thanh toán, Khám phá)</t>
        </is>
      </c>
      <c r="C151" s="15" t="inlineStr">
        <is>
          <t>Thanh toán · Giao dịch (UI)</t>
        </is>
      </c>
      <c r="D151" s="15" t="inlineStr">
        <is>
          <t>Giao dịch có yêu cầu hoàn tiền đang chờ: Hoàn tiền trực tiếp báo 409 trong modal</t>
        </is>
      </c>
      <c r="E151" s="15" t="inlineStr">
        <is>
          <t>Chức năng</t>
        </is>
      </c>
      <c r="F151" s="20" t="inlineStr">
        <is>
          <t>Trung bình</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51" s="15" t="inlineStr">
        <is>
          <t>1. Menu TXN-763C9F36 (có RF-1542230F đang chờ) &gt; 'Hoàn tiền' &gt; chọn lý do &gt; xác nhận</t>
        </is>
      </c>
      <c r="K151" s="15" t="inlineStr">
        <is>
          <t>TXN-763C9F36</t>
        </is>
      </c>
      <c r="L151" s="15" t="inlineStr">
        <is>
          <t>Modal không đóng, hiện 'Giao dịch này đang có yêu cầu hoàn tiền chờ xử lý — hãy duyệt ở mục Refunds' (409); không đổi dữ liệu.</t>
        </is>
      </c>
      <c r="M151" s="15" t="inlineStr"/>
      <c r="N151" s="18" t="inlineStr">
        <is>
          <t>Chưa test</t>
        </is>
      </c>
      <c r="O151" s="15" t="inlineStr"/>
      <c r="P151" s="15" t="inlineStr"/>
      <c r="Q151" s="18" t="inlineStr">
        <is>
          <t>Chưa test</t>
        </is>
      </c>
      <c r="R151" s="15" t="inlineStr"/>
    </row>
    <row r="152" ht="60" customHeight="1">
      <c r="A152" s="14" t="inlineStr">
        <is>
          <t>TC-ADM2-151</t>
        </is>
      </c>
      <c r="B152" s="15" t="inlineStr">
        <is>
          <t>Admin Console (đợt 2: Nội dung, Thanh toán, Khám phá)</t>
        </is>
      </c>
      <c r="C152" s="15" t="inlineStr">
        <is>
          <t>Thanh toán · Giao dịch (UI)</t>
        </is>
      </c>
      <c r="D152" s="15" t="inlineStr">
        <is>
          <t>Thử lại thanh toán thất bại lần đầu: thành công kích hoạt gói + cấp hóa đơn</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52" s="15" t="inlineStr">
        <is>
          <t>1. Mở chi tiết TXN-EDCA0F1F (Ethan, fit-forever, $79, expired_card)
2. Bấm 'Thử lại' &gt; ghi chú 'Khách đổi thẻ' &gt; 'Thử lại'
3. Quan sát toast và trạng thái
4. Mở /admin/payments/subs tìm 'Ethan'</t>
        </is>
      </c>
      <c r="K152" s="15" t="inlineStr">
        <is>
          <t>TXN-EDCA0F1F</t>
        </is>
      </c>
      <c r="L152" s="15" t="inlineStr">
        <is>
          <t>Modal 'Thử lại thanh toán?' ('Cổng thanh toán sẽ được gọi lại.'); toast 'Đã gửi yêu cầu thử lại'; mock gateway luôn thành công -&gt; trạng thái 'Thành công', có hóa đơn INV-..., Ethan được cấp quyền fit-forever và có gói 'Hoạt động' mới; audit payment.retry (metadata.result=succeeded); nút 'Thử lại' biến mất, xuất hiện 'Hoàn tiền'. [GATEWAY MOCK - chưa tích hợp cổng thật]</t>
        </is>
      </c>
      <c r="M152" s="15" t="inlineStr"/>
      <c r="N152" s="18" t="inlineStr">
        <is>
          <t>Chưa test</t>
        </is>
      </c>
      <c r="O152" s="15" t="inlineStr"/>
      <c r="P152" s="15" t="inlineStr"/>
      <c r="Q152" s="18" t="inlineStr">
        <is>
          <t>Chưa test</t>
        </is>
      </c>
      <c r="R152" s="15" t="inlineStr"/>
    </row>
    <row r="153" ht="30" customHeight="1">
      <c r="A153" s="14" t="inlineStr">
        <is>
          <t>TC-ADM2-152</t>
        </is>
      </c>
      <c r="B153" s="15" t="inlineStr">
        <is>
          <t>Admin Console (đợt 2: Nội dung, Thanh toán, Khám phá)</t>
        </is>
      </c>
      <c r="C153" s="15" t="inlineStr">
        <is>
          <t>Thanh toán · Giao dịch (UI)</t>
        </is>
      </c>
      <c r="D153" s="15" t="inlineStr">
        <is>
          <t>Thử lại giao dịch gia hạn thất bại báo 409 (gia hạn do hệ thống tự chạy)</t>
        </is>
      </c>
      <c r="E153" s="15" t="inlineStr">
        <is>
          <t>Chức năng</t>
        </is>
      </c>
      <c r="F153" s="20" t="inlineStr">
        <is>
          <t>Trung bình</t>
        </is>
      </c>
      <c r="G153" s="17" t="inlineStr">
        <is>
          <t>Đã hoàn thiện</t>
        </is>
      </c>
      <c r="H153" s="17" t="inlineStr">
        <is>
          <t>Có</t>
        </is>
      </c>
      <c r="I1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53" s="15" t="inlineStr">
        <is>
          <t>1. GET /payments/transactions?status=failed&amp;kind=renewal (ví dụ TXN-39DFEEE3 Maya)
2. POST /payments/transactions/&lt;id&gt;/retry {}</t>
        </is>
      </c>
      <c r="K153" s="15" t="inlineStr">
        <is>
          <t>TXN-39DFEEE3</t>
        </is>
      </c>
      <c r="L153" s="15" t="inlineStr">
        <is>
          <t>409 'Chỉ thử lại được giao dịch thanh toán lần đầu; gia hạn do hệ thống tự chạy'; trong UI chi tiết TXN-39DFEEE3 KHÔNG hiển thị nút 'Thử lại' (chỉ khi kind=initial).</t>
        </is>
      </c>
      <c r="M153" s="15" t="inlineStr"/>
      <c r="N153" s="18" t="inlineStr">
        <is>
          <t>Chưa test</t>
        </is>
      </c>
      <c r="O153" s="15" t="inlineStr"/>
      <c r="P153" s="15" t="inlineStr"/>
      <c r="Q153" s="18" t="inlineStr">
        <is>
          <t>Chưa test</t>
        </is>
      </c>
      <c r="R153" s="15" t="inlineStr"/>
    </row>
    <row r="154" ht="60" customHeight="1">
      <c r="A154" s="14" t="inlineStr">
        <is>
          <t>TC-ADM2-153</t>
        </is>
      </c>
      <c r="B154" s="15" t="inlineStr">
        <is>
          <t>Admin Console (đợt 2: Nội dung, Thanh toán, Khám phá)</t>
        </is>
      </c>
      <c r="C154" s="15" t="inlineStr">
        <is>
          <t>Thanh toán · Giao dịch (API)</t>
        </is>
      </c>
      <c r="D154" s="15" t="inlineStr">
        <is>
          <t>GET /payments/transactions/summary: số liệu và from/to; from tương lai cho 0</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54" s="15" t="inlineStr">
        <is>
          <t>1. GET /payments/transactions/summary
2. GET /payments/transactions/summary?from=2999-01-01
3. GET .../summary?from=not-a-date
4. GET .../summary?from=2026-10-01&amp;to=2026-09-01</t>
        </is>
      </c>
      <c r="K154" s="15" t="inlineStr">
        <is>
          <t>-</t>
        </is>
      </c>
      <c r="L154"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54" s="15" t="inlineStr"/>
      <c r="N154" s="18" t="inlineStr">
        <is>
          <t>Chưa test</t>
        </is>
      </c>
      <c r="O154" s="15" t="inlineStr"/>
      <c r="P154" s="15" t="inlineStr"/>
      <c r="Q154" s="18" t="inlineStr">
        <is>
          <t>Chưa test</t>
        </is>
      </c>
      <c r="R154" s="15" t="inlineStr"/>
    </row>
    <row r="155" ht="150" customHeight="1">
      <c r="A155" s="14" t="inlineStr">
        <is>
          <t>TC-ADM2-154</t>
        </is>
      </c>
      <c r="B155" s="15" t="inlineStr">
        <is>
          <t>Admin Console (đợt 2: Nội dung, Thanh toán, Khám phá)</t>
        </is>
      </c>
      <c r="C155" s="15" t="inlineStr">
        <is>
          <t>Thanh toán · Giao dịch (API)</t>
        </is>
      </c>
      <c r="D155" s="15" t="inlineStr">
        <is>
          <t>GET /payments/transactions: lọc status/method/kind/courseId/userId/ownerId, q, sort, 400</t>
        </is>
      </c>
      <c r="E155" s="15" t="inlineStr">
        <is>
          <t>Chức năng</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55"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55" s="15" t="inlineStr">
        <is>
          <t>-</t>
        </is>
      </c>
      <c r="L155"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55" s="15" t="inlineStr"/>
      <c r="N155" s="18" t="inlineStr">
        <is>
          <t>Chưa test</t>
        </is>
      </c>
      <c r="O155" s="15" t="inlineStr"/>
      <c r="P155" s="15" t="inlineStr"/>
      <c r="Q155" s="18" t="inlineStr">
        <is>
          <t>Chưa test</t>
        </is>
      </c>
      <c r="R155" s="15" t="inlineStr"/>
    </row>
    <row r="156" ht="60" customHeight="1">
      <c r="A156" s="14" t="inlineStr">
        <is>
          <t>TC-ADM2-155</t>
        </is>
      </c>
      <c r="B156" s="15" t="inlineStr">
        <is>
          <t>Admin Console (đợt 2: Nội dung, Thanh toán, Khám phá)</t>
        </is>
      </c>
      <c r="C156" s="15" t="inlineStr">
        <is>
          <t>Thanh toán · Giao dịch (API)</t>
        </is>
      </c>
      <c r="D156" s="15" t="inlineStr">
        <is>
          <t>Công thức phí trên API khớp bảng ví dụ (theo env PLATFORM_COMMISSION_PCT, GATEWAY_FEE_*)</t>
        </is>
      </c>
      <c r="E156" s="15" t="inlineStr">
        <is>
          <t>Chức năng</t>
        </is>
      </c>
      <c r="F156" s="16" t="inlineStr">
        <is>
          <t>Cao</t>
        </is>
      </c>
      <c r="G156" s="17" t="inlineStr">
        <is>
          <t>Đã hoàn thiện</t>
        </is>
      </c>
      <c r="H156" s="20" t="inlineStr">
        <is>
          <t>Một phần</t>
        </is>
      </c>
      <c r="I15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56" s="15" t="inlineStr">
        <is>
          <t>1. GET /payments/transactions?q=TXN-F699FA13
2. GET ...?q=TXN-E9A88057
3. GET ...?q=TXN-5ECCCEFC
4. Đổi PLATFORM_COMMISSION_PCT=15 trong backend/.env, restart BE, gọi lại lần 1</t>
        </is>
      </c>
      <c r="K156" s="15" t="inlineStr">
        <is>
          <t>TXN-F699FA13, TXN-E9A88057, TXN-5ECCCEFC</t>
        </is>
      </c>
      <c r="L156"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56" s="15" t="inlineStr"/>
      <c r="N156" s="18" t="inlineStr">
        <is>
          <t>Chưa test</t>
        </is>
      </c>
      <c r="O156" s="15" t="inlineStr"/>
      <c r="P156" s="15" t="inlineStr"/>
      <c r="Q156" s="18" t="inlineStr">
        <is>
          <t>Chưa test</t>
        </is>
      </c>
      <c r="R156" s="15" t="inlineStr"/>
    </row>
    <row r="157" ht="45" customHeight="1">
      <c r="A157" s="14" t="inlineStr">
        <is>
          <t>TC-ADM2-156</t>
        </is>
      </c>
      <c r="B157" s="15" t="inlineStr">
        <is>
          <t>Admin Console (đợt 2: Nội dung, Thanh toán, Khám phá)</t>
        </is>
      </c>
      <c r="C157" s="15" t="inlineStr">
        <is>
          <t>Thanh toán · Giao dịch (API)</t>
        </is>
      </c>
      <c r="D157" s="15" t="inlineStr">
        <is>
          <t>GET /payments/transactions/:id: chi tiết, timeline, gateway, 404</t>
        </is>
      </c>
      <c r="E157" s="15" t="inlineStr">
        <is>
          <t>Chức năng</t>
        </is>
      </c>
      <c r="F157" s="16" t="inlineStr">
        <is>
          <t>Cao</t>
        </is>
      </c>
      <c r="G157" s="17" t="inlineStr">
        <is>
          <t>Đã hoàn thiện</t>
        </is>
      </c>
      <c r="H157" s="17" t="inlineStr">
        <is>
          <t>Có</t>
        </is>
      </c>
      <c r="I15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57" s="15" t="inlineStr">
        <is>
          <t>1. Lấy id của TXN-763C9F36 từ danh sách
2. GET /payments/transactions/&lt;id&gt;
3. GET /payments/transactions/nope</t>
        </is>
      </c>
      <c r="K157" s="15" t="inlineStr">
        <is>
          <t>TXN-763C9F36</t>
        </is>
      </c>
      <c r="L157"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57" s="15" t="inlineStr"/>
      <c r="N157" s="18" t="inlineStr">
        <is>
          <t>Chưa test</t>
        </is>
      </c>
      <c r="O157" s="15" t="inlineStr"/>
      <c r="P157" s="15" t="inlineStr"/>
      <c r="Q157" s="18" t="inlineStr">
        <is>
          <t>Chưa test</t>
        </is>
      </c>
      <c r="R157" s="15" t="inlineStr"/>
    </row>
    <row r="158" ht="90" customHeight="1">
      <c r="A158" s="14" t="inlineStr">
        <is>
          <t>TC-ADM2-157</t>
        </is>
      </c>
      <c r="B158" s="15" t="inlineStr">
        <is>
          <t>Admin Console (đợt 2: Nội dung, Thanh toán, Khám phá)</t>
        </is>
      </c>
      <c r="C158" s="15" t="inlineStr">
        <is>
          <t>Thanh toán · Giao dịch (API)</t>
        </is>
      </c>
      <c r="D158" s="15" t="inlineStr">
        <is>
          <t>POST /payments/transactions/:id/refund: validate, 409, hoàn một phần/toàn phần, audit</t>
        </is>
      </c>
      <c r="E158" s="15" t="inlineStr">
        <is>
          <t>Chức năng</t>
        </is>
      </c>
      <c r="F158" s="16" t="inlineStr">
        <is>
          <t>Cao</t>
        </is>
      </c>
      <c r="G158" s="17" t="inlineStr">
        <is>
          <t>Đã hoàn thiện</t>
        </is>
      </c>
      <c r="H158" s="17" t="inlineStr">
        <is>
          <t>Có</t>
        </is>
      </c>
      <c r="I15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58" s="15" t="inlineStr">
        <is>
          <t>1. POST .../refund {} -&gt; 400
2. {reason:'x', amountCents:999999} -&gt; 400
3. {reason:'Goodwill', amountCents:1000} trên TXN-E8AF54EA -&gt; 200
4. lần 2 trên giao dịch đó -&gt; 409
5. refund giao dịch đã hoàn/đang chờ/thất bại -&gt; 409
6. refund id 'nope' -&gt; 404</t>
        </is>
      </c>
      <c r="K158" s="15" t="inlineStr">
        <is>
          <t>TXN-E8AF54EA</t>
        </is>
      </c>
      <c r="L158"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58" s="15" t="inlineStr"/>
      <c r="N158" s="18" t="inlineStr">
        <is>
          <t>Chưa test</t>
        </is>
      </c>
      <c r="O158" s="15" t="inlineStr"/>
      <c r="P158" s="15" t="inlineStr"/>
      <c r="Q158" s="18" t="inlineStr">
        <is>
          <t>Chưa test</t>
        </is>
      </c>
      <c r="R158" s="15" t="inlineStr"/>
    </row>
    <row r="159" ht="45" customHeight="1">
      <c r="A159" s="14" t="inlineStr">
        <is>
          <t>TC-ADM2-158</t>
        </is>
      </c>
      <c r="B159" s="15" t="inlineStr">
        <is>
          <t>Admin Console (đợt 2: Nội dung, Thanh toán, Khám phá)</t>
        </is>
      </c>
      <c r="C159" s="15" t="inlineStr">
        <is>
          <t>Thanh toán · Giao dịch (API)</t>
        </is>
      </c>
      <c r="D159" s="15" t="inlineStr">
        <is>
          <t>Hoàn tiền toàn phần giao dịch kỳ hiện tại của gói thật: hủy gói và thu hồi quyền</t>
        </is>
      </c>
      <c r="E159" s="15" t="inlineStr">
        <is>
          <t>Chức năng</t>
        </is>
      </c>
      <c r="F159" s="16" t="inlineStr">
        <is>
          <t>Cao</t>
        </is>
      </c>
      <c r="G159" s="17" t="inlineStr">
        <is>
          <t>Đã hoàn thiện</t>
        </is>
      </c>
      <c r="H159" s="20" t="inlineStr">
        <is>
          <t>Một phần</t>
        </is>
      </c>
      <c r="I159" s="15" t="inlineStr">
        <is>
          <t>DB sạch sau npm run db:reset (có seed/admin-batch2.ts; mã POST-/CMT-/TXN-/SUB-/RF-/PO- cố định, xem sheet 'Tài khoản &amp; dữ liệu test' mục A3). Đăng nhập admin@sofinhub.test / Passw0rd!x (Platform Admin, cần PLATFORM_ADMIN_EMAILS=admin@sofinhub.test). Tạo giao dịch thật: newbie@sofinhub.test POST /api/courses/growth-lab/checkout {"method":"stripe"} -&gt; 201 {id}; POST /api/payments/&lt;id&gt;/confirm -&gt; 200. Case làm thay đổi dữ liệu seed (MUTATE) - khôi phục bằng npm run db:reset (db:seed là idempotent chỉ-tạo nên KHÔNG hoàn tác thao tác admin đã làm); hoặc chạy trên bản ghi khác chưa bị đụng tới.</t>
        </is>
      </c>
      <c r="J159" s="15" t="inlineStr">
        <is>
          <t>1. Admin POST /payments/transactions/&lt;id&gt;/refund {reason:'Duplicate charge'} (hoàn đủ)
2. newbie@: GET /api/courses/growth-lab/posts
3. Admin: GET /payments/subscriptions?q=Nam</t>
        </is>
      </c>
      <c r="K159" s="15" t="inlineStr">
        <is>
          <t>giao dịch newbie growth-lab $49</t>
        </is>
      </c>
      <c r="L159" s="15" t="inlineStr">
        <is>
          <t>Giao dịch 'refunded' refundedCents=4900; gói của newbie chuyển 'canceled' và enrollment bị xóa (GET posts -&gt; 403); newbie nhận thông báo 'Hoàn tiền thành công'. LƯU Ý: với giao dịch SEED việc hoàn toàn bộ chỉ đánh dấu Payment=refunded, KHÔNG hủy gói (mốc kỳ lệch mili-giây hoặc giao dịch không gắn gói) - dùng giao dịch checkout thật để kiểm tra thu hồi quyền.</t>
        </is>
      </c>
      <c r="M159" s="15" t="inlineStr"/>
      <c r="N159" s="18" t="inlineStr">
        <is>
          <t>Chưa test</t>
        </is>
      </c>
      <c r="O159" s="15" t="inlineStr"/>
      <c r="P159" s="15" t="inlineStr"/>
      <c r="Q159" s="18" t="inlineStr">
        <is>
          <t>Chưa test</t>
        </is>
      </c>
      <c r="R159" s="15" t="inlineStr"/>
    </row>
    <row r="160" ht="60" customHeight="1">
      <c r="A160" s="14" t="inlineStr">
        <is>
          <t>TC-ADM2-159</t>
        </is>
      </c>
      <c r="B160" s="15" t="inlineStr">
        <is>
          <t>Admin Console (đợt 2: Nội dung, Thanh toán, Khám phá)</t>
        </is>
      </c>
      <c r="C160" s="15" t="inlineStr">
        <is>
          <t>Thanh toán · Giao dịch (API)</t>
        </is>
      </c>
      <c r="D160" s="15" t="inlineStr">
        <is>
          <t>POST /payments/transactions/:id/retry: thành công kích hoạt gói; 409 khi không phải failed</t>
        </is>
      </c>
      <c r="E160" s="15" t="inlineStr">
        <is>
          <t>Chức năng</t>
        </is>
      </c>
      <c r="F160" s="16" t="inlineStr">
        <is>
          <t>Cao</t>
        </is>
      </c>
      <c r="G160" s="17" t="inlineStr">
        <is>
          <t>Đã hoàn thiện</t>
        </is>
      </c>
      <c r="H160" s="20" t="inlineStr">
        <is>
          <t>Một phần</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60" s="15" t="inlineStr">
        <is>
          <t>1. POST .../TXN-6134AE3A(id)/retry {note:'QA'} -&gt; 200
2. lần 2 -&gt; 409
3. retry giao dịch 'Thành công' -&gt; 409
4. retry id 'nope' -&gt; 404</t>
        </is>
      </c>
      <c r="K160" s="15" t="inlineStr">
        <is>
          <t>TXN-6134AE3A</t>
        </is>
      </c>
      <c r="L160" s="15" t="inlineStr">
        <is>
          <t>Lần 1: 200 status 'succeeded' (mock gateway luôn thành công), invoiceNumber được cấp; lần 2 và giao dịch succeeded: 409 'Chỉ giao dịch thất bại mới thử lại được'; nope 404; audit payment.retry metadata.result='succeeded'. Mô phỏng cổng từ chối lần 2 chưa test được từ giao diện/seed (cần failFor trong test tự động).</t>
        </is>
      </c>
      <c r="M160" s="15" t="inlineStr"/>
      <c r="N160" s="18" t="inlineStr">
        <is>
          <t>Chưa test</t>
        </is>
      </c>
      <c r="O160" s="15" t="inlineStr"/>
      <c r="P160" s="15" t="inlineStr"/>
      <c r="Q160" s="18" t="inlineStr">
        <is>
          <t>Chưa test</t>
        </is>
      </c>
      <c r="R160" s="15" t="inlineStr"/>
    </row>
    <row r="161" ht="45" customHeight="1">
      <c r="A161" s="14" t="inlineStr">
        <is>
          <t>TC-ADM2-160</t>
        </is>
      </c>
      <c r="B161" s="15" t="inlineStr">
        <is>
          <t>Admin Console (đợt 2: Nội dung, Thanh toán, Khám phá)</t>
        </is>
      </c>
      <c r="C161" s="15" t="inlineStr">
        <is>
          <t>Thanh toán · Gói đăng ký</t>
        </is>
      </c>
      <c r="D161" s="15" t="inlineStr">
        <is>
          <t>Trang Gói đăng ký: 5 KPI (Hoạt động, Mới, MRR, Tỷ lệ rời bỏ, Quá hạn) và tab có đếm</t>
        </is>
      </c>
      <c r="E161" s="15" t="inlineStr">
        <is>
          <t>Giao diện</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61" s="15" t="inlineStr">
        <is>
          <t>1. Mở /admin/payments/subs
2. Đọc KPI và 5 tab
3. Đối chiếu /payments/subscriptions/summary</t>
        </is>
      </c>
      <c r="K161" s="15" t="inlineStr">
        <is>
          <t>-</t>
        </is>
      </c>
      <c r="L161"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61" s="15" t="inlineStr"/>
      <c r="N161" s="18" t="inlineStr">
        <is>
          <t>Chưa test</t>
        </is>
      </c>
      <c r="O161" s="15" t="inlineStr"/>
      <c r="P161" s="15" t="inlineStr"/>
      <c r="Q161" s="18" t="inlineStr">
        <is>
          <t>Chưa test</t>
        </is>
      </c>
      <c r="R161" s="15" t="inlineStr"/>
    </row>
    <row r="162" ht="30" customHeight="1">
      <c r="A162" s="14" t="inlineStr">
        <is>
          <t>TC-ADM2-161</t>
        </is>
      </c>
      <c r="B162" s="15" t="inlineStr">
        <is>
          <t>Admin Console (đợt 2: Nội dung, Thanh toán, Khám phá)</t>
        </is>
      </c>
      <c r="C162" s="15" t="inlineStr">
        <is>
          <t>Thanh toán · Gói đăng ký</t>
        </is>
      </c>
      <c r="D162" s="15" t="inlineStr">
        <is>
          <t>Tab 'Hoạt động' đếm 30 (chỉ active) nhưng bảng liệt kê cả gói dùng thử (35 dòng)</t>
        </is>
      </c>
      <c r="E162" s="15" t="inlineStr">
        <is>
          <t>Chức năng</t>
        </is>
      </c>
      <c r="F162" s="17" t="inlineStr">
        <is>
          <t>Thấp</t>
        </is>
      </c>
      <c r="G162" s="20" t="inlineStr">
        <is>
          <t>Kế hoạch</t>
        </is>
      </c>
      <c r="H162" s="17" t="inlineStr">
        <is>
          <t>Có</t>
        </is>
      </c>
      <c r="I1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62" s="15" t="inlineStr">
        <is>
          <t>1. Bấm tab 'Hoạt động' (key active,trialing)
2. So số đếm trên tab với tổng số dòng</t>
        </is>
      </c>
      <c r="K162" s="15" t="inlineStr">
        <is>
          <t>-</t>
        </is>
      </c>
      <c r="L162" s="15" t="inlineStr">
        <is>
          <t>KỲ VỌNG SAU KHI SỬA: số đếm trên tab bằng số dòng. HIỆN TẠI: tab hiển thị 30 (summary.active) nhưng bảng gồm active + trialing = 35 dòng. Ghi nhận như điểm lệch nhỏ giữa nhãn đếm và danh sách.</t>
        </is>
      </c>
      <c r="M162" s="15" t="inlineStr"/>
      <c r="N162" s="18" t="inlineStr">
        <is>
          <t>Chưa test</t>
        </is>
      </c>
      <c r="O162" s="15" t="inlineStr"/>
      <c r="P162" s="15" t="inlineStr"/>
      <c r="Q162" s="18" t="inlineStr">
        <is>
          <t>Chưa test</t>
        </is>
      </c>
      <c r="R162" s="15" t="inlineStr"/>
    </row>
    <row r="163" ht="30" customHeight="1">
      <c r="A163" s="14" t="inlineStr">
        <is>
          <t>TC-ADM2-162</t>
        </is>
      </c>
      <c r="B163" s="15" t="inlineStr">
        <is>
          <t>Admin Console (đợt 2: Nội dung, Thanh toán, Khám phá)</t>
        </is>
      </c>
      <c r="C163" s="15" t="inlineStr">
        <is>
          <t>Thanh toán · Gói đăng ký</t>
        </is>
      </c>
      <c r="D163" s="15" t="inlineStr">
        <is>
          <t>Bảng Gói đăng ký: cột, nhãn trạng thái và 'Hủy cuối kỳ'</t>
        </is>
      </c>
      <c r="E163" s="15" t="inlineStr">
        <is>
          <t>Giao diện</t>
        </is>
      </c>
      <c r="F163" s="20" t="inlineStr">
        <is>
          <t>Trung bình</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63" s="15" t="inlineStr">
        <is>
          <t>1. Gõ 'SUB-651D6D23' (Maya, quá hạn)
2. Gõ 'Mai' rồi tìm gói paid-demo 'Hủy cuối kỳ' (gói cũ của member2)</t>
        </is>
      </c>
      <c r="K163" s="15" t="inlineStr">
        <is>
          <t>SUB-651D6D23</t>
        </is>
      </c>
      <c r="L163"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63" s="15" t="inlineStr"/>
      <c r="N163" s="18" t="inlineStr">
        <is>
          <t>Chưa test</t>
        </is>
      </c>
      <c r="O163" s="15" t="inlineStr"/>
      <c r="P163" s="15" t="inlineStr"/>
      <c r="Q163" s="18" t="inlineStr">
        <is>
          <t>Chưa test</t>
        </is>
      </c>
      <c r="R163" s="15" t="inlineStr"/>
    </row>
    <row r="164" ht="45" customHeight="1">
      <c r="A164" s="14" t="inlineStr">
        <is>
          <t>TC-ADM2-163</t>
        </is>
      </c>
      <c r="B164" s="15" t="inlineStr">
        <is>
          <t>Admin Console (đợt 2: Nội dung, Thanh toán, Khám phá)</t>
        </is>
      </c>
      <c r="C164" s="15" t="inlineStr">
        <is>
          <t>Thanh toán · Gói đăng ký</t>
        </is>
      </c>
      <c r="D164" s="15" t="inlineStr">
        <is>
          <t>Tìm Gói đăng ký theo mã SUB, tên/email người dùng, tên cộng đồng</t>
        </is>
      </c>
      <c r="E164" s="15" t="inlineStr">
        <is>
          <t>Chức năng</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64" s="15" t="inlineStr">
        <is>
          <t>1. Gõ 'SUB-41FC386C'
2. Gõ 'sophia'
3. Gõ 'Mindful'</t>
        </is>
      </c>
      <c r="K164" s="15" t="inlineStr">
        <is>
          <t>SUB-41FC386C | sophia | Mindful</t>
        </is>
      </c>
      <c r="L164" s="15" t="inlineStr">
        <is>
          <t>Lần 1: gói dùng thử của Sophia ở growth-lab; lần 2: các gói của Sophia Patel (4+); lần 3: các gói Mindful Money.</t>
        </is>
      </c>
      <c r="M164" s="15" t="inlineStr"/>
      <c r="N164" s="18" t="inlineStr">
        <is>
          <t>Chưa test</t>
        </is>
      </c>
      <c r="O164" s="15" t="inlineStr"/>
      <c r="P164" s="15" t="inlineStr"/>
      <c r="Q164" s="18" t="inlineStr">
        <is>
          <t>Chưa test</t>
        </is>
      </c>
      <c r="R164" s="15" t="inlineStr"/>
    </row>
    <row r="165" ht="45" customHeight="1">
      <c r="A165" s="14" t="inlineStr">
        <is>
          <t>TC-ADM2-164</t>
        </is>
      </c>
      <c r="B165" s="15" t="inlineStr">
        <is>
          <t>Admin Console (đợt 2: Nội dung, Thanh toán, Khám phá)</t>
        </is>
      </c>
      <c r="C165" s="15" t="inlineStr">
        <is>
          <t>Thanh toán · Gói đăng ký</t>
        </is>
      </c>
      <c r="D165" s="15" t="inlineStr">
        <is>
          <t>Tab 'Quá hạn', 'Tạm dừng', 'Đã hủy' trả đúng gói seed</t>
        </is>
      </c>
      <c r="E165" s="15" t="inlineStr">
        <is>
          <t>Chức năng</t>
        </is>
      </c>
      <c r="F165" s="16" t="inlineStr">
        <is>
          <t>Cao</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65" s="15" t="inlineStr">
        <is>
          <t>1. Bấm tab 'Quá hạn'
2. Bấm tab 'Tạm dừng'
3. Bấm tab 'Đã hủy' (canceled,expired)</t>
        </is>
      </c>
      <c r="K165" s="15" t="inlineStr">
        <is>
          <t>-</t>
        </is>
      </c>
      <c r="L165" s="15" t="inlineStr">
        <is>
          <t>Quá hạn: 6 gói (gồm Maya/growth-lab); Tạm dừng: 4 gói (Maya/code-camp, Ava/fit-forever, Alex+Lucas/mindful-money); Đã hủy: 11 gói (7 đã hủy + 4 hết hạn).</t>
        </is>
      </c>
      <c r="M165" s="15" t="inlineStr"/>
      <c r="N165" s="18" t="inlineStr">
        <is>
          <t>Chưa test</t>
        </is>
      </c>
      <c r="O165" s="15" t="inlineStr"/>
      <c r="P165" s="15" t="inlineStr"/>
      <c r="Q165" s="18" t="inlineStr">
        <is>
          <t>Chưa test</t>
        </is>
      </c>
      <c r="R165" s="15" t="inlineStr"/>
    </row>
    <row r="166" ht="30" customHeight="1">
      <c r="A166" s="14" t="inlineStr">
        <is>
          <t>TC-ADM2-165</t>
        </is>
      </c>
      <c r="B166" s="15" t="inlineStr">
        <is>
          <t>Admin Console (đợt 2: Nội dung, Thanh toán, Khám phá)</t>
        </is>
      </c>
      <c r="C166" s="15" t="inlineStr">
        <is>
          <t>Thanh toán · Gói đăng ký</t>
        </is>
      </c>
      <c r="D166" s="15" t="inlineStr">
        <is>
          <t>Sắp xếp Gói đăng ký: Số tiền cao nhất, Kỳ thanh toán gần nhất</t>
        </is>
      </c>
      <c r="E166" s="15" t="inlineStr">
        <is>
          <t>Chức năng</t>
        </is>
      </c>
      <c r="F166" s="17" t="inlineStr">
        <is>
          <t>Thấp</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6" s="15" t="inlineStr">
        <is>
          <t>1. Chọn 'Số tiền cao nhất'
2. Chọn 'Kỳ thanh toán gần nhất'</t>
        </is>
      </c>
      <c r="K166" s="15" t="inlineStr">
        <is>
          <t>-</t>
        </is>
      </c>
      <c r="L166" s="15" t="inlineStr">
        <is>
          <t>Số tiền: $99 (Pixel Pro) trước; 'Kỳ thanh toán gần nhất' sắp currentPeriodEnd tăng dần.</t>
        </is>
      </c>
      <c r="M166" s="15" t="inlineStr"/>
      <c r="N166" s="18" t="inlineStr">
        <is>
          <t>Chưa test</t>
        </is>
      </c>
      <c r="O166" s="15" t="inlineStr"/>
      <c r="P166" s="15" t="inlineStr"/>
      <c r="Q166" s="18" t="inlineStr">
        <is>
          <t>Chưa test</t>
        </is>
      </c>
      <c r="R166" s="15" t="inlineStr"/>
    </row>
    <row r="167" ht="75" customHeight="1">
      <c r="A167" s="14" t="inlineStr">
        <is>
          <t>TC-ADM2-166</t>
        </is>
      </c>
      <c r="B167" s="15" t="inlineStr">
        <is>
          <t>Admin Console (đợt 2: Nội dung, Thanh toán, Khám phá)</t>
        </is>
      </c>
      <c r="C167" s="15" t="inlineStr">
        <is>
          <t>Thanh toán · Gói đăng ký</t>
        </is>
      </c>
      <c r="D167" s="15" t="inlineStr">
        <is>
          <t>Menu dòng Gói: Xem/Tạm dừng/Tiếp tục/Hủy theo trạng thái</t>
        </is>
      </c>
      <c r="E167" s="15" t="inlineStr">
        <is>
          <t>Chức năng</t>
        </is>
      </c>
      <c r="F167" s="16" t="inlineStr">
        <is>
          <t>Cao</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67" s="15" t="inlineStr">
        <is>
          <t>1. Menu SUB-19663020 (active)
2. SUB-651D6D23 (past_due)
3. SUB-91A2D0F6 (paused)
4. SUB-38AA4938 (canceled)
5. SUB-41FC386C (trialing)</t>
        </is>
      </c>
      <c r="K167" s="15" t="inlineStr">
        <is>
          <t>-</t>
        </is>
      </c>
      <c r="L167" s="15" t="inlineStr">
        <is>
          <t>active: Xem, Tạm dừng, Hủy. past_due: Xem, Tạm dừng, Tiếp tục, Hủy. paused: Xem, Tiếp tục, Hủy. canceled/expired: chỉ Xem. trialing: Xem, Tạm dừng, Hủy. 'Xem' mở /admin/users/&lt;id người dùng&gt;?tab=purchases.</t>
        </is>
      </c>
      <c r="M167" s="15" t="inlineStr"/>
      <c r="N167" s="18" t="inlineStr">
        <is>
          <t>Chưa test</t>
        </is>
      </c>
      <c r="O167" s="15" t="inlineStr"/>
      <c r="P167" s="15" t="inlineStr"/>
      <c r="Q167" s="18" t="inlineStr">
        <is>
          <t>Chưa test</t>
        </is>
      </c>
      <c r="R167" s="15" t="inlineStr"/>
    </row>
    <row r="168" ht="60" customHeight="1">
      <c r="A168" s="14" t="inlineStr">
        <is>
          <t>TC-ADM2-167</t>
        </is>
      </c>
      <c r="B168" s="15" t="inlineStr">
        <is>
          <t>Admin Console (đợt 2: Nội dung, Thanh toán, Khám phá)</t>
        </is>
      </c>
      <c r="C168" s="15" t="inlineStr">
        <is>
          <t>Thanh toán · Gói đăng ký</t>
        </is>
      </c>
      <c r="D168" s="15" t="inlineStr">
        <is>
          <t>Tạm dừng gói: modal, toast, trạng thái, thu hồi quyền, thông báo, audit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68" s="15" t="inlineStr">
        <is>
          <t>1. Menu SUB-5BC76879 (Daniel, growth-lab) &gt; 'Tạm dừng'
2. Chọn lý do 'Rủi ro thanh toán', ghi chú 'QA' &gt; 'Tạm dừng'
3. daniel@: GET /api/courses/growth-lab/posts và GET /api/me/subscriptions
4. Admin tra audit 'subscription.pause'</t>
        </is>
      </c>
      <c r="K168" s="15" t="inlineStr">
        <is>
          <t>SUB-5BC76879</t>
        </is>
      </c>
      <c r="L168"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68" s="15" t="inlineStr"/>
      <c r="N168" s="18" t="inlineStr">
        <is>
          <t>Chưa test</t>
        </is>
      </c>
      <c r="O168" s="15" t="inlineStr"/>
      <c r="P168" s="15" t="inlineStr"/>
      <c r="Q168" s="18" t="inlineStr">
        <is>
          <t>Chưa test</t>
        </is>
      </c>
      <c r="R168" s="15" t="inlineStr"/>
    </row>
    <row r="169" ht="30" customHeight="1">
      <c r="A169" s="14" t="inlineStr">
        <is>
          <t>TC-ADM2-168</t>
        </is>
      </c>
      <c r="B169" s="15" t="inlineStr">
        <is>
          <t>Admin Console (đợt 2: Nội dung, Thanh toán, Khám phá)</t>
        </is>
      </c>
      <c r="C169" s="15" t="inlineStr">
        <is>
          <t>Thanh toán · Gói đăng ký</t>
        </is>
      </c>
      <c r="D169" s="15" t="inlineStr">
        <is>
          <t>Tiếp tục gói: cấp lại quyền, mở kỳ mới nếu kỳ cũ đã hết</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69" s="15" t="inlineStr">
        <is>
          <t>1. Menu SUB-91A2D0F6 (Maya, code-camp, paused, kỳ cũ đã hết) &gt; 'Tiếp tục' &gt; xác nhận
2. maya@: GET /api/courses/code-camp/posts</t>
        </is>
      </c>
      <c r="K169" s="15" t="inlineStr">
        <is>
          <t>SUB-91A2D0F6</t>
        </is>
      </c>
      <c r="L169"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69" s="15" t="inlineStr"/>
      <c r="N169" s="18" t="inlineStr">
        <is>
          <t>Chưa test</t>
        </is>
      </c>
      <c r="O169" s="15" t="inlineStr"/>
      <c r="P169" s="15" t="inlineStr"/>
      <c r="Q169" s="18" t="inlineStr">
        <is>
          <t>Chưa test</t>
        </is>
      </c>
      <c r="R169" s="15" t="inlineStr"/>
    </row>
    <row r="170" ht="30" customHeight="1">
      <c r="A170" s="14" t="inlineStr">
        <is>
          <t>TC-ADM2-169</t>
        </is>
      </c>
      <c r="B170" s="15" t="inlineStr">
        <is>
          <t>Admin Console (đợt 2: Nội dung, Thanh toán, Khám phá)</t>
        </is>
      </c>
      <c r="C170" s="15" t="inlineStr">
        <is>
          <t>Thanh toán · Gói đăng ký</t>
        </is>
      </c>
      <c r="D170" s="15" t="inlineStr">
        <is>
          <t>Tiếp tục gói quá hạn (past_due) -&gt; active</t>
        </is>
      </c>
      <c r="E170" s="15" t="inlineStr">
        <is>
          <t>Chức năng</t>
        </is>
      </c>
      <c r="F170" s="20" t="inlineStr">
        <is>
          <t>Trung bình</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70" s="15" t="inlineStr">
        <is>
          <t>1. Menu SUB-651D6D23 (Maya, growth-lab, past_due) &gt; 'Tiếp tục' &gt; xác nhận</t>
        </is>
      </c>
      <c r="K170" s="15" t="inlineStr">
        <is>
          <t>SUB-651D6D23</t>
        </is>
      </c>
      <c r="L170" s="15" t="inlineStr">
        <is>
          <t>Trạng thái 'Hoạt động'; KPI 'Quá hạn' −1, 'Hoạt động' +1; Maya có quyền growth-lab.</t>
        </is>
      </c>
      <c r="M170" s="15" t="inlineStr"/>
      <c r="N170" s="18" t="inlineStr">
        <is>
          <t>Chưa test</t>
        </is>
      </c>
      <c r="O170" s="15" t="inlineStr"/>
      <c r="P170" s="15" t="inlineStr"/>
      <c r="Q170" s="18" t="inlineStr">
        <is>
          <t>Chưa test</t>
        </is>
      </c>
      <c r="R170" s="15" t="inlineStr"/>
    </row>
    <row r="171" ht="60" customHeight="1">
      <c r="A171" s="14" t="inlineStr">
        <is>
          <t>TC-ADM2-170</t>
        </is>
      </c>
      <c r="B171" s="15" t="inlineStr">
        <is>
          <t>Admin Console (đợt 2: Nội dung, Thanh toán, Khám phá)</t>
        </is>
      </c>
      <c r="C171" s="15" t="inlineStr">
        <is>
          <t>Thanh toán · Gói đăng ký</t>
        </is>
      </c>
      <c r="D171" s="15" t="inlineStr">
        <is>
          <t>Hủy gói TỨC THÌ (không tích 'cuối kỳ'): trạng thái Đã hủy, thu hồi quyền, thông báo</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71" s="15" t="inlineStr">
        <is>
          <t>1. Menu SUB-A9B9B1B1 (Ava, growth-lab) &gt; 'Hủy'
2. Giữ nguyên checkbox 'Chỉ hủy vào cuối kỳ...' BỎ TÍCH (mặc định)
3. Chọn lý do 'Gian lận' &gt; 'Hủy gói'
4. ava@ kiểm tra thông báo + quyền</t>
        </is>
      </c>
      <c r="K171" s="15" t="inlineStr">
        <is>
          <t>SUB-A9B9B1B1</t>
        </is>
      </c>
      <c r="L171"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71" s="15" t="inlineStr"/>
      <c r="N171" s="18" t="inlineStr">
        <is>
          <t>Chưa test</t>
        </is>
      </c>
      <c r="O171" s="15" t="inlineStr"/>
      <c r="P171" s="15" t="inlineStr"/>
      <c r="Q171" s="18" t="inlineStr">
        <is>
          <t>Chưa test</t>
        </is>
      </c>
      <c r="R171" s="15" t="inlineStr"/>
    </row>
    <row r="172" ht="60" customHeight="1">
      <c r="A172" s="14" t="inlineStr">
        <is>
          <t>TC-ADM2-171</t>
        </is>
      </c>
      <c r="B172" s="15" t="inlineStr">
        <is>
          <t>Admin Console (đợt 2: Nội dung, Thanh toán, Khám phá)</t>
        </is>
      </c>
      <c r="C172" s="15" t="inlineStr">
        <is>
          <t>Thanh toán · Gói đăng ký</t>
        </is>
      </c>
      <c r="D172" s="15" t="inlineStr">
        <is>
          <t>Hủy gói CUỐI KỲ: vẫn Hoạt động, nhãn 'Hủy cuối kỳ', giữ quyền, ngừng gia hạn</t>
        </is>
      </c>
      <c r="E172" s="15" t="inlineStr">
        <is>
          <t>Chức năng</t>
        </is>
      </c>
      <c r="F172" s="16" t="inlineStr">
        <is>
          <t>Cao</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72"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72" s="15" t="inlineStr">
        <is>
          <t>SUB-B2BD1B76</t>
        </is>
      </c>
      <c r="L172"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72" s="15" t="inlineStr"/>
      <c r="N172" s="18" t="inlineStr">
        <is>
          <t>Chưa test</t>
        </is>
      </c>
      <c r="O172" s="15" t="inlineStr"/>
      <c r="P172" s="15" t="inlineStr"/>
      <c r="Q172" s="18" t="inlineStr">
        <is>
          <t>Chưa test</t>
        </is>
      </c>
      <c r="R172" s="15" t="inlineStr"/>
    </row>
    <row r="173" ht="30" customHeight="1">
      <c r="A173" s="14" t="inlineStr">
        <is>
          <t>TC-ADM2-172</t>
        </is>
      </c>
      <c r="B173" s="15" t="inlineStr">
        <is>
          <t>Admin Console (đợt 2: Nội dung, Thanh toán, Khám phá)</t>
        </is>
      </c>
      <c r="C173" s="15" t="inlineStr">
        <is>
          <t>Thanh toán · Gói đăng ký</t>
        </is>
      </c>
      <c r="D173" s="15" t="inlineStr">
        <is>
          <t>Tab 'Hủy' trên gói đã canceled/expired không còn nút; cancel API trả 409 'Gói đã kết thúc'</t>
        </is>
      </c>
      <c r="E173" s="15" t="inlineStr">
        <is>
          <t>Chức năng</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73" s="15" t="inlineStr">
        <is>
          <t>1. POST /payments/subscriptions/&lt;id SUB-38AA4938&gt;/cancel {reason:'x'}
2. POST .../SUB-3DFC5C1A/pause {reason:'x'}</t>
        </is>
      </c>
      <c r="K173" s="15" t="inlineStr">
        <is>
          <t>SUB-38AA4938, SUB-3DFC5C1A</t>
        </is>
      </c>
      <c r="L173" s="15" t="inlineStr">
        <is>
          <t>Cancel gói đã hủy: 409 'Gói đã kết thúc'; pause gói hết hạn: 409 'Chỉ tạm dừng được gói đang hoạt động'.</t>
        </is>
      </c>
      <c r="M173" s="15" t="inlineStr"/>
      <c r="N173" s="18" t="inlineStr">
        <is>
          <t>Chưa test</t>
        </is>
      </c>
      <c r="O173" s="15" t="inlineStr"/>
      <c r="P173" s="15" t="inlineStr"/>
      <c r="Q173" s="18" t="inlineStr">
        <is>
          <t>Chưa test</t>
        </is>
      </c>
      <c r="R173" s="15" t="inlineStr"/>
    </row>
    <row r="174" ht="105" customHeight="1">
      <c r="A174" s="14" t="inlineStr">
        <is>
          <t>TC-ADM2-173</t>
        </is>
      </c>
      <c r="B174" s="15" t="inlineStr">
        <is>
          <t>Admin Console (đợt 2: Nội dung, Thanh toán, Khám phá)</t>
        </is>
      </c>
      <c r="C174" s="15" t="inlineStr">
        <is>
          <t>Thanh toán · Gói đăng ký</t>
        </is>
      </c>
      <c r="D174" s="15" t="inlineStr">
        <is>
          <t>API Gói đăng ký: list/summary/detail (payments[]), lọc status, sort, 400/404</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74"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74" s="15" t="inlineStr">
        <is>
          <t>-</t>
        </is>
      </c>
      <c r="L174" s="15" t="inlineStr">
        <is>
          <t>summary có active,new30d,mrrCents,churnPct,pastDue,paused; lọc past_due,paused ra 10 gói; chi tiết có payments (&lt;=10, ở đây 2: initial + renewal) + history, nextBillingAt, plan 'paid'; status/sort lạ 400; nope 404 'Không tìm thấy gói thành viên'.</t>
        </is>
      </c>
      <c r="M174" s="15" t="inlineStr"/>
      <c r="N174" s="18" t="inlineStr">
        <is>
          <t>Chưa test</t>
        </is>
      </c>
      <c r="O174" s="15" t="inlineStr"/>
      <c r="P174" s="15" t="inlineStr"/>
      <c r="Q174" s="18" t="inlineStr">
        <is>
          <t>Chưa test</t>
        </is>
      </c>
      <c r="R174" s="15" t="inlineStr"/>
    </row>
    <row r="175" ht="150" customHeight="1">
      <c r="A175" s="14" t="inlineStr">
        <is>
          <t>TC-ADM2-174</t>
        </is>
      </c>
      <c r="B175" s="15" t="inlineStr">
        <is>
          <t>Admin Console (đợt 2: Nội dung, Thanh toán, Khám phá)</t>
        </is>
      </c>
      <c r="C175" s="15" t="inlineStr">
        <is>
          <t>Thanh toán · Gói đăng ký</t>
        </is>
      </c>
      <c r="D175" s="15" t="inlineStr">
        <is>
          <t>API pause/resume/cancel: 400 thiếu lý do, 409 sai trạng thái, 404, cancelAtPeriodEnd</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75"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75" s="15" t="inlineStr">
        <is>
          <t>SUB-5BC76879</t>
        </is>
      </c>
      <c r="L175"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75" s="15" t="inlineStr"/>
      <c r="N175" s="18" t="inlineStr">
        <is>
          <t>Chưa test</t>
        </is>
      </c>
      <c r="O175" s="15" t="inlineStr"/>
      <c r="P175" s="15" t="inlineStr"/>
      <c r="Q175" s="18" t="inlineStr">
        <is>
          <t>Chưa test</t>
        </is>
      </c>
      <c r="R175" s="15" t="inlineStr"/>
    </row>
    <row r="176" ht="45" customHeight="1">
      <c r="A176" s="14" t="inlineStr">
        <is>
          <t>TC-ADM2-175</t>
        </is>
      </c>
      <c r="B176" s="15" t="inlineStr">
        <is>
          <t>Admin Console (đợt 2: Nội dung, Thanh toán, Khám phá)</t>
        </is>
      </c>
      <c r="C176" s="15" t="inlineStr">
        <is>
          <t>Thanh toán · Hoàn tiền (UI)</t>
        </is>
      </c>
      <c r="D176" s="15" t="inlineStr">
        <is>
          <t>Trang Hoàn tiền: tab mặc định 'Yêu cầu mới' và số đếm 3 tab</t>
        </is>
      </c>
      <c r="E176" s="15" t="inlineStr">
        <is>
          <t>Giao diện</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76" s="15" t="inlineStr">
        <is>
          <t>1. Mở /admin/payments/refunds
2. Đọc số đếm tab 'Yêu cầu mới', 'Hoàn tất', 'Đã từ chối'
3. Bấm 'Tất cả'</t>
        </is>
      </c>
      <c r="K176" s="15" t="inlineStr">
        <is>
          <t>-</t>
        </is>
      </c>
      <c r="L176" s="15" t="inlineStr">
        <is>
          <t>Tiêu đề 'Hoàn tiền' (phụ đề 'Yêu cầu hoàn tiền từ thành viên.'); mở sẵn tab 'Yêu cầu mới' (5 dòng); số đếm 5 / 4 / 2; 'Tất cả' không có số đếm và hiện 11 dòng; cột: Mã hoàn tiền, Giao dịch, Khách hàng, Creator, Số tiền, Lý do, Trạng thái, Ngày yêu cầu.</t>
        </is>
      </c>
      <c r="M176" s="15" t="inlineStr"/>
      <c r="N176" s="18" t="inlineStr">
        <is>
          <t>Chưa test</t>
        </is>
      </c>
      <c r="O176" s="15" t="inlineStr"/>
      <c r="P176" s="15" t="inlineStr"/>
      <c r="Q176" s="18" t="inlineStr">
        <is>
          <t>Chưa test</t>
        </is>
      </c>
      <c r="R176" s="15" t="inlineStr"/>
    </row>
    <row r="177" ht="30" customHeight="1">
      <c r="A177" s="14" t="inlineStr">
        <is>
          <t>TC-ADM2-176</t>
        </is>
      </c>
      <c r="B177" s="15" t="inlineStr">
        <is>
          <t>Admin Console (đợt 2: Nội dung, Thanh toán, Khám phá)</t>
        </is>
      </c>
      <c r="C177" s="15" t="inlineStr">
        <is>
          <t>Thanh toán · Hoàn tiền (UI)</t>
        </is>
      </c>
      <c r="D177" s="15" t="inlineStr">
        <is>
          <t>Bảng Hoàn tiền: dữ liệu một dòng, hoàn một phần hiển thị số tiền yêu cầu</t>
        </is>
      </c>
      <c r="E177" s="15" t="inlineStr">
        <is>
          <t>Giao diện</t>
        </is>
      </c>
      <c r="F177" s="20" t="inlineStr">
        <is>
          <t>Trung bình</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77" s="15" t="inlineStr">
        <is>
          <t>1. Tab 'Hoàn tất', gõ 'RF-E3DF8C52'</t>
        </is>
      </c>
      <c r="K177" s="15" t="inlineStr">
        <is>
          <t>RF-E3DF8C52</t>
        </is>
      </c>
      <c r="L177" s="15" t="inlineStr">
        <is>
          <t>Dòng: Mã RF-E3DF8C52, Giao dịch TXN-E9A88057, Khách 'Daniel Park', Creator 'Noah Williams', Số tiền $39.50 (một phần của giao dịch $79), Lý do 'Content not as described', Trạng thái 'Hoàn tất'.</t>
        </is>
      </c>
      <c r="M177" s="15" t="inlineStr"/>
      <c r="N177" s="18" t="inlineStr">
        <is>
          <t>Chưa test</t>
        </is>
      </c>
      <c r="O177" s="15" t="inlineStr"/>
      <c r="P177" s="15" t="inlineStr"/>
      <c r="Q177" s="18" t="inlineStr">
        <is>
          <t>Chưa test</t>
        </is>
      </c>
      <c r="R177" s="15" t="inlineStr"/>
    </row>
    <row r="178" ht="60" customHeight="1">
      <c r="A178" s="14" t="inlineStr">
        <is>
          <t>TC-ADM2-177</t>
        </is>
      </c>
      <c r="B178" s="15" t="inlineStr">
        <is>
          <t>Admin Console (đợt 2: Nội dung, Thanh toán, Khám phá)</t>
        </is>
      </c>
      <c r="C178" s="15" t="inlineStr">
        <is>
          <t>Thanh toán · Hoàn tiền (UI)</t>
        </is>
      </c>
      <c r="D178" s="15" t="inlineStr">
        <is>
          <t>Tìm Hoàn tiền theo mã RF, mã TXN, khách, chủ cộng đồng, lý do</t>
        </is>
      </c>
      <c r="E178" s="15" t="inlineStr">
        <is>
          <t>Chức năng</t>
        </is>
      </c>
      <c r="F178" s="20" t="inlineStr">
        <is>
          <t>Trung bình</t>
        </is>
      </c>
      <c r="G178" s="17" t="inlineStr">
        <is>
          <t>Đã hoàn thiện</t>
        </is>
      </c>
      <c r="H178" s="17" t="inlineStr">
        <is>
          <t>Có</t>
        </is>
      </c>
      <c r="I1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78" s="15" t="inlineStr">
        <is>
          <t>1. Tab 'Tất cả'. Gõ 'RF-1542230F'
2. Gõ 'TXN-763C9F36'
3. Gõ 'Emma'
4. Gõ 'Technical issue'</t>
        </is>
      </c>
      <c r="K178" s="15" t="inlineStr">
        <is>
          <t>RF-1542230F | TXN-763C9F36 | Emma | Technical issue</t>
        </is>
      </c>
      <c r="L178" s="15" t="inlineStr">
        <is>
          <t>Lần 1 và 2: RF-1542230F (Ava); lần 3: yêu cầu của khách Emma Garcia (RF-6FF01B95) và yêu cầu có creator Emma (RF-1542230F, RF-AEB9A758, RF-31968828...); lần 4: RF-6FF01B95.</t>
        </is>
      </c>
      <c r="M178" s="15" t="inlineStr"/>
      <c r="N178" s="18" t="inlineStr">
        <is>
          <t>Chưa test</t>
        </is>
      </c>
      <c r="O178" s="15" t="inlineStr"/>
      <c r="P178" s="15" t="inlineStr"/>
      <c r="Q178" s="18" t="inlineStr">
        <is>
          <t>Chưa test</t>
        </is>
      </c>
      <c r="R178" s="15" t="inlineStr"/>
    </row>
    <row r="179" ht="30" customHeight="1">
      <c r="A179" s="14" t="inlineStr">
        <is>
          <t>TC-ADM2-178</t>
        </is>
      </c>
      <c r="B179" s="15" t="inlineStr">
        <is>
          <t>Admin Console (đợt 2: Nội dung, Thanh toán, Khám phá)</t>
        </is>
      </c>
      <c r="C179" s="15" t="inlineStr">
        <is>
          <t>Thanh toán · Hoàn tiền (UI)</t>
        </is>
      </c>
      <c r="D179" s="15" t="inlineStr">
        <is>
          <t>Menu dòng Hoàn tiền: pending có Xem xét/Duyệt/Từ chối; còn lại chỉ 'Xem xét'</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79" s="15" t="inlineStr">
        <is>
          <t>1. Tab 'Yêu cầu mới', menu RF-1542230F
2. Tab 'Hoàn tất', menu RF-31968828</t>
        </is>
      </c>
      <c r="K179" s="15" t="inlineStr">
        <is>
          <t>-</t>
        </is>
      </c>
      <c r="L179" s="15" t="inlineStr">
        <is>
          <t>pending: Xem xét, Duyệt hoàn tiền, Từ chối (đỏ); approved/rejected: chỉ Xem xét. Bấm dòng/Xem xét mở /admin/payments/refunds/&lt;id&gt;.</t>
        </is>
      </c>
      <c r="M179" s="15" t="inlineStr"/>
      <c r="N179" s="18" t="inlineStr">
        <is>
          <t>Chưa test</t>
        </is>
      </c>
      <c r="O179" s="15" t="inlineStr"/>
      <c r="P179" s="15" t="inlineStr"/>
      <c r="Q179" s="18" t="inlineStr">
        <is>
          <t>Chưa test</t>
        </is>
      </c>
      <c r="R179" s="15" t="inlineStr"/>
    </row>
    <row r="180" ht="60" customHeight="1">
      <c r="A180" s="14" t="inlineStr">
        <is>
          <t>TC-ADM2-179</t>
        </is>
      </c>
      <c r="B180" s="15" t="inlineStr">
        <is>
          <t>Admin Console (đợt 2: Nội dung, Thanh toán, Khám phá)</t>
        </is>
      </c>
      <c r="C180" s="15" t="inlineStr">
        <is>
          <t>Thanh toán · Hoàn tiền (UI)</t>
        </is>
      </c>
      <c r="D180" s="15" t="inlineStr">
        <is>
          <t>Duyệt hoàn tiền từ bảng (đủ số tiền): modal, toast, trạng thái, thông báo khách</t>
        </is>
      </c>
      <c r="E180" s="15" t="inlineStr">
        <is>
          <t>Chức năng</t>
        </is>
      </c>
      <c r="F180" s="16" t="inlineStr">
        <is>
          <t>Cao</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80" s="15" t="inlineStr">
        <is>
          <t>1. Menu RF-6FF01B95 (Emma, $29) &gt; 'Duyệt hoàn tiền'
2. Giữ số tiền 29.00, ghi chú 'QA duyệt' &gt; 'Duyệt hoàn tiền'
3. Đăng nhập emma@ xem thông báo
4. Mở giao dịch TXN-F49368D6</t>
        </is>
      </c>
      <c r="K180" s="15" t="inlineStr">
        <is>
          <t>RF-6FF01B95</t>
        </is>
      </c>
      <c r="L180"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80" s="15" t="inlineStr"/>
      <c r="N180" s="18" t="inlineStr">
        <is>
          <t>Chưa test</t>
        </is>
      </c>
      <c r="O180" s="15" t="inlineStr"/>
      <c r="P180" s="15" t="inlineStr"/>
      <c r="Q180" s="18" t="inlineStr">
        <is>
          <t>Chưa test</t>
        </is>
      </c>
      <c r="R180" s="15" t="inlineStr"/>
    </row>
    <row r="181" ht="60" customHeight="1">
      <c r="A181" s="14" t="inlineStr">
        <is>
          <t>TC-ADM2-180</t>
        </is>
      </c>
      <c r="B181" s="15" t="inlineStr">
        <is>
          <t>Admin Console (đợt 2: Nội dung, Thanh toán, Khám phá)</t>
        </is>
      </c>
      <c r="C181" s="15" t="inlineStr">
        <is>
          <t>Thanh toán · Hoàn tiền (UI)</t>
        </is>
      </c>
      <c r="D181" s="15" t="inlineStr">
        <is>
          <t>Hoàn một phần từ bảng/chi tiết: số tiền mặc định bằng một nửa và validate</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81" s="15" t="inlineStr">
        <is>
          <t>1. Mở chi tiết RF-71FACC96 (Sarah, $79)
2. Bấm 'Hoàn một phần'
3. Quan sát số tiền mặc định, nhập 0 / 79.01 / 30
4. Xác nhận với 30.00</t>
        </is>
      </c>
      <c r="K181" s="15" t="inlineStr">
        <is>
          <t>RF-71FACC96</t>
        </is>
      </c>
      <c r="L181"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81" s="15" t="inlineStr"/>
      <c r="N181" s="18" t="inlineStr">
        <is>
          <t>Chưa test</t>
        </is>
      </c>
      <c r="O181" s="15" t="inlineStr"/>
      <c r="P181" s="15" t="inlineStr"/>
      <c r="Q181" s="18" t="inlineStr">
        <is>
          <t>Chưa test</t>
        </is>
      </c>
      <c r="R181" s="15" t="inlineStr"/>
    </row>
    <row r="182" ht="60" customHeight="1">
      <c r="A182" s="14" t="inlineStr">
        <is>
          <t>TC-ADM2-181</t>
        </is>
      </c>
      <c r="B182" s="15" t="inlineStr">
        <is>
          <t>Admin Console (đợt 2: Nội dung, Thanh toán, Khám phá)</t>
        </is>
      </c>
      <c r="C182" s="15" t="inlineStr">
        <is>
          <t>Thanh toán · Hoàn tiền (UI)</t>
        </is>
      </c>
      <c r="D182" s="15" t="inlineStr">
        <is>
          <t>Từ chối hoàn tiền: bắt buộc lý do (5 lựa chọn), toast, thông báo khách</t>
        </is>
      </c>
      <c r="E182" s="15" t="inlineStr">
        <is>
          <t>Chức năng</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82" s="15" t="inlineStr">
        <is>
          <t>1. Menu RF-AEB9A758 (Liam, $99) &gt; 'Từ chối'
2. Quan sát nút khi chưa chọn lý do
3. Chọn 'Yêu cầu trùng lặp', ghi chú 'QA' &gt; 'Từ chối'
4. liam@ xem thông báo</t>
        </is>
      </c>
      <c r="K182" s="15" t="inlineStr">
        <is>
          <t>RF-AEB9A758</t>
        </is>
      </c>
      <c r="L182"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82" s="15" t="inlineStr"/>
      <c r="N182" s="18" t="inlineStr">
        <is>
          <t>Chưa test</t>
        </is>
      </c>
      <c r="O182" s="15" t="inlineStr"/>
      <c r="P182" s="15" t="inlineStr"/>
      <c r="Q182" s="18" t="inlineStr">
        <is>
          <t>Chưa test</t>
        </is>
      </c>
      <c r="R182" s="15" t="inlineStr"/>
    </row>
    <row r="183" ht="30" customHeight="1">
      <c r="A183" s="14" t="inlineStr">
        <is>
          <t>TC-ADM2-182</t>
        </is>
      </c>
      <c r="B183" s="15" t="inlineStr">
        <is>
          <t>Admin Console (đợt 2: Nội dung, Thanh toán, Khám phá)</t>
        </is>
      </c>
      <c r="C183" s="15" t="inlineStr">
        <is>
          <t>Thanh toán · Hoàn tiền (UI)</t>
        </is>
      </c>
      <c r="D183" s="15" t="inlineStr">
        <is>
          <t>Chi tiết Hoàn tiền: các thẻ Yêu cầu, Lịch sử thanh toán, Lịch sử khách hàng, Quyết định</t>
        </is>
      </c>
      <c r="E183" s="15" t="inlineStr">
        <is>
          <t>Giao diện</t>
        </is>
      </c>
      <c r="F183" s="16" t="inlineStr">
        <is>
          <t>Cao</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83" s="15" t="inlineStr">
        <is>
          <t>1. Mở chi tiết RF-1542230F (Ava)</t>
        </is>
      </c>
      <c r="K183" s="15" t="inlineStr">
        <is>
          <t>RF-1542230F</t>
        </is>
      </c>
      <c r="L183"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83" s="15" t="inlineStr"/>
      <c r="N183" s="18" t="inlineStr">
        <is>
          <t>Chưa test</t>
        </is>
      </c>
      <c r="O183" s="15" t="inlineStr"/>
      <c r="P183" s="15" t="inlineStr"/>
      <c r="Q183" s="18" t="inlineStr">
        <is>
          <t>Chưa test</t>
        </is>
      </c>
      <c r="R183" s="15" t="inlineStr"/>
    </row>
    <row r="184" ht="30" customHeight="1">
      <c r="A184" s="14" t="inlineStr">
        <is>
          <t>TC-ADM2-183</t>
        </is>
      </c>
      <c r="B184" s="15" t="inlineStr">
        <is>
          <t>Admin Console (đợt 2: Nội dung, Thanh toán, Khám phá)</t>
        </is>
      </c>
      <c r="C184" s="15" t="inlineStr">
        <is>
          <t>Thanh toán · Hoàn tiền (UI)</t>
        </is>
      </c>
      <c r="D184" s="15" t="inlineStr">
        <is>
          <t>Chi tiết Hoàn tiền đã xử lý: nút bị khóa và hiện 'Trạng thái cuối cùng'</t>
        </is>
      </c>
      <c r="E184" s="15" t="inlineStr">
        <is>
          <t>Giao diện</t>
        </is>
      </c>
      <c r="F184" s="20" t="inlineStr">
        <is>
          <t>Trung bình</t>
        </is>
      </c>
      <c r="G184" s="17" t="inlineStr">
        <is>
          <t>Đã hoàn thiện</t>
        </is>
      </c>
      <c r="H184" s="17" t="inlineStr">
        <is>
          <t>Có</t>
        </is>
      </c>
      <c r="I1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84" s="15" t="inlineStr">
        <is>
          <t>1. Mở chi tiết RF-31968828 (Hoàn tất)
2. Mở chi tiết RF-65A6E89A (Đã từ chối)</t>
        </is>
      </c>
      <c r="K184" s="15" t="inlineStr">
        <is>
          <t>RF-31968828, RF-65A6E89A</t>
        </is>
      </c>
      <c r="L184"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84" s="15" t="inlineStr"/>
      <c r="N184" s="18" t="inlineStr">
        <is>
          <t>Chưa test</t>
        </is>
      </c>
      <c r="O184" s="15" t="inlineStr"/>
      <c r="P184" s="15" t="inlineStr"/>
      <c r="Q184" s="18" t="inlineStr">
        <is>
          <t>Chưa test</t>
        </is>
      </c>
      <c r="R184" s="15" t="inlineStr"/>
    </row>
    <row r="185" ht="30" customHeight="1">
      <c r="A185" s="14" t="inlineStr">
        <is>
          <t>TC-ADM2-184</t>
        </is>
      </c>
      <c r="B185" s="15" t="inlineStr">
        <is>
          <t>Admin Console (đợt 2: Nội dung, Thanh toán, Khám phá)</t>
        </is>
      </c>
      <c r="C185" s="15" t="inlineStr">
        <is>
          <t>Thanh toán · Hoàn tiền (UI)</t>
        </is>
      </c>
      <c r="D185" s="15" t="inlineStr">
        <is>
          <t>Ghi chú nhập ở khối Quyết định được chuyển vào modal xác nhận</t>
        </is>
      </c>
      <c r="E185" s="15" t="inlineStr">
        <is>
          <t>Chức năng</t>
        </is>
      </c>
      <c r="F185" s="17" t="inlineStr">
        <is>
          <t>Thấp</t>
        </is>
      </c>
      <c r="G185" s="17" t="inlineStr">
        <is>
          <t>Đã hoàn thiện</t>
        </is>
      </c>
      <c r="H185" s="17" t="inlineStr">
        <is>
          <t>Có</t>
        </is>
      </c>
      <c r="I1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85" s="15" t="inlineStr">
        <is>
          <t>1. Mở chi tiết RF-6FF01B95, gõ ghi chú 'Đã kiểm tra log' ở khối Quyết định
2. Bấm 'Duyệt hoàn tiền'</t>
        </is>
      </c>
      <c r="K185" s="15" t="inlineStr">
        <is>
          <t>Đã kiểm tra log</t>
        </is>
      </c>
      <c r="L185" s="15" t="inlineStr">
        <is>
          <t>Modal mở với 'Ghi chú quyết định' đã điền sẵn 'Đã kiểm tra log'; sau khi duyệt, chi tiết hiển thị 'Ghi chú: Đã kiểm tra log'.</t>
        </is>
      </c>
      <c r="M185" s="15" t="inlineStr"/>
      <c r="N185" s="18" t="inlineStr">
        <is>
          <t>Chưa test</t>
        </is>
      </c>
      <c r="O185" s="15" t="inlineStr"/>
      <c r="P185" s="15" t="inlineStr"/>
      <c r="Q185" s="18" t="inlineStr">
        <is>
          <t>Chưa test</t>
        </is>
      </c>
      <c r="R185" s="15" t="inlineStr"/>
    </row>
    <row r="186" ht="45" customHeight="1">
      <c r="A186" s="14" t="inlineStr">
        <is>
          <t>TC-ADM2-185</t>
        </is>
      </c>
      <c r="B186" s="15" t="inlineStr">
        <is>
          <t>Admin Console (đợt 2: Nội dung, Thanh toán, Khám phá)</t>
        </is>
      </c>
      <c r="C186" s="15" t="inlineStr">
        <is>
          <t>Thanh toán · Hoàn tiền (UI)</t>
        </is>
      </c>
      <c r="D186" s="15" t="inlineStr">
        <is>
          <t>Duyệt/Từ chối yêu cầu đã xử lý ở tab khác báo 409 trong modal</t>
        </is>
      </c>
      <c r="E186" s="15" t="inlineStr">
        <is>
          <t>Chức năng</t>
        </is>
      </c>
      <c r="F186" s="20" t="inlineStr">
        <is>
          <t>Trung bình</t>
        </is>
      </c>
      <c r="G186" s="17" t="inlineStr">
        <is>
          <t>Đã hoàn thiện</t>
        </is>
      </c>
      <c r="H186" s="20" t="inlineStr">
        <is>
          <t>Một phần</t>
        </is>
      </c>
      <c r="I1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86" s="15" t="inlineStr">
        <is>
          <t>1. Mở 2 tab, cùng tab 'Yêu cầu mới'
2. Tab 1 duyệt RF-AEB9A758
3. Tab 2 (chưa tải lại) bấm 'Từ chối' cùng dòng &gt; chọn lý do &gt; xác nhận</t>
        </is>
      </c>
      <c r="K186" s="15" t="inlineStr">
        <is>
          <t>RF-AEB9A758</t>
        </is>
      </c>
      <c r="L186" s="15" t="inlineStr">
        <is>
          <t>Tab 2 hiện lỗi 'Yêu cầu này đã được xử lý' trong modal, không đổi dữ liệu.</t>
        </is>
      </c>
      <c r="M186" s="15" t="inlineStr"/>
      <c r="N186" s="18" t="inlineStr">
        <is>
          <t>Chưa test</t>
        </is>
      </c>
      <c r="O186" s="15" t="inlineStr"/>
      <c r="P186" s="15" t="inlineStr"/>
      <c r="Q186" s="18" t="inlineStr">
        <is>
          <t>Chưa test</t>
        </is>
      </c>
      <c r="R186" s="15" t="inlineStr"/>
    </row>
    <row r="187" ht="90" customHeight="1">
      <c r="A187" s="14" t="inlineStr">
        <is>
          <t>TC-ADM2-186</t>
        </is>
      </c>
      <c r="B187" s="15" t="inlineStr">
        <is>
          <t>Admin Console (đợt 2: Nội dung, Thanh toán, Khám phá)</t>
        </is>
      </c>
      <c r="C187" s="15" t="inlineStr">
        <is>
          <t>Thanh toán · Hoàn tiền (API)</t>
        </is>
      </c>
      <c r="D187" s="15" t="inlineStr">
        <is>
          <t>GET /payments/refunds: list/summary, lọc status/courseId, q, sort, 400</t>
        </is>
      </c>
      <c r="E187" s="15" t="inlineStr">
        <is>
          <t>Chức năng</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87" s="15" t="inlineStr">
        <is>
          <t>1. GET /payments/refunds/summary
2. GET /payments/refunds?status=pending&amp;courseId=pixel-pro
3. GET /payments/refunds?q=RF-1542230F
4. GET /payments/refunds?sort=amount&amp;limit=3
5. GET /payments/refunds?status=bogus
6. GET /payments/refunds?sort=bogus</t>
        </is>
      </c>
      <c r="K187" s="15" t="inlineStr">
        <is>
          <t>-</t>
        </is>
      </c>
      <c r="L187" s="15" t="inlineStr">
        <is>
          <t>summary {pending:5,approved:4,rejected:2,pendingAmountCents:32500,refundedAmountCents:20650}; pending+pixel-pro ra RF-1542230F, RF-AEB9A758; q ra đúng RF; sort=amount $99 trước; sai giá trị 400. Phần tử: code RF-..., transactionCode, customer, creator, community, amountCents, paymentAmountCents, status, auto, note, requestedAt, resolvedAt, resolvedBy.</t>
        </is>
      </c>
      <c r="M187" s="15" t="inlineStr"/>
      <c r="N187" s="18" t="inlineStr">
        <is>
          <t>Chưa test</t>
        </is>
      </c>
      <c r="O187" s="15" t="inlineStr"/>
      <c r="P187" s="15" t="inlineStr"/>
      <c r="Q187" s="18" t="inlineStr">
        <is>
          <t>Chưa test</t>
        </is>
      </c>
      <c r="R187" s="15" t="inlineStr"/>
    </row>
    <row r="188" ht="45" customHeight="1">
      <c r="A188" s="14" t="inlineStr">
        <is>
          <t>TC-ADM2-187</t>
        </is>
      </c>
      <c r="B188" s="15" t="inlineStr">
        <is>
          <t>Admin Console (đợt 2: Nội dung, Thanh toán, Khám phá)</t>
        </is>
      </c>
      <c r="C188" s="15" t="inlineStr">
        <is>
          <t>Thanh toán · Hoàn tiền (API)</t>
        </is>
      </c>
      <c r="D188" s="15" t="inlineStr">
        <is>
          <t>GET /payments/refunds/:id: payment, paymentHistory, customerHistory, creatorResponse=null</t>
        </is>
      </c>
      <c r="E188" s="15" t="inlineStr">
        <is>
          <t>Chức năng</t>
        </is>
      </c>
      <c r="F188" s="16" t="inlineStr">
        <is>
          <t>Cao</t>
        </is>
      </c>
      <c r="G188" s="17" t="inlineStr">
        <is>
          <t>Đã hoàn thiện</t>
        </is>
      </c>
      <c r="H188" s="17" t="inlineStr">
        <is>
          <t>Có</t>
        </is>
      </c>
      <c r="I18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88" s="15" t="inlineStr">
        <is>
          <t>1. Lấy id RF-1542230F
2. GET /payments/refunds/&lt;id&gt;
3. GET /payments/refunds/nope</t>
        </is>
      </c>
      <c r="K188" s="15" t="inlineStr">
        <is>
          <t>RF-1542230F</t>
        </is>
      </c>
      <c r="L188" s="15" t="inlineStr">
        <is>
          <t>200: payment (AdminTransaction TXN-763C9F36), paymentHistory (giao dịch của khách ở cộng đồng, &lt;=10), customerHistory {memberSince, previousRefunds[&lt;=5], reportsReceived}, creatorResponse=null, history; nope 404.</t>
        </is>
      </c>
      <c r="M188" s="15" t="inlineStr"/>
      <c r="N188" s="18" t="inlineStr">
        <is>
          <t>Chưa test</t>
        </is>
      </c>
      <c r="O188" s="15" t="inlineStr"/>
      <c r="P188" s="15" t="inlineStr"/>
      <c r="Q188" s="18" t="inlineStr">
        <is>
          <t>Chưa test</t>
        </is>
      </c>
      <c r="R188" s="15" t="inlineStr"/>
    </row>
    <row r="189" ht="105" customHeight="1">
      <c r="A189" s="14" t="inlineStr">
        <is>
          <t>TC-ADM2-188</t>
        </is>
      </c>
      <c r="B189" s="15" t="inlineStr">
        <is>
          <t>Admin Console (đợt 2: Nội dung, Thanh toán, Khám phá)</t>
        </is>
      </c>
      <c r="C189" s="15" t="inlineStr">
        <is>
          <t>Thanh toán · Hoàn tiền (API)</t>
        </is>
      </c>
      <c r="D189" s="15" t="inlineStr">
        <is>
          <t>POST approve (đủ/một phần), reject, 400/409/404 và audit</t>
        </is>
      </c>
      <c r="E189" s="15" t="inlineStr">
        <is>
          <t>Chức năng</t>
        </is>
      </c>
      <c r="F189" s="16" t="inlineStr">
        <is>
          <t>Cao</t>
        </is>
      </c>
      <c r="G189" s="17" t="inlineStr">
        <is>
          <t>Đã hoàn thiện</t>
        </is>
      </c>
      <c r="H189" s="17" t="inlineStr">
        <is>
          <t>Có</t>
        </is>
      </c>
      <c r="I1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89"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89" s="15" t="inlineStr">
        <is>
          <t>RF-71FACC96, RF-AEB9A758</t>
        </is>
      </c>
      <c r="L189" s="15" t="inlineStr">
        <is>
          <t>Đúng mã; sau approve một phần: Payment.refundedCents=3000, enrollment người mua giữ nguyên; thông báo khách 'Hoàn tiền thành công' / 'Yêu cầu hoàn tiền bị từ chối'; audit refund.approve và refund.reject.</t>
        </is>
      </c>
      <c r="M189" s="15" t="inlineStr"/>
      <c r="N189" s="18" t="inlineStr">
        <is>
          <t>Chưa test</t>
        </is>
      </c>
      <c r="O189" s="15" t="inlineStr"/>
      <c r="P189" s="15" t="inlineStr"/>
      <c r="Q189" s="18" t="inlineStr">
        <is>
          <t>Chưa test</t>
        </is>
      </c>
      <c r="R189" s="15" t="inlineStr"/>
    </row>
    <row r="190" ht="60" customHeight="1">
      <c r="A190" s="14" t="inlineStr">
        <is>
          <t>TC-ADM2-189</t>
        </is>
      </c>
      <c r="B190" s="15" t="inlineStr">
        <is>
          <t>Admin Console (đợt 2: Nội dung, Thanh toán, Khám phá)</t>
        </is>
      </c>
      <c r="C190" s="15" t="inlineStr">
        <is>
          <t>Thanh toán · Hoàn tiền (API)</t>
        </is>
      </c>
      <c r="D190" s="15" t="inlineStr">
        <is>
          <t>Endpoint cũ GET/PATCH /api/admin/refunds vẫn hoạt động (hồi quy)</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90" s="15" t="inlineStr">
        <is>
          <t>1. GET /api/admin/refunds?status=pending
2. PATCH /api/admin/refunds/&lt;id RF-6FF01B95&gt; {"action":"approve"}
3. PATCH /api/admin/refunds/&lt;id khác&gt; {"action":"reject","note":"x"}
4. PATCH {"action":"hold"}</t>
        </is>
      </c>
      <c r="K190" s="15" t="inlineStr">
        <is>
          <t>-</t>
        </is>
      </c>
      <c r="L190" s="15" t="inlineStr">
        <is>
          <t>GET 200 (5 yêu cầu pending); PATCH approve 200 -&gt; refund 'approved' và giao dịch hoàn tiền; reject 200; action lạ 400; audit payment.refund_resolve; kết quả khớp trang mới /admin/payments/refunds.</t>
        </is>
      </c>
      <c r="M190" s="15" t="inlineStr"/>
      <c r="N190" s="18" t="inlineStr">
        <is>
          <t>Chưa test</t>
        </is>
      </c>
      <c r="O190" s="15" t="inlineStr"/>
      <c r="P190" s="15" t="inlineStr"/>
      <c r="Q190" s="18" t="inlineStr">
        <is>
          <t>Chưa test</t>
        </is>
      </c>
      <c r="R190" s="15" t="inlineStr"/>
    </row>
    <row r="191" ht="30" customHeight="1">
      <c r="A191" s="14" t="inlineStr">
        <is>
          <t>TC-ADM2-190</t>
        </is>
      </c>
      <c r="B191" s="15" t="inlineStr">
        <is>
          <t>Admin Console (đợt 2: Nội dung, Thanh toán, Khám phá)</t>
        </is>
      </c>
      <c r="C191" s="15" t="inlineStr">
        <is>
          <t>Thanh toán · Hoàn tiền (API)</t>
        </is>
      </c>
      <c r="D191" s="15" t="inlineStr">
        <is>
          <t>Yêu cầu hoàn tiền của khách trong cửa sổ 7 ngày tự duyệt, ngoài cửa sổ chờ admin</t>
        </is>
      </c>
      <c r="E191" s="15" t="inlineStr">
        <is>
          <t>Chức năng</t>
        </is>
      </c>
      <c r="F191" s="16" t="inlineStr">
        <is>
          <t>Cao</t>
        </is>
      </c>
      <c r="G191" s="17" t="inlineStr">
        <is>
          <t>Đã hoàn thiện</t>
        </is>
      </c>
      <c r="H191" s="16" t="inlineStr">
        <is>
          <t>Không</t>
        </is>
      </c>
      <c r="I191" s="15" t="inlineStr">
        <is>
          <t>DB sạch sau npm run db:reset (có seed/admin-batch2.ts; mã POST-/CMT-/TXN-/SUB-/RF-/PO- cố định, xem sheet 'Tài khoản &amp; dữ liệu test' mục A3). Đăng nhập newbie@sofinhub.test; có giao dịch thành công của newbie (checkout + confirm growth-lab). Case làm thay đổi dữ liệu seed (MUTATE) - khôi phục bằng npm run db:reset (db:seed là idempotent chỉ-tạo nên KHÔNG hoàn tác thao tác admin đã làm); hoặc chạy trên bản ghi khác chưa bị đụng tới.</t>
        </is>
      </c>
      <c r="J191" s="15" t="inlineStr">
        <is>
          <t>1. newbie@: POST /api/payments/&lt;id&gt;/refund-request {reason:'Đổi ý'} (trong 7 ngày)
2. Admin xem /admin/payments/refunds</t>
        </is>
      </c>
      <c r="K191" s="15" t="inlineStr">
        <is>
          <t>newbie growth-lab</t>
        </is>
      </c>
      <c r="L191" s="15" t="inlineStr">
        <is>
          <t>Trong cửa sổ REFUND_WINDOW_DAYS=7: yêu cầu tự duyệt (auto=true, 'Hoàn tất'); ngoài cửa sổ (đặt createdAt/confirmedAt cũ 10 ngày) thì ở 'Yêu cầu mới' chờ admin. [PHỤ THUỘC QUYẾT ĐỊNH CHƯA CHỐT] chính sách hoàn tiền 7 ngày chưa chốt.</t>
        </is>
      </c>
      <c r="M191" s="15" t="inlineStr"/>
      <c r="N191" s="18" t="inlineStr">
        <is>
          <t>Chưa test</t>
        </is>
      </c>
      <c r="O191" s="15" t="inlineStr"/>
      <c r="P191" s="15" t="inlineStr"/>
      <c r="Q191" s="18" t="inlineStr">
        <is>
          <t>Chưa test</t>
        </is>
      </c>
      <c r="R191" s="15" t="inlineStr"/>
    </row>
    <row r="192" ht="45" customHeight="1">
      <c r="A192" s="14" t="inlineStr">
        <is>
          <t>TC-ADM2-191</t>
        </is>
      </c>
      <c r="B192" s="15" t="inlineStr">
        <is>
          <t>Admin Console (đợt 2: Nội dung, Thanh toán, Khám phá)</t>
        </is>
      </c>
      <c r="C192" s="15" t="inlineStr">
        <is>
          <t>Thanh toán · Tranh chấp (mô phỏng)</t>
        </is>
      </c>
      <c r="D192" s="15" t="inlineStr">
        <is>
          <t>Trang Tranh chấp: 4 KPI và tab có đếm</t>
        </is>
      </c>
      <c r="E192" s="15" t="inlineStr">
        <is>
          <t>Giao diện</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92" s="15" t="inlineStr">
        <is>
          <t>1. Mở /admin/payments/chargebacks
2. Đọc KPI 'Đang mở', 'Thắng', 'Thua', 'Số tiền tranh chấp'
3. Đọc số đếm tab</t>
        </is>
      </c>
      <c r="K192" s="15" t="inlineStr">
        <is>
          <t>-</t>
        </is>
      </c>
      <c r="L192"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92" s="15" t="inlineStr"/>
      <c r="N192" s="18" t="inlineStr">
        <is>
          <t>Chưa test</t>
        </is>
      </c>
      <c r="O192" s="15" t="inlineStr"/>
      <c r="P192" s="15" t="inlineStr"/>
      <c r="Q192" s="18" t="inlineStr">
        <is>
          <t>Chưa test</t>
        </is>
      </c>
      <c r="R192" s="15" t="inlineStr"/>
    </row>
    <row r="193" ht="30" customHeight="1">
      <c r="A193" s="14" t="inlineStr">
        <is>
          <t>TC-ADM2-192</t>
        </is>
      </c>
      <c r="B193" s="15" t="inlineStr">
        <is>
          <t>Admin Console (đợt 2: Nội dung, Thanh toán, Khám phá)</t>
        </is>
      </c>
      <c r="C193" s="15" t="inlineStr">
        <is>
          <t>Thanh toán · Tranh chấp (mô phỏng)</t>
        </is>
      </c>
      <c r="D193" s="15" t="inlineStr">
        <is>
          <t>Bảng Tranh chấp: cột, sắp theo hạn chót, nhãn lý do/bằng chứng</t>
        </is>
      </c>
      <c r="E193" s="15" t="inlineStr">
        <is>
          <t>Giao diện</t>
        </is>
      </c>
      <c r="F193" s="20" t="inlineStr">
        <is>
          <t>Trung bình</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93" s="15" t="inlineStr">
        <is>
          <t>1. Mở trang, quan sát thứ tự dòng
2. Tab 'Mở'</t>
        </is>
      </c>
      <c r="K193" s="15" t="inlineStr">
        <is>
          <t>-</t>
        </is>
      </c>
      <c r="L193"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93" s="15" t="inlineStr"/>
      <c r="N193" s="18" t="inlineStr">
        <is>
          <t>Chưa test</t>
        </is>
      </c>
      <c r="O193" s="15" t="inlineStr"/>
      <c r="P193" s="15" t="inlineStr"/>
      <c r="Q193" s="18" t="inlineStr">
        <is>
          <t>Chưa test</t>
        </is>
      </c>
      <c r="R193" s="15" t="inlineStr"/>
    </row>
    <row r="194" ht="45" customHeight="1">
      <c r="A194" s="14" t="inlineStr">
        <is>
          <t>TC-ADM2-193</t>
        </is>
      </c>
      <c r="B194" s="15" t="inlineStr">
        <is>
          <t>Admin Console (đợt 2: Nội dung, Thanh toán, Khám phá)</t>
        </is>
      </c>
      <c r="C194" s="15" t="inlineStr">
        <is>
          <t>Thanh toán · Tranh chấp (mô phỏng)</t>
        </is>
      </c>
      <c r="D194" s="15" t="inlineStr">
        <is>
          <t>Tìm Tranh chấp theo mã CB, mã TXN, tên khách</t>
        </is>
      </c>
      <c r="E194" s="15" t="inlineStr">
        <is>
          <t>Chức năng</t>
        </is>
      </c>
      <c r="F194" s="20" t="inlineStr">
        <is>
          <t>Trung bình</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94" s="15" t="inlineStr">
        <is>
          <t>1. Gõ 'Daniel'
2. Gõ 'Noah'
3. Gõ mã CB của một dòng bất kỳ</t>
        </is>
      </c>
      <c r="K194" s="15" t="inlineStr">
        <is>
          <t>Daniel | Noah | CB-000nn</t>
        </is>
      </c>
      <c r="L194" s="15" t="inlineStr">
        <is>
          <t>Lần 1: 2 tranh chấp mở của Daniel; lần 2: 1 tranh chấp 'Thua' của Noah; lần 3: đúng dòng đó.</t>
        </is>
      </c>
      <c r="M194" s="15" t="inlineStr"/>
      <c r="N194" s="18" t="inlineStr">
        <is>
          <t>Chưa test</t>
        </is>
      </c>
      <c r="O194" s="15" t="inlineStr"/>
      <c r="P194" s="15" t="inlineStr"/>
      <c r="Q194" s="18" t="inlineStr">
        <is>
          <t>Chưa test</t>
        </is>
      </c>
      <c r="R194" s="15" t="inlineStr"/>
    </row>
    <row r="195" ht="45" customHeight="1">
      <c r="A195" s="14" t="inlineStr">
        <is>
          <t>TC-ADM2-194</t>
        </is>
      </c>
      <c r="B195" s="15" t="inlineStr">
        <is>
          <t>Admin Console (đợt 2: Nội dung, Thanh toán, Khám phá)</t>
        </is>
      </c>
      <c r="C195" s="15" t="inlineStr">
        <is>
          <t>Thanh toán · Tranh chấp (mô phỏng)</t>
        </is>
      </c>
      <c r="D195" s="15" t="inlineStr">
        <is>
          <t>Menu dòng Tranh chấp theo trạng thái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95" s="15" t="inlineStr">
        <is>
          <t>1. Menu dòng 'Mở'
2. Menu dòng 'Đang xem xét'
3. Menu dòng 'Thắng'/'Thua'</t>
        </is>
      </c>
      <c r="K195" s="15" t="inlineStr">
        <is>
          <t>-</t>
        </is>
      </c>
      <c r="L195" s="15" t="inlineStr">
        <is>
          <t>Mở: Nộp bằng chứng, Chấp nhận (đỏ), Xem. Đang xem xét: Đánh dấu thắng, Đánh dấu thua (đỏ), Chấp nhận (đỏ), Xem. Thắng/Thua: chỉ Xem.</t>
        </is>
      </c>
      <c r="M195" s="15" t="inlineStr"/>
      <c r="N195" s="18" t="inlineStr">
        <is>
          <t>Chưa test</t>
        </is>
      </c>
      <c r="O195" s="15" t="inlineStr"/>
      <c r="P195" s="15" t="inlineStr"/>
      <c r="Q195" s="18" t="inlineStr">
        <is>
          <t>Chưa test</t>
        </is>
      </c>
      <c r="R195" s="15" t="inlineStr"/>
    </row>
    <row r="196" ht="30" customHeight="1">
      <c r="A196" s="14" t="inlineStr">
        <is>
          <t>TC-ADM2-195</t>
        </is>
      </c>
      <c r="B196" s="15" t="inlineStr">
        <is>
          <t>Admin Console (đợt 2: Nội dung, Thanh toán, Khám phá)</t>
        </is>
      </c>
      <c r="C196" s="15" t="inlineStr">
        <is>
          <t>Thanh toán · Tranh chấp (mô phỏng)</t>
        </is>
      </c>
      <c r="D196" s="15" t="inlineStr">
        <is>
          <t>Xem chi tiết tranh chấp (modal) hiển thị lý do, hạn chót, bằng chứng, mã cổng, lịch sử</t>
        </is>
      </c>
      <c r="E196" s="15" t="inlineStr">
        <is>
          <t>Chức năng</t>
        </is>
      </c>
      <c r="F196" s="20" t="inlineStr">
        <is>
          <t>Trung bình</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96" s="15" t="inlineStr">
        <is>
          <t>1. Bấm dòng tranh chấp 'Đang xem xét' của Alex ('Chưa nhận sản phẩm')</t>
        </is>
      </c>
      <c r="K196" s="15" t="inlineStr">
        <is>
          <t>Alex / product_not_received</t>
        </is>
      </c>
      <c r="L196"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96" s="15" t="inlineStr"/>
      <c r="N196" s="18" t="inlineStr">
        <is>
          <t>Chưa test</t>
        </is>
      </c>
      <c r="O196" s="15" t="inlineStr"/>
      <c r="P196" s="15" t="inlineStr"/>
      <c r="Q196" s="18" t="inlineStr">
        <is>
          <t>Chưa test</t>
        </is>
      </c>
      <c r="R196" s="15" t="inlineStr"/>
    </row>
    <row r="197" ht="60" customHeight="1">
      <c r="A197" s="14" t="inlineStr">
        <is>
          <t>TC-ADM2-196</t>
        </is>
      </c>
      <c r="B197" s="15" t="inlineStr">
        <is>
          <t>Admin Console (đợt 2: Nội dung, Thanh toán, Khám phá)</t>
        </is>
      </c>
      <c r="C197" s="15" t="inlineStr">
        <is>
          <t>Thanh toán · Tranh chấp (mô phỏng)</t>
        </is>
      </c>
      <c r="D197" s="15" t="inlineStr">
        <is>
          <t>Nộp bằng chứng: bắt buộc nội dung, kiểm tra URL, chuyển 'Đang xem xét'</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97" s="15" t="inlineStr">
        <is>
          <t>1. Menu tranh chấp Alex 'Gian lận' (mở) &gt; 'Nộp bằng chứng'
2. Quan sát nút khi chưa nhập nội dung
3. Nhập nội dung 'Nhật ký truy cập', liên kết 'abc' rồi sửa thành 'https://x.test/e.pdf'
4. Xác nhận</t>
        </is>
      </c>
      <c r="K197" s="15" t="inlineStr">
        <is>
          <t>Alex / fraudulent</t>
        </is>
      </c>
      <c r="L197"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97" s="15" t="inlineStr"/>
      <c r="N197" s="18" t="inlineStr">
        <is>
          <t>Chưa test</t>
        </is>
      </c>
      <c r="O197" s="15" t="inlineStr"/>
      <c r="P197" s="15" t="inlineStr"/>
      <c r="Q197" s="18" t="inlineStr">
        <is>
          <t>Chưa test</t>
        </is>
      </c>
      <c r="R197" s="15" t="inlineStr"/>
    </row>
    <row r="198" ht="45" customHeight="1">
      <c r="A198" s="14" t="inlineStr">
        <is>
          <t>TC-ADM2-197</t>
        </is>
      </c>
      <c r="B198" s="15" t="inlineStr">
        <is>
          <t>Admin Console (đợt 2: Nội dung, Thanh toán, Khám phá)</t>
        </is>
      </c>
      <c r="C198" s="15" t="inlineStr">
        <is>
          <t>Thanh toán · Tranh chấp (mô phỏng)</t>
        </is>
      </c>
      <c r="D198" s="15" t="inlineStr">
        <is>
          <t>Đánh dấu THẮNG tranh chấp đang xem xét: giữ nguyên giao dịch, thông báo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98" s="15" t="inlineStr">
        <is>
          <t>1. Menu tranh chấp Alex 'Chưa nhận sản phẩm' (đang xem xét) &gt; 'Đánh dấu thắng' &gt; xác nhận
2. Kiểm tra giao dịch liên quan
3. sarah@ xem thông báo</t>
        </is>
      </c>
      <c r="K198" s="15" t="inlineStr">
        <is>
          <t>Alex / product_not_received</t>
        </is>
      </c>
      <c r="L198"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98" s="15" t="inlineStr"/>
      <c r="N198" s="18" t="inlineStr">
        <is>
          <t>Chưa test</t>
        </is>
      </c>
      <c r="O198" s="15" t="inlineStr"/>
      <c r="P198" s="15" t="inlineStr"/>
      <c r="Q198" s="18" t="inlineStr">
        <is>
          <t>Chưa test</t>
        </is>
      </c>
      <c r="R198" s="15" t="inlineStr"/>
    </row>
    <row r="199" ht="30" customHeight="1">
      <c r="A199" s="14" t="inlineStr">
        <is>
          <t>TC-ADM2-198</t>
        </is>
      </c>
      <c r="B199" s="15" t="inlineStr">
        <is>
          <t>Admin Console (đợt 2: Nội dung, Thanh toán, Khám phá)</t>
        </is>
      </c>
      <c r="C199" s="15" t="inlineStr">
        <is>
          <t>Thanh toán · Tranh chấp (mô phỏng)</t>
        </is>
      </c>
      <c r="D199" s="15" t="inlineStr">
        <is>
          <t>Đánh dấu THUA: hoàn tiền giao dịch (đánh dấu refunded) và thu hồi quyền khi là kỳ hiện tại</t>
        </is>
      </c>
      <c r="E199" s="15" t="inlineStr">
        <is>
          <t>Chức năng</t>
        </is>
      </c>
      <c r="F199" s="16" t="inlineStr">
        <is>
          <t>Cao</t>
        </is>
      </c>
      <c r="G199" s="17" t="inlineStr">
        <is>
          <t>Đã hoàn thiện</t>
        </is>
      </c>
      <c r="H199" s="17" t="inlineStr">
        <is>
          <t>Có</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99" s="15" t="inlineStr">
        <is>
          <t>1. Nộp bằng chứng cho tranh chấp Daniel 'Trùng lặp' rồi 'Đánh dấu thua' &gt; xác nhận
2. Mở giao dịch liên quan</t>
        </is>
      </c>
      <c r="K199" s="15" t="inlineStr">
        <is>
          <t>Daniel / duplicate</t>
        </is>
      </c>
      <c r="L199"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99" s="15" t="inlineStr"/>
      <c r="N199" s="18" t="inlineStr">
        <is>
          <t>Chưa test</t>
        </is>
      </c>
      <c r="O199" s="15" t="inlineStr"/>
      <c r="P199" s="15" t="inlineStr"/>
      <c r="Q199" s="18" t="inlineStr">
        <is>
          <t>Chưa test</t>
        </is>
      </c>
      <c r="R199" s="15" t="inlineStr"/>
    </row>
    <row r="200" ht="30" customHeight="1">
      <c r="A200" s="14" t="inlineStr">
        <is>
          <t>TC-ADM2-199</t>
        </is>
      </c>
      <c r="B200" s="15" t="inlineStr">
        <is>
          <t>Admin Console (đợt 2: Nội dung, Thanh toán, Khám phá)</t>
        </is>
      </c>
      <c r="C200" s="15" t="inlineStr">
        <is>
          <t>Thanh toán · Tranh chấp (mô phỏng)</t>
        </is>
      </c>
      <c r="D200" s="15" t="inlineStr">
        <is>
          <t>Chấp nhận tranh chấp (từ Mở): Thua + hoàn tiền; tranh chấp đã hoàn thì không hoàn lần 2</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200" s="15" t="inlineStr">
        <is>
          <t>1. Menu tranh chấp Daniel 'Đã hủy gói' (mở) &gt; 'Chấp nhận' &gt; xác nhận</t>
        </is>
      </c>
      <c r="K200" s="15" t="inlineStr">
        <is>
          <t>Daniel / subscription_cancelled</t>
        </is>
      </c>
      <c r="L200" s="15" t="inlineStr">
        <is>
          <t>Nội dung 'Giao dịch được hoàn tiền $49.00 và thu hồi quyền truy cập. Tranh chấp tính là THUA.'; toast 'Đã chấp nhận tranh chấp'; trạng thái 'Thua'; giao dịch 'Đã hoàn tiền'; audit chargeback.accept.</t>
        </is>
      </c>
      <c r="M200" s="15" t="inlineStr"/>
      <c r="N200" s="18" t="inlineStr">
        <is>
          <t>Chưa test</t>
        </is>
      </c>
      <c r="O200" s="15" t="inlineStr"/>
      <c r="P200" s="15" t="inlineStr"/>
      <c r="Q200" s="18" t="inlineStr">
        <is>
          <t>Chưa test</t>
        </is>
      </c>
      <c r="R200" s="15" t="inlineStr"/>
    </row>
    <row r="201" ht="30" customHeight="1">
      <c r="A201" s="14" t="inlineStr">
        <is>
          <t>TC-ADM2-200</t>
        </is>
      </c>
      <c r="B201" s="15" t="inlineStr">
        <is>
          <t>Admin Console (đợt 2: Nội dung, Thanh toán, Khám phá)</t>
        </is>
      </c>
      <c r="C201" s="15" t="inlineStr">
        <is>
          <t>Thanh toán · Tranh chấp (mô phỏng)</t>
        </is>
      </c>
      <c r="D201" s="15" t="inlineStr">
        <is>
          <t>Tranh chấp đã Thắng/Thua không còn thao tác chốt (chỉ 'Xem')</t>
        </is>
      </c>
      <c r="E201" s="15" t="inlineStr">
        <is>
          <t>Chức năng</t>
        </is>
      </c>
      <c r="F201" s="17" t="inlineStr">
        <is>
          <t>Thấp</t>
        </is>
      </c>
      <c r="G201" s="17" t="inlineStr">
        <is>
          <t>Đã hoàn thiện</t>
        </is>
      </c>
      <c r="H201" s="17" t="inlineStr">
        <is>
          <t>Có</t>
        </is>
      </c>
      <c r="I2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201" s="15" t="inlineStr">
        <is>
          <t>1. Mở menu dòng 'Thắng' của Maya và 'Thua' của Noah</t>
        </is>
      </c>
      <c r="K201" s="15" t="inlineStr">
        <is>
          <t>-</t>
        </is>
      </c>
      <c r="L201" s="15" t="inlineStr">
        <is>
          <t>Chỉ có 'Xem'; xem chi tiết có 'Hạn chót' đã qua, thông tin chốt (Accepted: customer proved fraud / Evidence accepted by issuer) nằm trong dữ liệu.</t>
        </is>
      </c>
      <c r="M201" s="15" t="inlineStr"/>
      <c r="N201" s="18" t="inlineStr">
        <is>
          <t>Chưa test</t>
        </is>
      </c>
      <c r="O201" s="15" t="inlineStr"/>
      <c r="P201" s="15" t="inlineStr"/>
      <c r="Q201" s="18" t="inlineStr">
        <is>
          <t>Chưa test</t>
        </is>
      </c>
      <c r="R201" s="15" t="inlineStr"/>
    </row>
    <row r="202" ht="30" customHeight="1">
      <c r="A202" s="14" t="inlineStr">
        <is>
          <t>TC-ADM2-201</t>
        </is>
      </c>
      <c r="B202" s="15" t="inlineStr">
        <is>
          <t>Admin Console (đợt 2: Nội dung, Thanh toán, Khám phá)</t>
        </is>
      </c>
      <c r="C202" s="15" t="inlineStr">
        <is>
          <t>Thanh toán · Tranh chấp (mô phỏng)</t>
        </is>
      </c>
      <c r="D202" s="15" t="inlineStr">
        <is>
          <t>Tranh chấp rỗng hiển thị 'Chưa có tranh chấp nào.'</t>
        </is>
      </c>
      <c r="E202" s="15" t="inlineStr">
        <is>
          <t>Giao diện</t>
        </is>
      </c>
      <c r="F202" s="17" t="inlineStr">
        <is>
          <t>Thấp</t>
        </is>
      </c>
      <c r="G202" s="17" t="inlineStr">
        <is>
          <t>Đã hoàn thiện</t>
        </is>
      </c>
      <c r="H202" s="17" t="inlineStr">
        <is>
          <t>Có</t>
        </is>
      </c>
      <c r="I2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02" s="15" t="inlineStr">
        <is>
          <t>1. Tìm 'zzzkhongco' ở trang Tranh chấp</t>
        </is>
      </c>
      <c r="K202" s="15" t="inlineStr">
        <is>
          <t>zzzkhongco</t>
        </is>
      </c>
      <c r="L202" s="15" t="inlineStr">
        <is>
          <t>Hiện 'Chưa có tranh chấp nào.'; KPI giữ nguyên.</t>
        </is>
      </c>
      <c r="M202" s="15" t="inlineStr"/>
      <c r="N202" s="18" t="inlineStr">
        <is>
          <t>Chưa test</t>
        </is>
      </c>
      <c r="O202" s="15" t="inlineStr"/>
      <c r="P202" s="15" t="inlineStr"/>
      <c r="Q202" s="18" t="inlineStr">
        <is>
          <t>Chưa test</t>
        </is>
      </c>
      <c r="R202" s="15" t="inlineStr"/>
    </row>
    <row r="203" ht="135" customHeight="1">
      <c r="A203" s="14" t="inlineStr">
        <is>
          <t>TC-ADM2-202</t>
        </is>
      </c>
      <c r="B203" s="15" t="inlineStr">
        <is>
          <t>Admin Console (đợt 2: Nội dung, Thanh toán, Khám phá)</t>
        </is>
      </c>
      <c r="C203" s="15" t="inlineStr">
        <is>
          <t>Thanh toán · Tranh chấp (API)</t>
        </is>
      </c>
      <c r="D203" s="15" t="inlineStr">
        <is>
          <t>GET /payments/chargebacks: list/summary/detail, lọc status/reason/courseId, sort deadline</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203"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203" s="15" t="inlineStr">
        <is>
          <t>-</t>
        </is>
      </c>
      <c r="L203"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203" s="15" t="inlineStr"/>
      <c r="N203" s="18" t="inlineStr">
        <is>
          <t>Chưa test</t>
        </is>
      </c>
      <c r="O203" s="15" t="inlineStr"/>
      <c r="P203" s="15" t="inlineStr"/>
      <c r="Q203" s="18" t="inlineStr">
        <is>
          <t>Chưa test</t>
        </is>
      </c>
      <c r="R203" s="15" t="inlineStr"/>
    </row>
    <row r="204" ht="120" customHeight="1">
      <c r="A204" s="14" t="inlineStr">
        <is>
          <t>TC-ADM2-203</t>
        </is>
      </c>
      <c r="B204" s="15" t="inlineStr">
        <is>
          <t>Admin Console (đợt 2: Nội dung, Thanh toán, Khám phá)</t>
        </is>
      </c>
      <c r="C204" s="15" t="inlineStr">
        <is>
          <t>Thanh toán · Tranh chấp (API)</t>
        </is>
      </c>
      <c r="D204" s="15" t="inlineStr">
        <is>
          <t>POST /payments/chargebacks (giả lập): validate, tạo 201, 409 trùng/giao dịch không hợp lệ</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204"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204" s="15" t="inlineStr">
        <is>
          <t>TXN-E8AF54EA</t>
        </is>
      </c>
      <c r="L204"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204" s="15" t="inlineStr"/>
      <c r="N204" s="18" t="inlineStr">
        <is>
          <t>Chưa test</t>
        </is>
      </c>
      <c r="O204" s="15" t="inlineStr"/>
      <c r="P204" s="15" t="inlineStr"/>
      <c r="Q204" s="18" t="inlineStr">
        <is>
          <t>Chưa test</t>
        </is>
      </c>
      <c r="R204" s="15" t="inlineStr"/>
    </row>
    <row r="205" ht="120" customHeight="1">
      <c r="A205" s="14" t="inlineStr">
        <is>
          <t>TC-ADM2-204</t>
        </is>
      </c>
      <c r="B205" s="15" t="inlineStr">
        <is>
          <t>Admin Console (đợt 2: Nội dung, Thanh toán, Khám phá)</t>
        </is>
      </c>
      <c r="C205" s="15" t="inlineStr">
        <is>
          <t>Thanh toán · Tranh chấp (API)</t>
        </is>
      </c>
      <c r="D205" s="15" t="inlineStr">
        <is>
          <t>Máy trạng thái chargeback: submit-evidence/mark-won/mark-lost/accept và các 409</t>
        </is>
      </c>
      <c r="E205" s="15" t="inlineStr">
        <is>
          <t>Chức năng</t>
        </is>
      </c>
      <c r="F205" s="16" t="inlineStr">
        <is>
          <t>Cao</t>
        </is>
      </c>
      <c r="G205" s="17" t="inlineStr">
        <is>
          <t>Đã hoàn thiện</t>
        </is>
      </c>
      <c r="H205" s="17" t="inlineStr">
        <is>
          <t>Có</t>
        </is>
      </c>
      <c r="I2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205"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205" s="15" t="inlineStr">
        <is>
          <t>tranh chấp seed</t>
        </is>
      </c>
      <c r="L205"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205" s="15" t="inlineStr"/>
      <c r="N205" s="18" t="inlineStr">
        <is>
          <t>Chưa test</t>
        </is>
      </c>
      <c r="O205" s="15" t="inlineStr"/>
      <c r="P205" s="15" t="inlineStr"/>
      <c r="Q205" s="18" t="inlineStr">
        <is>
          <t>Chưa test</t>
        </is>
      </c>
      <c r="R205" s="15" t="inlineStr"/>
    </row>
    <row r="206" ht="45" customHeight="1">
      <c r="A206" s="14" t="inlineStr">
        <is>
          <t>TC-ADM2-205</t>
        </is>
      </c>
      <c r="B206" s="15" t="inlineStr">
        <is>
          <t>Admin Console (đợt 2: Nội dung, Thanh toán, Khám phá)</t>
        </is>
      </c>
      <c r="C206" s="15" t="inlineStr">
        <is>
          <t>Thanh toán · Doanh thu creator</t>
        </is>
      </c>
      <c r="D206" s="15" t="inlineStr">
        <is>
          <t>Trang Doanh thu creator: chip ngày, 5 KPI và bảng creator</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206" s="15" t="inlineStr">
        <is>
          <t>1. Mở /admin/payments/creator
2. Chọn chip '90 ngày'
3. Đối chiếu /payments/creators/summary?from=&lt;hôm nay − 90 ngày&gt;</t>
        </is>
      </c>
      <c r="K206" s="15" t="inlineStr">
        <is>
          <t>-</t>
        </is>
      </c>
      <c r="L206" s="15" t="inlineStr">
        <is>
          <t>Tiêu đề 'Doanh thu creator' (phụ đề 'Thu nhập của chủ cộng đồng sau phí và hoàn tiền.'); KPI: 'Creator' (7), 'Doanh thu gộp', 'Phí nền tảng', 'Thu nhập thuần', 'Số dư chờ'; bảng: Creator (tên+email), Cộng đồng, Doanh thu gộp, Hoàn tiền, Phí nền tảng, Thu nhập thuần, Số dư chờ; mặc định sắp theo Thu nhập thuần giảm dần (Emma Garcia đầu). 'Số dư chờ' luôn toàn thời gian, các cột kia theo chip.</t>
        </is>
      </c>
      <c r="M206" s="15" t="inlineStr"/>
      <c r="N206" s="18" t="inlineStr">
        <is>
          <t>Chưa test</t>
        </is>
      </c>
      <c r="O206" s="15" t="inlineStr"/>
      <c r="P206" s="15" t="inlineStr"/>
      <c r="Q206" s="18" t="inlineStr">
        <is>
          <t>Chưa test</t>
        </is>
      </c>
      <c r="R206" s="15" t="inlineStr"/>
    </row>
    <row r="207" ht="30" customHeight="1">
      <c r="A207" s="14" t="inlineStr">
        <is>
          <t>TC-ADM2-206</t>
        </is>
      </c>
      <c r="B207" s="15" t="inlineStr">
        <is>
          <t>Admin Console (đợt 2: Nội dung, Thanh toán, Khám phá)</t>
        </is>
      </c>
      <c r="C207" s="15" t="inlineStr">
        <is>
          <t>Thanh toán · Doanh thu creator</t>
        </is>
      </c>
      <c r="D207" s="15" t="inlineStr">
        <is>
          <t>Số liệu creator Emma Garcia khớp công thức (toàn thời gian qua API)</t>
        </is>
      </c>
      <c r="E207" s="15" t="inlineStr">
        <is>
          <t>Chức năng</t>
        </is>
      </c>
      <c r="F207" s="16" t="inlineStr">
        <is>
          <t>Cao</t>
        </is>
      </c>
      <c r="G207" s="17" t="inlineStr">
        <is>
          <t>Đã hoàn thiện</t>
        </is>
      </c>
      <c r="H207" s="17" t="inlineStr">
        <is>
          <t>Có</t>
        </is>
      </c>
      <c r="I2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207" s="15" t="inlineStr">
        <is>
          <t>1. GET /payments/creators?q=emma&amp;limit=5 (không from)
2. Đối chiếu với SQL tổng Payment theo cộng đồng pixel-pro và creator-academy</t>
        </is>
      </c>
      <c r="K207" s="15" t="inlineStr">
        <is>
          <t>Emma Garcia</t>
        </is>
      </c>
      <c r="L207"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207" s="15" t="inlineStr"/>
      <c r="N207" s="18" t="inlineStr">
        <is>
          <t>Chưa test</t>
        </is>
      </c>
      <c r="O207" s="15" t="inlineStr"/>
      <c r="P207" s="15" t="inlineStr"/>
      <c r="Q207" s="18" t="inlineStr">
        <is>
          <t>Chưa test</t>
        </is>
      </c>
      <c r="R207" s="15" t="inlineStr"/>
    </row>
    <row r="208" ht="30" customHeight="1">
      <c r="A208" s="14" t="inlineStr">
        <is>
          <t>TC-ADM2-207</t>
        </is>
      </c>
      <c r="B208" s="15" t="inlineStr">
        <is>
          <t>Admin Console (đợt 2: Nội dung, Thanh toán, Khám phá)</t>
        </is>
      </c>
      <c r="C208" s="15" t="inlineStr">
        <is>
          <t>Thanh toán · Doanh thu creator</t>
        </is>
      </c>
      <c r="D208" s="15" t="inlineStr">
        <is>
          <t>Số liệu creator Sarah Kim và 'đã chi' (paidOutCents)</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208" s="15" t="inlineStr">
        <is>
          <t>1. GET /payments/creators?q=sarah (không from)</t>
        </is>
      </c>
      <c r="K208" s="15" t="inlineStr">
        <is>
          <t>Sarah Kim</t>
        </is>
      </c>
      <c r="L208"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208" s="15" t="inlineStr"/>
      <c r="N208" s="18" t="inlineStr">
        <is>
          <t>Chưa test</t>
        </is>
      </c>
      <c r="O208" s="15" t="inlineStr"/>
      <c r="P208" s="15" t="inlineStr"/>
      <c r="Q208" s="18" t="inlineStr">
        <is>
          <t>Chưa test</t>
        </is>
      </c>
      <c r="R208" s="15" t="inlineStr"/>
    </row>
    <row r="209" ht="60" customHeight="1">
      <c r="A209" s="14" t="inlineStr">
        <is>
          <t>TC-ADM2-208</t>
        </is>
      </c>
      <c r="B209" s="15" t="inlineStr">
        <is>
          <t>Admin Console (đợt 2: Nội dung, Thanh toán, Khám phá)</t>
        </is>
      </c>
      <c r="C209" s="15" t="inlineStr">
        <is>
          <t>Thanh toán · Doanh thu creator</t>
        </is>
      </c>
      <c r="D209" s="15" t="inlineStr">
        <is>
          <t>Tìm và sắp xếp Creator (Doanh thu gộp, Số dư chờ, Tên A–Z)</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209" s="15" t="inlineStr">
        <is>
          <t>1. Gõ 'noah'
2. Xóa, chọn 'Doanh thu gộp'
3. Chọn 'Số dư chờ'
4. Chọn 'Tên A–Z'</t>
        </is>
      </c>
      <c r="K209" s="15" t="inlineStr">
        <is>
          <t>noah</t>
        </is>
      </c>
      <c r="L209" s="15" t="inlineStr">
        <is>
          <t>Lần 1: Noah Williams (tìm theo tên/email/tên cộng đồng); gộp: Emma, Noah, Sarah, Olivia...; số dư chờ: Emma ($960.78) đứng đầu rồi Noah ($704.08); Tên A–Z theo tên tăng dần.</t>
        </is>
      </c>
      <c r="M209" s="15" t="inlineStr"/>
      <c r="N209" s="18" t="inlineStr">
        <is>
          <t>Chưa test</t>
        </is>
      </c>
      <c r="O209" s="15" t="inlineStr"/>
      <c r="P209" s="15" t="inlineStr"/>
      <c r="Q209" s="18" t="inlineStr">
        <is>
          <t>Chưa test</t>
        </is>
      </c>
      <c r="R209" s="15" t="inlineStr"/>
    </row>
    <row r="210" ht="30" customHeight="1">
      <c r="A210" s="14" t="inlineStr">
        <is>
          <t>TC-ADM2-209</t>
        </is>
      </c>
      <c r="B210" s="15" t="inlineStr">
        <is>
          <t>Admin Console (đợt 2: Nội dung, Thanh toán, Khám phá)</t>
        </is>
      </c>
      <c r="C210" s="15" t="inlineStr">
        <is>
          <t>Thanh toán · Doanh thu creator</t>
        </is>
      </c>
      <c r="D210" s="15" t="inlineStr">
        <is>
          <t>Đổi chip 7/30/90 ngày làm KPI và cột theo kỳ đổi nhưng 'Số dư chờ' không đổi</t>
        </is>
      </c>
      <c r="E210" s="15" t="inlineStr">
        <is>
          <t>Chức năng</t>
        </is>
      </c>
      <c r="F210" s="16" t="inlineStr">
        <is>
          <t>Cao</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210" s="15" t="inlineStr">
        <is>
          <t>1. Chọn '90 ngày' rồi '7 ngày'
2. So sánh cột 'Số dư chờ' của Emma</t>
        </is>
      </c>
      <c r="K210" s="15" t="inlineStr">
        <is>
          <t>-</t>
        </is>
      </c>
      <c r="L210" s="15" t="inlineStr">
        <is>
          <t>Doanh thu gộp/Hoàn tiền/Phí/Thu nhập thuần giảm khi thu hẹp kỳ; 'Số dư chờ' của mỗi creator không đổi (toàn thời gian); KPI tổng 'Số dư chờ' cũng không đổi.</t>
        </is>
      </c>
      <c r="M210" s="15" t="inlineStr"/>
      <c r="N210" s="18" t="inlineStr">
        <is>
          <t>Chưa test</t>
        </is>
      </c>
      <c r="O210" s="15" t="inlineStr"/>
      <c r="P210" s="15" t="inlineStr"/>
      <c r="Q210" s="18" t="inlineStr">
        <is>
          <t>Chưa test</t>
        </is>
      </c>
      <c r="R210" s="15" t="inlineStr"/>
    </row>
    <row r="211" ht="30" customHeight="1">
      <c r="A211" s="14" t="inlineStr">
        <is>
          <t>TC-ADM2-210</t>
        </is>
      </c>
      <c r="B211" s="15" t="inlineStr">
        <is>
          <t>Admin Console (đợt 2: Nội dung, Thanh toán, Khám phá)</t>
        </is>
      </c>
      <c r="C211" s="15" t="inlineStr">
        <is>
          <t>Thanh toán · Doanh thu creator</t>
        </is>
      </c>
      <c r="D211" s="15" t="inlineStr">
        <is>
          <t>Chi tiết creator: KPI, biểu đồ Gộp/Thuần/Hoàn tiền, bảng Cộng đồng/Giao dịch/Chi trả</t>
        </is>
      </c>
      <c r="E211" s="15" t="inlineStr">
        <is>
          <t>Giao diện</t>
        </is>
      </c>
      <c r="F211" s="16" t="inlineStr">
        <is>
          <t>Cao</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11" s="15" t="inlineStr">
        <is>
          <t>1. Bấm dòng 'Emma Garcia'
2. Chọn chip '90 ngày'</t>
        </is>
      </c>
      <c r="K211" s="15" t="inlineStr">
        <is>
          <t>Emma Garcia</t>
        </is>
      </c>
      <c r="L211" s="15" t="inlineStr">
        <is>
          <t>Tiêu đề 'Emma Garcia', phụ đề 'Doanh thu creator · emma@sofinhub.test', breadcrumb 'Doanh thu creator'; 5 KPI; biểu đồ 'Doanh thu · Emma Garcia' với 3 chuỗi (Gộp, Thuần, Hoàn tiền màu đỏ), mỗi ngày trong kỳ có điểm; bảng 'Cộng đồng' (Creator Academy, Pixel Pro: gộp, thuần, số dư chờ); 'Lịch sử giao dịch' ('20 giao dịch gần nhất'); 'Chi trả' ('10 khoản gần nhất') gồm PO-4F3DDE23 ($250 'Đang xử lý') và PO-55B8FDCB ($75 'Thất bại'). Bấm dòng cộng đồng -&gt; /admin/communities/&lt;id&gt;; bấm giao dịch -&gt; /admin/payments/tx/&lt;id&gt;.</t>
        </is>
      </c>
      <c r="M211" s="15" t="inlineStr"/>
      <c r="N211" s="18" t="inlineStr">
        <is>
          <t>Chưa test</t>
        </is>
      </c>
      <c r="O211" s="15" t="inlineStr"/>
      <c r="P211" s="15" t="inlineStr"/>
      <c r="Q211" s="18" t="inlineStr">
        <is>
          <t>Chưa test</t>
        </is>
      </c>
      <c r="R211" s="15" t="inlineStr"/>
    </row>
    <row r="212" ht="30" customHeight="1">
      <c r="A212" s="14" t="inlineStr">
        <is>
          <t>TC-ADM2-211</t>
        </is>
      </c>
      <c r="B212" s="15" t="inlineStr">
        <is>
          <t>Admin Console (đợt 2: Nội dung, Thanh toán, Khám phá)</t>
        </is>
      </c>
      <c r="C212" s="15" t="inlineStr">
        <is>
          <t>Thanh toán · Doanh thu creator</t>
        </is>
      </c>
      <c r="D212" s="15" t="inlineStr">
        <is>
          <t>Chi tiết creator không có cộng đồng/giao dịch/chi trả hiện thông báo rỗng đúng</t>
        </is>
      </c>
      <c r="E212" s="15" t="inlineStr">
        <is>
          <t>Giao diện</t>
        </is>
      </c>
      <c r="F212" s="17" t="inlineStr">
        <is>
          <t>Thấp</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12" s="15" t="inlineStr">
        <is>
          <t>1. Mở /admin/payments/creator/&lt;id Olivia Owner&gt; (có cộng đồng, chi trả)
2. Mở /admin/payments/creator/&lt;id người dùng không sở hữu cộng đồng, ví dụ maya&gt;</t>
        </is>
      </c>
      <c r="K212" s="15" t="inlineStr">
        <is>
          <t>maya (seed-admin-user-maya)</t>
        </is>
      </c>
      <c r="L212"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212" s="15" t="inlineStr"/>
      <c r="N212" s="18" t="inlineStr">
        <is>
          <t>Chưa test</t>
        </is>
      </c>
      <c r="O212" s="15" t="inlineStr"/>
      <c r="P212" s="15" t="inlineStr"/>
      <c r="Q212" s="18" t="inlineStr">
        <is>
          <t>Chưa test</t>
        </is>
      </c>
      <c r="R212" s="15" t="inlineStr"/>
    </row>
    <row r="213" ht="90" customHeight="1">
      <c r="A213" s="14" t="inlineStr">
        <is>
          <t>TC-ADM2-212</t>
        </is>
      </c>
      <c r="B213" s="15" t="inlineStr">
        <is>
          <t>Admin Console (đợt 2: Nội dung, Thanh toán, Khám phá)</t>
        </is>
      </c>
      <c r="C213" s="15" t="inlineStr">
        <is>
          <t>Thanh toán · Doanh thu creator</t>
        </is>
      </c>
      <c r="D213" s="15" t="inlineStr">
        <is>
          <t>API Creator: list (q, sort, from/to), summary và 400</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213" s="15" t="inlineStr">
        <is>
          <t>1. GET /payments/creators/summary
2. GET /payments/creators?limit=100
3. GET /payments/creators?sort=gross&amp;limit=3
4. GET /payments/creators?sort=bogus
5. GET /payments/creators?from=2026-09-24&amp;to=2026-10-01
6. GET ...?from=2026-10-01&amp;to=2026-09-01</t>
        </is>
      </c>
      <c r="K213" s="15" t="inlineStr">
        <is>
          <t>-</t>
        </is>
      </c>
      <c r="L213"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213" s="15" t="inlineStr"/>
      <c r="N213" s="18" t="inlineStr">
        <is>
          <t>Chưa test</t>
        </is>
      </c>
      <c r="O213" s="15" t="inlineStr"/>
      <c r="P213" s="15" t="inlineStr"/>
      <c r="Q213" s="18" t="inlineStr">
        <is>
          <t>Chưa test</t>
        </is>
      </c>
      <c r="R213" s="15" t="inlineStr"/>
    </row>
    <row r="214" ht="60" customHeight="1">
      <c r="A214" s="14" t="inlineStr">
        <is>
          <t>TC-ADM2-213</t>
        </is>
      </c>
      <c r="B214" s="15" t="inlineStr">
        <is>
          <t>Admin Console (đợt 2: Nội dung, Thanh toán, Khám phá)</t>
        </is>
      </c>
      <c r="C214" s="15" t="inlineStr">
        <is>
          <t>Thanh toán · Doanh thu creator</t>
        </is>
      </c>
      <c r="D214" s="15" t="inlineStr">
        <is>
          <t>API chi tiết creator: kpis, series theo ngày, communities, transactions&lt;=20, payouts&lt;=10, 404</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214" s="15" t="inlineStr">
        <is>
          <t>1. GET /payments/creators/&lt;id Emma&gt;
2. GET /payments/creators/&lt;id Emma&gt;?from=2020-01-01&amp;to=2020-01-05
3. GET /payments/creators/nope
4. GET /payments/creators/&lt;id maya&gt;</t>
        </is>
      </c>
      <c r="K214" s="15" t="inlineStr">
        <is>
          <t>Emma Garcia</t>
        </is>
      </c>
      <c r="L214"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214" s="15" t="inlineStr"/>
      <c r="N214" s="18" t="inlineStr">
        <is>
          <t>Chưa test</t>
        </is>
      </c>
      <c r="O214" s="15" t="inlineStr"/>
      <c r="P214" s="15" t="inlineStr"/>
      <c r="Q214" s="18" t="inlineStr">
        <is>
          <t>Chưa test</t>
        </is>
      </c>
      <c r="R214" s="15" t="inlineStr"/>
    </row>
    <row r="215" ht="30" customHeight="1">
      <c r="A215" s="14" t="inlineStr">
        <is>
          <t>TC-ADM2-214</t>
        </is>
      </c>
      <c r="B215" s="15" t="inlineStr">
        <is>
          <t>Admin Console (đợt 2: Nội dung, Thanh toán, Khám phá)</t>
        </is>
      </c>
      <c r="C215" s="15" t="inlineStr">
        <is>
          <t>Thanh toán · Doanh thu creator</t>
        </is>
      </c>
      <c r="D215" s="15" t="inlineStr">
        <is>
          <t>Số liệu creator khớp doanh thu của chính chủ cộng đồng (/courses/:id/revenue)</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215" s="15" t="inlineStr">
        <is>
          <t>1. sarah@: GET /api/courses/growth-lab/revenue
2. Admin: GET /payments/creators?q=sarah</t>
        </is>
      </c>
      <c r="K215" s="15" t="inlineStr">
        <is>
          <t>growth-lab</t>
        </is>
      </c>
      <c r="L215" s="15" t="inlineStr">
        <is>
          <t>netCents của admin = netCents của /courses/growth-lab/revenue; pendingBalanceCents = availableBalanceCents của chủ cộng đồng (cùng công thức phí và cùng cách trừ payout chưa bị từ chối).</t>
        </is>
      </c>
      <c r="M215" s="15" t="inlineStr"/>
      <c r="N215" s="18" t="inlineStr">
        <is>
          <t>Chưa test</t>
        </is>
      </c>
      <c r="O215" s="15" t="inlineStr"/>
      <c r="P215" s="15" t="inlineStr"/>
      <c r="Q215" s="18" t="inlineStr">
        <is>
          <t>Chưa test</t>
        </is>
      </c>
      <c r="R215" s="15" t="inlineStr"/>
    </row>
    <row r="216" ht="30" customHeight="1">
      <c r="A216" s="14" t="inlineStr">
        <is>
          <t>TC-ADM2-215</t>
        </is>
      </c>
      <c r="B216" s="15" t="inlineStr">
        <is>
          <t>Admin Console (đợt 2: Nội dung, Thanh toán, Khám phá)</t>
        </is>
      </c>
      <c r="C216" s="15" t="inlineStr">
        <is>
          <t>Thanh toán · Chi trả (UI)</t>
        </is>
      </c>
      <c r="D216" s="15" t="inlineStr">
        <is>
          <t>Trang Chi trả: 5 KPI và 7 tab có đếm</t>
        </is>
      </c>
      <c r="E216" s="15" t="inlineStr">
        <is>
          <t>Giao diện</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16" s="15" t="inlineStr">
        <is>
          <t>1. Mở /admin/payments/payouts
2. Đọc KPI và số đếm tab</t>
        </is>
      </c>
      <c r="K216" s="15" t="inlineStr">
        <is>
          <t>-</t>
        </is>
      </c>
      <c r="L216"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216" s="15" t="inlineStr"/>
      <c r="N216" s="18" t="inlineStr">
        <is>
          <t>Chưa test</t>
        </is>
      </c>
      <c r="O216" s="15" t="inlineStr"/>
      <c r="P216" s="15" t="inlineStr"/>
      <c r="Q216" s="18" t="inlineStr">
        <is>
          <t>Chưa test</t>
        </is>
      </c>
      <c r="R216" s="15" t="inlineStr"/>
    </row>
    <row r="217" ht="30" customHeight="1">
      <c r="A217" s="14" t="inlineStr">
        <is>
          <t>TC-ADM2-216</t>
        </is>
      </c>
      <c r="B217" s="15" t="inlineStr">
        <is>
          <t>Admin Console (đợt 2: Nội dung, Thanh toán, Khám phá)</t>
        </is>
      </c>
      <c r="C217" s="15" t="inlineStr">
        <is>
          <t>Thanh toán · Chi trả (UI)</t>
        </is>
      </c>
      <c r="D217" s="15" t="inlineStr">
        <is>
          <t>Bảng Chi trả: cột và định dạng phương thức/lịch</t>
        </is>
      </c>
      <c r="E217" s="15" t="inlineStr">
        <is>
          <t>Giao diện</t>
        </is>
      </c>
      <c r="F217" s="20" t="inlineStr">
        <is>
          <t>Trung bình</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17" s="15" t="inlineStr">
        <is>
          <t>1. Gõ 'PO-60986918'</t>
        </is>
      </c>
      <c r="K217" s="15" t="inlineStr">
        <is>
          <t>PO-60986918</t>
        </is>
      </c>
      <c r="L217"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217" s="15" t="inlineStr"/>
      <c r="N217" s="18" t="inlineStr">
        <is>
          <t>Chưa test</t>
        </is>
      </c>
      <c r="O217" s="15" t="inlineStr"/>
      <c r="P217" s="15" t="inlineStr"/>
      <c r="Q217" s="18" t="inlineStr">
        <is>
          <t>Chưa test</t>
        </is>
      </c>
      <c r="R217" s="15" t="inlineStr"/>
    </row>
    <row r="218" ht="75" customHeight="1">
      <c r="A218" s="14" t="inlineStr">
        <is>
          <t>TC-ADM2-217</t>
        </is>
      </c>
      <c r="B218" s="15" t="inlineStr">
        <is>
          <t>Admin Console (đợt 2: Nội dung, Thanh toán, Khám phá)</t>
        </is>
      </c>
      <c r="C218" s="15" t="inlineStr">
        <is>
          <t>Thanh toán · Chi trả (UI)</t>
        </is>
      </c>
      <c r="D218" s="15" t="inlineStr">
        <is>
          <t>Tìm và sắp xếp Chi trả (Số tiền cao nhất, Theo lịch chi trả)</t>
        </is>
      </c>
      <c r="E218" s="15" t="inlineStr">
        <is>
          <t>Chức năng</t>
        </is>
      </c>
      <c r="F218" s="20" t="inlineStr">
        <is>
          <t>Trung bình</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18" s="15" t="inlineStr">
        <is>
          <t>1. Gõ 'Emma'
2. Gõ 'Techcombank'
3. Gõ 'Growth'
4. Chọn 'Số tiền cao nhất'
5. Chọn 'Theo lịch chi trả'</t>
        </is>
      </c>
      <c r="K218" s="15" t="inlineStr">
        <is>
          <t>Emma | Techcombank | Growth</t>
        </is>
      </c>
      <c r="L218" s="15" t="inlineStr">
        <is>
          <t>Lần 1: 2 khoản của Emma (PO-4F3DDE23, PO-55B8FDCB); lần 2: khoản Techcombank ••7731 (PO-102DFB01, PO-50974388); lần 3: khoản cộng đồng Growth Lab (PO-60986918, PO-E76F07C4); sắp số tiền: $250 đầu.</t>
        </is>
      </c>
      <c r="M218" s="15" t="inlineStr"/>
      <c r="N218" s="18" t="inlineStr">
        <is>
          <t>Chưa test</t>
        </is>
      </c>
      <c r="O218" s="15" t="inlineStr"/>
      <c r="P218" s="15" t="inlineStr"/>
      <c r="Q218" s="18" t="inlineStr">
        <is>
          <t>Chưa test</t>
        </is>
      </c>
      <c r="R218" s="15" t="inlineStr"/>
    </row>
    <row r="219" ht="30" customHeight="1">
      <c r="A219" s="14" t="inlineStr">
        <is>
          <t>TC-ADM2-218</t>
        </is>
      </c>
      <c r="B219" s="15" t="inlineStr">
        <is>
          <t>Admin Console (đợt 2: Nội dung, Thanh toán, Khám phá)</t>
        </is>
      </c>
      <c r="C219" s="15" t="inlineStr">
        <is>
          <t>Thanh toán · Chi trả (UI)</t>
        </is>
      </c>
      <c r="D219" s="15" t="inlineStr">
        <is>
          <t>Tab Thất bại / Tạm giữ / Đã từ chối / Đang xử lý liệt kê đúng khoản seed</t>
        </is>
      </c>
      <c r="E219" s="15" t="inlineStr">
        <is>
          <t>Chức năng</t>
        </is>
      </c>
      <c r="F219" s="16" t="inlineStr">
        <is>
          <t>Cao</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19" s="15" t="inlineStr">
        <is>
          <t>1. Bấm lần lượt các tab</t>
        </is>
      </c>
      <c r="K219" s="15" t="inlineStr">
        <is>
          <t>-</t>
        </is>
      </c>
      <c r="L219" s="15" t="inlineStr">
        <is>
          <t>Thất bại: PO-55B8FDCB; Tạm giữ: PO-50974388; Đã từ chối: PO-91AEB74D; Đang xử lý: PO-4F3DDE23, PO-102DFB01; mỗi tab khớp số đếm.</t>
        </is>
      </c>
      <c r="M219" s="15" t="inlineStr"/>
      <c r="N219" s="18" t="inlineStr">
        <is>
          <t>Chưa test</t>
        </is>
      </c>
      <c r="O219" s="15" t="inlineStr"/>
      <c r="P219" s="15" t="inlineStr"/>
      <c r="Q219" s="18" t="inlineStr">
        <is>
          <t>Chưa test</t>
        </is>
      </c>
      <c r="R219" s="15" t="inlineStr"/>
    </row>
    <row r="220" ht="90" customHeight="1">
      <c r="A220" s="14" t="inlineStr">
        <is>
          <t>TC-ADM2-219</t>
        </is>
      </c>
      <c r="B220" s="15" t="inlineStr">
        <is>
          <t>Admin Console (đợt 2: Nội dung, Thanh toán, Khám phá)</t>
        </is>
      </c>
      <c r="C220" s="15" t="inlineStr">
        <is>
          <t>Thanh toán · Chi trả (UI)</t>
        </is>
      </c>
      <c r="D220" s="15" t="inlineStr">
        <is>
          <t>Menu thao tác theo trạng thái payout (7 trạng thái)</t>
        </is>
      </c>
      <c r="E220" s="15" t="inlineStr">
        <is>
          <t>Chức năng</t>
        </is>
      </c>
      <c r="F220" s="16" t="inlineStr">
        <is>
          <t>Cao</t>
        </is>
      </c>
      <c r="G220" s="17" t="inlineStr">
        <is>
          <t>Đã hoàn thiện</t>
        </is>
      </c>
      <c r="H220" s="17" t="inlineStr">
        <is>
          <t>Có</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20" s="15" t="inlineStr">
        <is>
          <t>1. Menu PO-60986918 (Đang chờ)
2. PO-4F3DDE23 (Đang xử lý)
3. PO-55B8FDCB (Thất bại)
4. PO-50974388 (Tạm giữ)
5. PO-2CFB97FB (Đã chi)
6. PO-91AEB74D (Đã từ chối)</t>
        </is>
      </c>
      <c r="K220" s="15" t="inlineStr">
        <is>
          <t>-</t>
        </is>
      </c>
      <c r="L220"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220" s="15" t="inlineStr"/>
      <c r="N220" s="18" t="inlineStr">
        <is>
          <t>Chưa test</t>
        </is>
      </c>
      <c r="O220" s="15" t="inlineStr"/>
      <c r="P220" s="15" t="inlineStr"/>
      <c r="Q220" s="18" t="inlineStr">
        <is>
          <t>Chưa test</t>
        </is>
      </c>
      <c r="R220" s="15" t="inlineStr"/>
    </row>
    <row r="221" ht="30" customHeight="1">
      <c r="A221" s="14" t="inlineStr">
        <is>
          <t>TC-ADM2-220</t>
        </is>
      </c>
      <c r="B221" s="15" t="inlineStr">
        <is>
          <t>Admin Console (đợt 2: Nội dung, Thanh toán, Khám phá)</t>
        </is>
      </c>
      <c r="C221" s="15" t="inlineStr">
        <is>
          <t>Thanh toán · Chi trả (UI)</t>
        </is>
      </c>
      <c r="D221" s="15" t="inlineStr">
        <is>
          <t>Xem xét chi trả (modal): thông tin, số dư creator, lịch sử</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21" s="15" t="inlineStr">
        <is>
          <t>1. Bấm 'Xem xét' ở PO-50974388 (Noah, tạm giữ)</t>
        </is>
      </c>
      <c r="K221" s="15" t="inlineStr">
        <is>
          <t>PO-50974388</t>
        </is>
      </c>
      <c r="L221"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Có thể rút = thuần − đã yêu cầu; 'Lịch sử quản trị' có payout.hold (lý do Identity re-verification).</t>
        </is>
      </c>
      <c r="M221" s="15" t="inlineStr"/>
      <c r="N221" s="18" t="inlineStr">
        <is>
          <t>Chưa test</t>
        </is>
      </c>
      <c r="O221" s="15" t="inlineStr"/>
      <c r="P221" s="15" t="inlineStr"/>
      <c r="Q221" s="18" t="inlineStr">
        <is>
          <t>Chưa test</t>
        </is>
      </c>
      <c r="R221" s="15" t="inlineStr"/>
    </row>
    <row r="222" ht="30" customHeight="1">
      <c r="A222" s="14" t="inlineStr">
        <is>
          <t>TC-ADM2-221</t>
        </is>
      </c>
      <c r="B222" s="15" t="inlineStr">
        <is>
          <t>Admin Console (đợt 2: Nội dung, Thanh toán, Khám phá)</t>
        </is>
      </c>
      <c r="C222" s="15" t="inlineStr">
        <is>
          <t>Thanh toán · Chi trả (UI)</t>
        </is>
      </c>
      <c r="D222" s="15" t="inlineStr">
        <is>
          <t>Duyệt chi trả (requested -&gt; approved): toast, trạng thái, thông báo owner, audit</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22" s="15" t="inlineStr">
        <is>
          <t>1. Menu PO-60986918 &gt; 'Duyệt' &gt; xác nhận (ghi chú tùy chọn)
2. sarah@ xem thông báo</t>
        </is>
      </c>
      <c r="K222" s="15" t="inlineStr">
        <is>
          <t>PO-60986918</t>
        </is>
      </c>
      <c r="L222"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222" s="15" t="inlineStr"/>
      <c r="N222" s="18" t="inlineStr">
        <is>
          <t>Chưa test</t>
        </is>
      </c>
      <c r="O222" s="15" t="inlineStr"/>
      <c r="P222" s="15" t="inlineStr"/>
      <c r="Q222" s="18" t="inlineStr">
        <is>
          <t>Chưa test</t>
        </is>
      </c>
      <c r="R222" s="15" t="inlineStr"/>
    </row>
    <row r="223" ht="30" customHeight="1">
      <c r="A223" s="14" t="inlineStr">
        <is>
          <t>TC-ADM2-222</t>
        </is>
      </c>
      <c r="B223" s="15" t="inlineStr">
        <is>
          <t>Admin Console (đợt 2: Nội dung, Thanh toán, Khám phá)</t>
        </is>
      </c>
      <c r="C223" s="15" t="inlineStr">
        <is>
          <t>Thanh toán · Chi trả (UI)</t>
        </is>
      </c>
      <c r="D223" s="15" t="inlineStr">
        <is>
          <t>Đánh dấu đã chi trả từ Đang chờ hoặc Đang xử lý</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23" s="15" t="inlineStr">
        <is>
          <t>1. Menu PO-12AA363D (requested) &gt; 'Đã chi trả' &gt; xác nhận
2. Menu PO-102DFB01 (approved) &gt; 'Đã chi trả' &gt; xác nhận</t>
        </is>
      </c>
      <c r="K223" s="15" t="inlineStr">
        <is>
          <t>PO-12AA363D, PO-102DFB01</t>
        </is>
      </c>
      <c r="L223" s="15" t="inlineStr">
        <is>
          <t>Toast 'Đã đánh dấu đã chi trả'; trạng thái 'Đã chi trả', cột 'Đã chi' có ngày; KPI 'Đã chi trả' tăng $120 + $99; owner nhận 'Đã chuyển tiền' ('120.00 USD đã được chuyển vào tài khoản ****8812'); audit payout.mark_paid.</t>
        </is>
      </c>
      <c r="M223" s="15" t="inlineStr"/>
      <c r="N223" s="18" t="inlineStr">
        <is>
          <t>Chưa test</t>
        </is>
      </c>
      <c r="O223" s="15" t="inlineStr"/>
      <c r="P223" s="15" t="inlineStr"/>
      <c r="Q223" s="18" t="inlineStr">
        <is>
          <t>Chưa test</t>
        </is>
      </c>
      <c r="R223" s="15" t="inlineStr"/>
    </row>
    <row r="224" ht="45" customHeight="1">
      <c r="A224" s="14" t="inlineStr">
        <is>
          <t>TC-ADM2-223</t>
        </is>
      </c>
      <c r="B224" s="15" t="inlineStr">
        <is>
          <t>Admin Console (đợt 2: Nội dung, Thanh toán, Khám phá)</t>
        </is>
      </c>
      <c r="C224" s="15" t="inlineStr">
        <is>
          <t>Thanh toán · Chi trả (UI)</t>
        </is>
      </c>
      <c r="D224" s="15" t="inlineStr">
        <is>
          <t>Đánh dấu thất bại (approved -&gt; failed) bắt buộc lý do; hiển thị 'Lý do thất bại'</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24" s="15" t="inlineStr">
        <is>
          <t>1. Menu PO-4F3DDE23 (Emma, đang xử lý) &gt; 'Đánh dấu thất bại'
2. Chọn 'Tài khoản ngân hàng bị từ chối' &gt; xác nhận
3. Mở 'Xem xét' dòng đó</t>
        </is>
      </c>
      <c r="K224" s="15" t="inlineStr">
        <is>
          <t>PO-4F3DDE23</t>
        </is>
      </c>
      <c r="L224"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224" s="15" t="inlineStr"/>
      <c r="N224" s="18" t="inlineStr">
        <is>
          <t>Chưa test</t>
        </is>
      </c>
      <c r="O224" s="15" t="inlineStr"/>
      <c r="P224" s="15" t="inlineStr"/>
      <c r="Q224" s="18" t="inlineStr">
        <is>
          <t>Chưa test</t>
        </is>
      </c>
      <c r="R224" s="15" t="inlineStr"/>
    </row>
    <row r="225" ht="30" customHeight="1">
      <c r="A225" s="14" t="inlineStr">
        <is>
          <t>TC-ADM2-224</t>
        </is>
      </c>
      <c r="B225" s="15" t="inlineStr">
        <is>
          <t>Admin Console (đợt 2: Nội dung, Thanh toán, Khám phá)</t>
        </is>
      </c>
      <c r="C225" s="15" t="inlineStr">
        <is>
          <t>Thanh toán · Chi trả (UI)</t>
        </is>
      </c>
      <c r="D225" s="15" t="inlineStr">
        <is>
          <t>Thử lại chi trả thất bại (failed -&gt; approved) xóa lý do thất bại</t>
        </is>
      </c>
      <c r="E225" s="15" t="inlineStr">
        <is>
          <t>Chức năng</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25" s="15" t="inlineStr">
        <is>
          <t>1. Menu PO-55B8FDCB (Emma, thất bại) &gt; 'Thử lại' &gt; xác nhận</t>
        </is>
      </c>
      <c r="K225" s="15" t="inlineStr">
        <is>
          <t>PO-55B8FDCB</t>
        </is>
      </c>
      <c r="L225" s="15" t="inlineStr">
        <is>
          <t>Toast 'Đã đưa chi trả về hàng xử lý'; trạng thái 'Đang xử lý'; failureReason bị xóa; Emma nhận 'Đang thử chuyển tiền lại'; audit payout.retry.</t>
        </is>
      </c>
      <c r="M225" s="15" t="inlineStr"/>
      <c r="N225" s="18" t="inlineStr">
        <is>
          <t>Chưa test</t>
        </is>
      </c>
      <c r="O225" s="15" t="inlineStr"/>
      <c r="P225" s="15" t="inlineStr"/>
      <c r="Q225" s="18" t="inlineStr">
        <is>
          <t>Chưa test</t>
        </is>
      </c>
      <c r="R225" s="15" t="inlineStr"/>
    </row>
    <row r="226" ht="45" customHeight="1">
      <c r="A226" s="14" t="inlineStr">
        <is>
          <t>TC-ADM2-225</t>
        </is>
      </c>
      <c r="B226" s="15" t="inlineStr">
        <is>
          <t>Admin Console (đợt 2: Nội dung, Thanh toán, Khám phá)</t>
        </is>
      </c>
      <c r="C226" s="15" t="inlineStr">
        <is>
          <t>Thanh toán · Chi trả (UI)</t>
        </is>
      </c>
      <c r="D226" s="15" t="inlineStr">
        <is>
          <t>Tạm giữ (hold) từ Đang chờ/Đang xử lý/Thất bại và giải ngân quay về trạng thái trước</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26" s="15" t="inlineStr">
        <is>
          <t>1. Menu PO-102DFB01 (Đang xử lý) &gt; 'Tạm giữ' &gt; chọn lý do 'Nghi ngờ gian lận' &gt; xác nhận
2. Menu dòng đó (Tạm giữ) &gt; 'Giải ngân' &gt; xác nhận
3. Làm tương tự với PO-50974388 (giữ từ 'requested')</t>
        </is>
      </c>
      <c r="K226" s="15" t="inlineStr">
        <is>
          <t>PO-102DFB01, PO-50974388</t>
        </is>
      </c>
      <c r="L226"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226" s="15" t="inlineStr"/>
      <c r="N226" s="18" t="inlineStr">
        <is>
          <t>Chưa test</t>
        </is>
      </c>
      <c r="O226" s="15" t="inlineStr"/>
      <c r="P226" s="15" t="inlineStr"/>
      <c r="Q226" s="18" t="inlineStr">
        <is>
          <t>Chưa test</t>
        </is>
      </c>
      <c r="R226" s="15" t="inlineStr"/>
    </row>
    <row r="227" ht="45" customHeight="1">
      <c r="A227" s="14" t="inlineStr">
        <is>
          <t>TC-ADM2-226</t>
        </is>
      </c>
      <c r="B227" s="15" t="inlineStr">
        <is>
          <t>Admin Console (đợt 2: Nội dung, Thanh toán, Khám phá)</t>
        </is>
      </c>
      <c r="C227" s="15" t="inlineStr">
        <is>
          <t>Thanh toán · Chi trả (UI)</t>
        </is>
      </c>
      <c r="D227" s="15" t="inlineStr">
        <is>
          <t>Từ chối chi trả hoàn số dư cho creator</t>
        </is>
      </c>
      <c r="E227" s="15" t="inlineStr">
        <is>
          <t>Chức năng</t>
        </is>
      </c>
      <c r="F227" s="16" t="inlineStr">
        <is>
          <t>Cao</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27" s="15" t="inlineStr">
        <is>
          <t>1. Mở 'Xem xét' PO-12AA363D ghi 'Đã yêu cầu rút' &amp; 'Có thể rút' của creator Alex
2. Menu PO-12AA363D &gt; 'Từ chối' &gt; chọn 'Thông tin tài khoản không hợp lệ' &gt; xác nhận
3. Mở lại Xem xét dòng khác của Alex</t>
        </is>
      </c>
      <c r="K227" s="15" t="inlineStr">
        <is>
          <t>PO-12AA363D</t>
        </is>
      </c>
      <c r="L227"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227" s="15" t="inlineStr"/>
      <c r="N227" s="18" t="inlineStr">
        <is>
          <t>Chưa test</t>
        </is>
      </c>
      <c r="O227" s="15" t="inlineStr"/>
      <c r="P227" s="15" t="inlineStr"/>
      <c r="Q227" s="18" t="inlineStr">
        <is>
          <t>Chưa test</t>
        </is>
      </c>
      <c r="R227" s="15" t="inlineStr"/>
    </row>
    <row r="228" ht="30" customHeight="1">
      <c r="A228" s="14" t="inlineStr">
        <is>
          <t>TC-ADM2-227</t>
        </is>
      </c>
      <c r="B228" s="15" t="inlineStr">
        <is>
          <t>Admin Console (đợt 2: Nội dung, Thanh toán, Khám phá)</t>
        </is>
      </c>
      <c r="C228" s="15" t="inlineStr">
        <is>
          <t>Thanh toán · Chi trả (UI)</t>
        </is>
      </c>
      <c r="D228" s="15" t="inlineStr">
        <is>
          <t>Lỗi chuyển trạng thái đồng thời hiển thị 409 trong modal</t>
        </is>
      </c>
      <c r="E228" s="15" t="inlineStr">
        <is>
          <t>Chức năng</t>
        </is>
      </c>
      <c r="F228" s="20" t="inlineStr">
        <is>
          <t>Trung bình</t>
        </is>
      </c>
      <c r="G228" s="17" t="inlineStr">
        <is>
          <t>Đã hoàn thiện</t>
        </is>
      </c>
      <c r="H228" s="20" t="inlineStr">
        <is>
          <t>Một phần</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28" s="15" t="inlineStr">
        <is>
          <t>1. Mở 2 tab; tab 1 'Duyệt' PO-60986918; tab 2 (chưa tải lại) bấm 'Duyệt' dòng đó</t>
        </is>
      </c>
      <c r="K228" s="15" t="inlineStr">
        <is>
          <t>PO-60986918</t>
        </is>
      </c>
      <c r="L228" s="15" t="inlineStr">
        <is>
          <t>Tab 2 hiện 'Chỉ duyệt được yêu cầu đang chờ' trong modal; dữ liệu không đổi.</t>
        </is>
      </c>
      <c r="M228" s="15" t="inlineStr"/>
      <c r="N228" s="18" t="inlineStr">
        <is>
          <t>Chưa test</t>
        </is>
      </c>
      <c r="O228" s="15" t="inlineStr"/>
      <c r="P228" s="15" t="inlineStr"/>
      <c r="Q228" s="18" t="inlineStr">
        <is>
          <t>Chưa test</t>
        </is>
      </c>
      <c r="R228" s="15" t="inlineStr"/>
    </row>
    <row r="229" ht="120" customHeight="1">
      <c r="A229" s="14" t="inlineStr">
        <is>
          <t>TC-ADM2-228</t>
        </is>
      </c>
      <c r="B229" s="15" t="inlineStr">
        <is>
          <t>Admin Console (đợt 2: Nội dung, Thanh toán, Khám phá)</t>
        </is>
      </c>
      <c r="C229" s="15" t="inlineStr">
        <is>
          <t>Thanh toán · Chi trả (API)</t>
        </is>
      </c>
      <c r="D229" s="15" t="inlineStr">
        <is>
          <t>GET /payments/payouts: list/summary/detail, lọc status/ownerId/courseId, sort, 400/404</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29"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29" s="15" t="inlineStr">
        <is>
          <t>-</t>
        </is>
      </c>
      <c r="L229"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29" s="15" t="inlineStr"/>
      <c r="N229" s="18" t="inlineStr">
        <is>
          <t>Chưa test</t>
        </is>
      </c>
      <c r="O229" s="15" t="inlineStr"/>
      <c r="P229" s="15" t="inlineStr"/>
      <c r="Q229" s="18" t="inlineStr">
        <is>
          <t>Chưa test</t>
        </is>
      </c>
      <c r="R229" s="15" t="inlineStr"/>
    </row>
    <row r="230" ht="135" customHeight="1">
      <c r="A230" s="14" t="inlineStr">
        <is>
          <t>TC-ADM2-229</t>
        </is>
      </c>
      <c r="B230" s="15" t="inlineStr">
        <is>
          <t>Admin Console (đợt 2: Nội dung, Thanh toán, Khám phá)</t>
        </is>
      </c>
      <c r="C230" s="15" t="inlineStr">
        <is>
          <t>Thanh toán · Chi trả (API)</t>
        </is>
      </c>
      <c r="D230" s="15" t="inlineStr">
        <is>
          <t>Chuỗi trạng thái payout đầy đủ: approve -&gt; mark-failed -&gt; retry -&gt; hold -&gt; release -&gt; mark-paid</t>
        </is>
      </c>
      <c r="E230" s="15" t="inlineStr">
        <is>
          <t>Chức năng</t>
        </is>
      </c>
      <c r="F230" s="16" t="inlineStr">
        <is>
          <t>Cao</t>
        </is>
      </c>
      <c r="G230" s="17" t="inlineStr">
        <is>
          <t>Đã hoàn thiện</t>
        </is>
      </c>
      <c r="H230" s="17" t="inlineStr">
        <is>
          <t>Có</t>
        </is>
      </c>
      <c r="I2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30"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30" s="15" t="inlineStr">
        <is>
          <t>PO-60986918</t>
        </is>
      </c>
      <c r="L230"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30" s="15" t="inlineStr"/>
      <c r="N230" s="18" t="inlineStr">
        <is>
          <t>Chưa test</t>
        </is>
      </c>
      <c r="O230" s="15" t="inlineStr"/>
      <c r="P230" s="15" t="inlineStr"/>
      <c r="Q230" s="18" t="inlineStr">
        <is>
          <t>Chưa test</t>
        </is>
      </c>
      <c r="R230" s="15" t="inlineStr"/>
    </row>
    <row r="231" ht="120" customHeight="1">
      <c r="A231" s="14" t="inlineStr">
        <is>
          <t>TC-ADM2-230</t>
        </is>
      </c>
      <c r="B231" s="15" t="inlineStr">
        <is>
          <t>Admin Console (đợt 2: Nội dung, Thanh toán, Khám phá)</t>
        </is>
      </c>
      <c r="C231" s="15" t="inlineStr">
        <is>
          <t>Thanh toán · Chi trả (API)</t>
        </is>
      </c>
      <c r="D231" s="15" t="inlineStr">
        <is>
          <t>Bảng quy tắc chuyển trạng thái payout: các hành động sai trạng thái đều 409</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31" s="15" t="inlineStr">
        <is>
          <t>1. mark-failed trên 'requested' -&gt; 409
2. retry trên 'requested' -&gt; 409
3. release trên 'requested' -&gt; 409
4. hold trên 'paid' -&gt; 409
5. hold trên 'rejected' -&gt; 409
6. reject trên 'paid' -&gt; 409
7. approve trên 'on_hold' -&gt; 409
8. mark-paid trên 'failed' -&gt; 409</t>
        </is>
      </c>
      <c r="K231" s="15" t="inlineStr">
        <is>
          <t>PO-12AA363D, PO-2CFB97FB, PO-91AEB74D</t>
        </is>
      </c>
      <c r="L231"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31" s="15" t="inlineStr"/>
      <c r="N231" s="18" t="inlineStr">
        <is>
          <t>Chưa test</t>
        </is>
      </c>
      <c r="O231" s="15" t="inlineStr"/>
      <c r="P231" s="15" t="inlineStr"/>
      <c r="Q231" s="18" t="inlineStr">
        <is>
          <t>Chưa test</t>
        </is>
      </c>
      <c r="R231" s="15" t="inlineStr"/>
    </row>
    <row r="232" ht="45" customHeight="1">
      <c r="A232" s="14" t="inlineStr">
        <is>
          <t>TC-ADM2-231</t>
        </is>
      </c>
      <c r="B232" s="15" t="inlineStr">
        <is>
          <t>Admin Console (đợt 2: Nội dung, Thanh toán, Khám phá)</t>
        </is>
      </c>
      <c r="C232" s="15" t="inlineStr">
        <is>
          <t>Thanh toán · Chi trả (API)</t>
        </is>
      </c>
      <c r="D232" s="15" t="inlineStr">
        <is>
          <t>reject/hold/mark-failed bắt buộc reason (400), payout bị từ chối được hoàn số dư</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32" s="15" t="inlineStr">
        <is>
          <t>1. reject {} -&gt; 400
2. reject {reason:'Name mismatch'} -&gt; 200 rejected
3. GET payout detail lấy creatorBalance.requestedCents trước/sau</t>
        </is>
      </c>
      <c r="K232" s="15" t="inlineStr">
        <is>
          <t>PO-12AA363D</t>
        </is>
      </c>
      <c r="L232" s="15" t="inlineStr">
        <is>
          <t>Thiếu reason 400; reject 200 status 'rejected', note 'Name mismatch'; requestedCents của creator giảm đúng amount payout bị từ chối (hoàn số dư).</t>
        </is>
      </c>
      <c r="M232" s="15" t="inlineStr"/>
      <c r="N232" s="18" t="inlineStr">
        <is>
          <t>Chưa test</t>
        </is>
      </c>
      <c r="O232" s="15" t="inlineStr"/>
      <c r="P232" s="15" t="inlineStr"/>
      <c r="Q232" s="18" t="inlineStr">
        <is>
          <t>Chưa test</t>
        </is>
      </c>
      <c r="R232" s="15" t="inlineStr"/>
    </row>
    <row r="233" ht="90" customHeight="1">
      <c r="A233" s="14" t="inlineStr">
        <is>
          <t>TC-ADM2-232</t>
        </is>
      </c>
      <c r="B233" s="15" t="inlineStr">
        <is>
          <t>Admin Console (đợt 2: Nội dung, Thanh toán, Khám phá)</t>
        </is>
      </c>
      <c r="C233" s="15" t="inlineStr">
        <is>
          <t>Thanh toán · Chi trả (API)</t>
        </is>
      </c>
      <c r="D233" s="15" t="inlineStr">
        <is>
          <t>Endpoint cũ GET/PATCH /api/admin/payouts vẫn hoạt động với payout mới (hồi quyền)</t>
        </is>
      </c>
      <c r="E233" s="15" t="inlineStr">
        <is>
          <t>Chức năng</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33" s="15" t="inlineStr">
        <is>
          <t>1. GET /api/admin/payouts?status=requested
2. PATCH /api/admin/payouts/&lt;id PO-12AA363D&gt; {"action":"approve"}
3. GET /api/admin/payments/payouts/&lt;id&gt;
4. PATCH {"action":"mark_paid"} và {"action":"reject","note":"x"}
5. PATCH {"action":"hold"}
6. GET /api/admin/payouts?status=on_hold</t>
        </is>
      </c>
      <c r="K233" s="15" t="inlineStr">
        <is>
          <t>PO-12AA363D</t>
        </is>
      </c>
      <c r="L233"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33" s="15" t="inlineStr"/>
      <c r="N233" s="18" t="inlineStr">
        <is>
          <t>Chưa test</t>
        </is>
      </c>
      <c r="O233" s="15" t="inlineStr"/>
      <c r="P233" s="15" t="inlineStr"/>
      <c r="Q233" s="18" t="inlineStr">
        <is>
          <t>Chưa test</t>
        </is>
      </c>
      <c r="R233" s="15" t="inlineStr"/>
    </row>
    <row r="234" ht="30" customHeight="1">
      <c r="A234" s="14" t="inlineStr">
        <is>
          <t>TC-ADM2-233</t>
        </is>
      </c>
      <c r="B234" s="15" t="inlineStr">
        <is>
          <t>Admin Console (đợt 2: Nội dung, Thanh toán, Khám phá)</t>
        </is>
      </c>
      <c r="C234" s="15" t="inlineStr">
        <is>
          <t>Thanh toán · Chi trả (API)</t>
        </is>
      </c>
      <c r="D234" s="15" t="inlineStr">
        <is>
          <t>Số tiền chi trả tối thiểu PAYOUT_MIN_USD không bị admin kiểm lại; kiểm ở bước creator yêu cầu</t>
        </is>
      </c>
      <c r="E234" s="15" t="inlineStr">
        <is>
          <t>Chức năng</t>
        </is>
      </c>
      <c r="F234" s="17" t="inlineStr">
        <is>
          <t>Thấp</t>
        </is>
      </c>
      <c r="G234" s="17" t="inlineStr">
        <is>
          <t>Đã hoàn thiện</t>
        </is>
      </c>
      <c r="H234" s="16" t="inlineStr">
        <is>
          <t>Không</t>
        </is>
      </c>
      <c r="I234"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34" s="15" t="inlineStr">
        <is>
          <t>1. owner@: POST /api/courses/paid-demo/payouts {amountCents:3000, method:{type:'bank',bankName:'Chase',accountNumber:'123456789',accountHolder:'Olivia Owner'}} (&lt; $50)
2. Admin xem /admin/payments/payouts</t>
        </is>
      </c>
      <c r="K234" s="15" t="inlineStr">
        <is>
          <t>amountCents=3000</t>
        </is>
      </c>
      <c r="L234"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34" s="15" t="inlineStr"/>
      <c r="N234" s="18" t="inlineStr">
        <is>
          <t>Chưa test</t>
        </is>
      </c>
      <c r="O234" s="15" t="inlineStr"/>
      <c r="P234" s="15" t="inlineStr"/>
      <c r="Q234" s="18" t="inlineStr">
        <is>
          <t>Chưa test</t>
        </is>
      </c>
      <c r="R234" s="15" t="inlineStr"/>
    </row>
    <row r="235" ht="45" customHeight="1">
      <c r="A235" s="14" t="inlineStr">
        <is>
          <t>TC-ADM2-234</t>
        </is>
      </c>
      <c r="B235" s="15" t="inlineStr">
        <is>
          <t>Admin Console (đợt 2: Nội dung, Thanh toán, Khám phá)</t>
        </is>
      </c>
      <c r="C235" s="15" t="inlineStr">
        <is>
          <t>Khám phá · Cộng đồng hiển thị (UI)</t>
        </is>
      </c>
      <c r="D235" s="15" t="inlineStr">
        <is>
          <t>Trang Cộng đồng hiển thị: 5 tab có đếm khớp seed</t>
        </is>
      </c>
      <c r="E235" s="15" t="inlineStr">
        <is>
          <t>Giao diện</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Mở /admin/discovery/listed
2. Đọc số đếm 5 tab
3. Đối chiếu /discovery/communities/summary</t>
        </is>
      </c>
      <c r="K235" s="15" t="inlineStr">
        <is>
          <t>-</t>
        </is>
      </c>
      <c r="L235" s="15" t="inlineStr">
        <is>
          <t>Tiêu đề 'Cộng đồng hiển thị' (phụ đề 'Cộng đồng hiển thị trong trang Khám phá.'), không có thẻ KPI; tab: Tất cả (35), Đang hiển thị (23), Nổi bật (3), Đã ẩn (4), Gỡ khỏi khám phá (5); 35 = 23+3+4+5.</t>
        </is>
      </c>
      <c r="M235" s="15" t="inlineStr"/>
      <c r="N235" s="18" t="inlineStr">
        <is>
          <t>Chưa test</t>
        </is>
      </c>
      <c r="O235" s="15" t="inlineStr"/>
      <c r="P235" s="15" t="inlineStr"/>
      <c r="Q235" s="18" t="inlineStr">
        <is>
          <t>Chưa test</t>
        </is>
      </c>
      <c r="R235" s="15" t="inlineStr"/>
    </row>
    <row r="236" ht="30" customHeight="1">
      <c r="A236" s="14" t="inlineStr">
        <is>
          <t>TC-ADM2-235</t>
        </is>
      </c>
      <c r="B236" s="15" t="inlineStr">
        <is>
          <t>Admin Console (đợt 2: Nội dung, Thanh toán, Khám phá)</t>
        </is>
      </c>
      <c r="C236" s="15" t="inlineStr">
        <is>
          <t>Khám phá · Cộng đồng hiển thị (UI)</t>
        </is>
      </c>
      <c r="D236" s="15" t="inlineStr">
        <is>
          <t>Bảng Cộng đồng hiển thị: cột và dữ liệu một dòng</t>
        </is>
      </c>
      <c r="E236" s="15" t="inlineStr">
        <is>
          <t>Giao diện</t>
        </is>
      </c>
      <c r="F236" s="20" t="inlineStr">
        <is>
          <t>Trung bình</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Gõ 'Growth Lab' vào ô 'Tìm cộng đồng đang hiển thị...'</t>
        </is>
      </c>
      <c r="K236" s="15" t="inlineStr">
        <is>
          <t>Growth Lab</t>
        </is>
      </c>
      <c r="L236" s="15" t="inlineStr">
        <is>
          <t>Dòng: tên 'Growth Lab' + '/growth-lab' (ảnh bìa/avatar chữ), Danh mục 'Kinh doanh', Thành viên (≈68), Tăng trưởng '+9.7%' (xanh; số âm sẽ đỏ), Tương tác thanh ≈100%, Đánh giá '—' (chưa có đánh giá), Trạng thái khám phá 'Nổi bật' (cam).</t>
        </is>
      </c>
      <c r="M236" s="15" t="inlineStr"/>
      <c r="N236" s="18" t="inlineStr">
        <is>
          <t>Chưa test</t>
        </is>
      </c>
      <c r="O236" s="15" t="inlineStr"/>
      <c r="P236" s="15" t="inlineStr"/>
      <c r="Q236" s="18" t="inlineStr">
        <is>
          <t>Chưa test</t>
        </is>
      </c>
      <c r="R236" s="15" t="inlineStr"/>
    </row>
    <row r="237" ht="45" customHeight="1">
      <c r="A237" s="14" t="inlineStr">
        <is>
          <t>TC-ADM2-236</t>
        </is>
      </c>
      <c r="B237" s="15" t="inlineStr">
        <is>
          <t>Admin Console (đợt 2: Nội dung, Thanh toán, Khám phá)</t>
        </is>
      </c>
      <c r="C237" s="15" t="inlineStr">
        <is>
          <t>Khám phá · Cộng đồng hiển thị (UI)</t>
        </is>
      </c>
      <c r="D237" s="15" t="inlineStr">
        <is>
          <t>Tab Nổi bật / Đã ẩn / Gỡ khỏi khám phá liệt kê đúng cộng đồng seed</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Bấm tab 'Nổi bật'
2. Bấm tab 'Đã ẩn'
3. Bấm tab 'Gỡ khỏi khám phá'</t>
        </is>
      </c>
      <c r="K237" s="15" t="inlineStr">
        <is>
          <t>-</t>
        </is>
      </c>
      <c r="L237"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37" s="15" t="inlineStr"/>
      <c r="N237" s="18" t="inlineStr">
        <is>
          <t>Chưa test</t>
        </is>
      </c>
      <c r="O237" s="15" t="inlineStr"/>
      <c r="P237" s="15" t="inlineStr"/>
      <c r="Q237" s="18" t="inlineStr">
        <is>
          <t>Chưa test</t>
        </is>
      </c>
      <c r="R237" s="15" t="inlineStr"/>
    </row>
    <row r="238" ht="45" customHeight="1">
      <c r="A238" s="14" t="inlineStr">
        <is>
          <t>TC-ADM2-237</t>
        </is>
      </c>
      <c r="B238" s="15" t="inlineStr">
        <is>
          <t>Admin Console (đợt 2: Nội dung, Thanh toán, Khám phá)</t>
        </is>
      </c>
      <c r="C238" s="15" t="inlineStr">
        <is>
          <t>Khám phá · Cộng đồng hiển thị (UI)</t>
        </is>
      </c>
      <c r="D238" s="15" t="inlineStr">
        <is>
          <t>Tìm cộng đồng theo tên, id (slug) và tên chủ</t>
        </is>
      </c>
      <c r="E238" s="15" t="inlineStr">
        <is>
          <t>Chức năng</t>
        </is>
      </c>
      <c r="F238" s="20" t="inlineStr">
        <is>
          <t>Trung bình</t>
        </is>
      </c>
      <c r="G238" s="17" t="inlineStr">
        <is>
          <t>Đã hoàn thiện</t>
        </is>
      </c>
      <c r="H238" s="17" t="inlineStr">
        <is>
          <t>Có</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8" s="15" t="inlineStr">
        <is>
          <t>1. Gõ 'spam'
2. Gõ 'pixel-pro'
3. Gõ 'Emma'</t>
        </is>
      </c>
      <c r="K238" s="15" t="inlineStr">
        <is>
          <t>spam | pixel-pro | Emma</t>
        </is>
      </c>
      <c r="L238" s="15" t="inlineStr">
        <is>
          <t>Lần 1: Spam Hub; lần 2: Pixel Pro; lần 3: cộng đồng do Emma Garcia làm chủ (Pixel Pro, Creator Academy). Không phân biệt hoa thường.</t>
        </is>
      </c>
      <c r="M238" s="15" t="inlineStr"/>
      <c r="N238" s="18" t="inlineStr">
        <is>
          <t>Chưa test</t>
        </is>
      </c>
      <c r="O238" s="15" t="inlineStr"/>
      <c r="P238" s="15" t="inlineStr"/>
      <c r="Q238" s="18" t="inlineStr">
        <is>
          <t>Chưa test</t>
        </is>
      </c>
      <c r="R238" s="15" t="inlineStr"/>
    </row>
    <row r="239" ht="60" customHeight="1">
      <c r="A239" s="14" t="inlineStr">
        <is>
          <t>TC-ADM2-238</t>
        </is>
      </c>
      <c r="B239" s="15" t="inlineStr">
        <is>
          <t>Admin Console (đợt 2: Nội dung, Thanh toán, Khám phá)</t>
        </is>
      </c>
      <c r="C239" s="15" t="inlineStr">
        <is>
          <t>Khám phá · Cộng đồng hiển thị (UI)</t>
        </is>
      </c>
      <c r="D239" s="15" t="inlineStr">
        <is>
          <t>Lọc theo Danh mục (nạp từ danh sách danh mục) và 'Xóa bộ lọc'</t>
        </is>
      </c>
      <c r="E239" s="15" t="inlineStr">
        <is>
          <t>Chức năng</t>
        </is>
      </c>
      <c r="F239" s="20" t="inlineStr">
        <is>
          <t>Trung bình</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Mở bộ lọc 'Danh mục', xem các lựa chọn
2. Chọn 'Công nghệ'
3. Kết hợp tab 'Đang hiển thị'
4. 'Xóa bộ lọc'</t>
        </is>
      </c>
      <c r="K239" s="15" t="inlineStr">
        <is>
          <t>Công nghệ</t>
        </is>
      </c>
      <c r="L239"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39" s="15" t="inlineStr"/>
      <c r="N239" s="18" t="inlineStr">
        <is>
          <t>Chưa test</t>
        </is>
      </c>
      <c r="O239" s="15" t="inlineStr"/>
      <c r="P239" s="15" t="inlineStr"/>
      <c r="Q239" s="18" t="inlineStr">
        <is>
          <t>Chưa test</t>
        </is>
      </c>
      <c r="R239" s="15" t="inlineStr"/>
    </row>
    <row r="240" ht="30" customHeight="1">
      <c r="A240" s="14" t="inlineStr">
        <is>
          <t>TC-ADM2-239</t>
        </is>
      </c>
      <c r="B240" s="15" t="inlineStr">
        <is>
          <t>Admin Console (đợt 2: Nội dung, Thanh toán, Khám phá)</t>
        </is>
      </c>
      <c r="C240" s="15" t="inlineStr">
        <is>
          <t>Khám phá · Cộng đồng hiển thị (UI)</t>
        </is>
      </c>
      <c r="D240" s="15" t="inlineStr">
        <is>
          <t>Sắp xếp: mặc định thành viên giảm dần, Tăng trưởng, Tương tác, Đánh giá, Mới nhất, Tên A–Z</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Mở trang (mặc định)
2. Chọn lần lượt 5 mục 'Sắp xếp'</t>
        </is>
      </c>
      <c r="K240" s="15" t="inlineStr">
        <is>
          <t>-</t>
        </is>
      </c>
      <c r="L240" s="15" t="inlineStr">
        <is>
          <t>Mặc định: cột 'Thành viên' giảm dần (photo ≈72 đầu); 'Đánh giá' giảm dần (ecom có 390 lượt...); 'Mới nhất' theo ngày tạo giảm dần; 'Tên A–Z' theo tên tăng dần.</t>
        </is>
      </c>
      <c r="M240" s="15" t="inlineStr"/>
      <c r="N240" s="18" t="inlineStr">
        <is>
          <t>Chưa test</t>
        </is>
      </c>
      <c r="O240" s="15" t="inlineStr"/>
      <c r="P240" s="15" t="inlineStr"/>
      <c r="Q240" s="18" t="inlineStr">
        <is>
          <t>Chưa test</t>
        </is>
      </c>
      <c r="R240" s="15" t="inlineStr"/>
    </row>
    <row r="241" ht="30" customHeight="1">
      <c r="A241" s="14" t="inlineStr">
        <is>
          <t>TC-ADM2-240</t>
        </is>
      </c>
      <c r="B241" s="15" t="inlineStr">
        <is>
          <t>Admin Console (đợt 2: Nội dung, Thanh toán, Khám phá)</t>
        </is>
      </c>
      <c r="C241" s="15" t="inlineStr">
        <is>
          <t>Khám phá · Cộng đồng hiển thị (UI)</t>
        </is>
      </c>
      <c r="D241" s="15" t="inlineStr">
        <is>
          <t>Phân trang Cộng đồng hiển thị 20/trang (35 -&gt; 2 trang)</t>
        </is>
      </c>
      <c r="E241" s="15" t="inlineStr">
        <is>
          <t>Chức năng</t>
        </is>
      </c>
      <c r="F241" s="20" t="inlineStr">
        <is>
          <t>Trung bình</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Mở tab 'Tất cả'
2. Sang trang 2</t>
        </is>
      </c>
      <c r="K241" s="15" t="inlineStr">
        <is>
          <t>-</t>
        </is>
      </c>
      <c r="L241" s="15" t="inlineStr">
        <is>
          <t>Trang 1: 20 dòng; trang 2: 15 dòng; tổng 35. Sắp xếp/phân trang thực hiện trong bộ nhớ ở BE (xem mục 'Khác biệt' 4).</t>
        </is>
      </c>
      <c r="M241" s="15" t="inlineStr"/>
      <c r="N241" s="18" t="inlineStr">
        <is>
          <t>Chưa test</t>
        </is>
      </c>
      <c r="O241" s="15" t="inlineStr"/>
      <c r="P241" s="15" t="inlineStr"/>
      <c r="Q241" s="18" t="inlineStr">
        <is>
          <t>Chưa test</t>
        </is>
      </c>
      <c r="R241" s="15" t="inlineStr"/>
    </row>
    <row r="242" ht="60" customHeight="1">
      <c r="A242" s="14" t="inlineStr">
        <is>
          <t>TC-ADM2-241</t>
        </is>
      </c>
      <c r="B242" s="15" t="inlineStr">
        <is>
          <t>Admin Console (đợt 2: Nội dung, Thanh toán, Khám phá)</t>
        </is>
      </c>
      <c r="C242" s="15" t="inlineStr">
        <is>
          <t>Khám phá · Cộng đồng hiển thị (UI)</t>
        </is>
      </c>
      <c r="D242" s="15" t="inlineStr">
        <is>
          <t>Menu dòng theo trạng thái khám phá (Đưa lên nổi bật/Bỏ nổi bật/Ẩn/Gỡ/Hiển thị lại/Xem chi tiết)</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Menu Code Camp (Đang hiển thị)
2. Menu Growth Lab (Nổi bật)
3. Menu Business 'biz' (Đã ẩn)
4. Menu Spam Hub (Gỡ khỏi khám phá)</t>
        </is>
      </c>
      <c r="K242" s="15" t="inlineStr">
        <is>
          <t>-</t>
        </is>
      </c>
      <c r="L242"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42" s="15" t="inlineStr"/>
      <c r="N242" s="18" t="inlineStr">
        <is>
          <t>Chưa test</t>
        </is>
      </c>
      <c r="O242" s="15" t="inlineStr"/>
      <c r="P242" s="15" t="inlineStr"/>
      <c r="Q242" s="18" t="inlineStr">
        <is>
          <t>Chưa test</t>
        </is>
      </c>
      <c r="R242" s="15" t="inlineStr"/>
    </row>
    <row r="243" ht="60" customHeight="1">
      <c r="A243" s="14" t="inlineStr">
        <is>
          <t>TC-ADM2-242</t>
        </is>
      </c>
      <c r="B243" s="15" t="inlineStr">
        <is>
          <t>Admin Console (đợt 2: Nội dung, Thanh toán, Khám phá)</t>
        </is>
      </c>
      <c r="C243" s="15" t="inlineStr">
        <is>
          <t>Khám phá · Cộng đồng hiển thị (UI)</t>
        </is>
      </c>
      <c r="D243" s="15" t="inlineStr">
        <is>
          <t>Đưa lên nổi bật: toast, trạng thái 'Nổi bật', xuất hiện ở /courses/featured</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3" s="15" t="inlineStr">
        <is>
          <t>1. Menu 'Marketing thực chiến' (id mkt) &gt; 'Đưa lên nổi bật'
2. Xác nhận
3. Mở /admin/discovery/featured
4. GET /api/courses/featured?section=featured</t>
        </is>
      </c>
      <c r="K243" s="15" t="inlineStr">
        <is>
          <t>mkt</t>
        </is>
      </c>
      <c r="L243"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43" s="15" t="inlineStr"/>
      <c r="N243" s="18" t="inlineStr">
        <is>
          <t>Chưa test</t>
        </is>
      </c>
      <c r="O243" s="15" t="inlineStr"/>
      <c r="P243" s="15" t="inlineStr"/>
      <c r="Q243" s="18" t="inlineStr">
        <is>
          <t>Chưa test</t>
        </is>
      </c>
      <c r="R243" s="15" t="inlineStr"/>
    </row>
    <row r="244" ht="30" customHeight="1">
      <c r="A244" s="14" t="inlineStr">
        <is>
          <t>TC-ADM2-243</t>
        </is>
      </c>
      <c r="B244" s="15" t="inlineStr">
        <is>
          <t>Admin Console (đợt 2: Nội dung, Thanh toán, Khám phá)</t>
        </is>
      </c>
      <c r="C244" s="15" t="inlineStr">
        <is>
          <t>Khám phá · Cộng đồng hiển thị (UI)</t>
        </is>
      </c>
      <c r="D244" s="15" t="inlineStr">
        <is>
          <t>Bỏ nổi bật: gỡ khỏi MỌI mục ghim, trạng thái về 'Đang hiển thị'</t>
        </is>
      </c>
      <c r="E244" s="15" t="inlineStr">
        <is>
          <t>Chức năng</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Menu 'Growth Lab' &gt; 'Bỏ nổi bật' &gt; xác nhận
2. Kiểm tra /admin/discovery/featured</t>
        </is>
      </c>
      <c r="K244" s="15" t="inlineStr">
        <is>
          <t>growth-lab</t>
        </is>
      </c>
      <c r="L244" s="15" t="inlineStr">
        <is>
          <t>Toast 'Đã bỏ nổi bật'; trạng thái 'Đang hiển thị'; growth-lab biến khỏi thẻ 'Cộng đồng nổi bật'; audit discovery.unfeature (metadata.sections).</t>
        </is>
      </c>
      <c r="M244" s="15" t="inlineStr"/>
      <c r="N244" s="18" t="inlineStr">
        <is>
          <t>Chưa test</t>
        </is>
      </c>
      <c r="O244" s="15" t="inlineStr"/>
      <c r="P244" s="15" t="inlineStr"/>
      <c r="Q244" s="18" t="inlineStr">
        <is>
          <t>Chưa test</t>
        </is>
      </c>
      <c r="R244" s="15" t="inlineStr"/>
    </row>
    <row r="245" ht="60" customHeight="1">
      <c r="A245" s="14" t="inlineStr">
        <is>
          <t>TC-ADM2-244</t>
        </is>
      </c>
      <c r="B245" s="15" t="inlineStr">
        <is>
          <t>Admin Console (đợt 2: Nội dung, Thanh toán, Khám phá)</t>
        </is>
      </c>
      <c r="C245" s="15" t="inlineStr">
        <is>
          <t>Khám phá · Cộng đồng hiển thị (UI)</t>
        </is>
      </c>
      <c r="D245" s="15" t="inlineStr">
        <is>
          <t>Ẩn khỏi Khám phá: lý do KHÔNG bắt buộc, ghi 'lý do — ghi chú', thông báo chủ, biến mất khỏi /courses</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5" s="15" t="inlineStr">
        <is>
          <t>1. Menu 'Marketing thực chiến' (mkt, chủ Daniel) &gt; 'Ẩn'
2. Không chọn lý do (nút vẫn bấm được); thử lại với lý do 'Chất lượng thấp' + ghi chú 'QA'
3. daniel@ xem thông báo
4. GET /api/courses?limit=50 (token bất kỳ)</t>
        </is>
      </c>
      <c r="K245" s="15" t="inlineStr">
        <is>
          <t>mkt</t>
        </is>
      </c>
      <c r="L245"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45" s="15" t="inlineStr"/>
      <c r="N245" s="18" t="inlineStr">
        <is>
          <t>Chưa test</t>
        </is>
      </c>
      <c r="O245" s="15" t="inlineStr"/>
      <c r="P245" s="15" t="inlineStr"/>
      <c r="Q245" s="18" t="inlineStr">
        <is>
          <t>Chưa test</t>
        </is>
      </c>
      <c r="R245" s="15" t="inlineStr"/>
    </row>
    <row r="246" ht="30" customHeight="1">
      <c r="A246" s="14" t="inlineStr">
        <is>
          <t>TC-ADM2-245</t>
        </is>
      </c>
      <c r="B246" s="15" t="inlineStr">
        <is>
          <t>Admin Console (đợt 2: Nội dung, Thanh toán, Khám phá)</t>
        </is>
      </c>
      <c r="C246" s="15" t="inlineStr">
        <is>
          <t>Khám phá · Cộng đồng hiển thị (UI)</t>
        </is>
      </c>
      <c r="D246" s="15" t="inlineStr">
        <is>
          <t>Gỡ khỏi Khám phá (unlisted) cộng đồng đang Nổi bật: biến mất khỏi mục ghim công khai</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6" s="15" t="inlineStr">
        <is>
          <t>1. Menu 'Growth Lab' (Nổi bật) &gt; 'Gỡ khỏi Khám phá' &gt; lý do 'Vi phạm chính sách' &gt; xác nhận
2. GET /api/courses/featured?section=featured</t>
        </is>
      </c>
      <c r="K246" s="15" t="inlineStr">
        <is>
          <t>growth-lab</t>
        </is>
      </c>
      <c r="L246" s="15" t="inlineStr">
        <is>
          <t>Toast 'Đã gỡ khỏi Khám phá'; trạng thái 'Gỡ khỏi khám phá'; API công khai KHÔNG còn growth-lab (mục ghim vẫn tồn tại trong admin nhưng bị lọc vì không còn listed); /courses cũng không còn; Sarah nhận thông báo.</t>
        </is>
      </c>
      <c r="M246" s="15" t="inlineStr"/>
      <c r="N246" s="18" t="inlineStr">
        <is>
          <t>Chưa test</t>
        </is>
      </c>
      <c r="O246" s="15" t="inlineStr"/>
      <c r="P246" s="15" t="inlineStr"/>
      <c r="Q246" s="18" t="inlineStr">
        <is>
          <t>Chưa test</t>
        </is>
      </c>
      <c r="R246" s="15" t="inlineStr"/>
    </row>
    <row r="247" ht="45" customHeight="1">
      <c r="A247" s="14" t="inlineStr">
        <is>
          <t>TC-ADM2-246</t>
        </is>
      </c>
      <c r="B247" s="15" t="inlineStr">
        <is>
          <t>Admin Console (đợt 2: Nội dung, Thanh toán, Khám phá)</t>
        </is>
      </c>
      <c r="C247" s="15" t="inlineStr">
        <is>
          <t>Khám phá · Cộng đồng hiển thị (UI)</t>
        </is>
      </c>
      <c r="D247" s="15" t="inlineStr">
        <is>
          <t>Hiển thị lại cộng đồng bị ẩn/gỡ (raw hidden hoặc unlisted) -&gt; Đang hiển thị</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Menu 'biz' (Đã ẩn) &gt; 'Hiển thị lại' &gt; xác nhận
2. Menu 'fit' (Gỡ khỏi khám phá, Owner request) &gt; 'Hiển thị lại'
3. GET /api/courses?q=Xây dựng</t>
        </is>
      </c>
      <c r="K247" s="15" t="inlineStr">
        <is>
          <t>biz, fit</t>
        </is>
      </c>
      <c r="L247"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47" s="15" t="inlineStr"/>
      <c r="N247" s="18" t="inlineStr">
        <is>
          <t>Chưa test</t>
        </is>
      </c>
      <c r="O247" s="15" t="inlineStr"/>
      <c r="P247" s="15" t="inlineStr"/>
      <c r="Q247" s="18" t="inlineStr">
        <is>
          <t>Chưa test</t>
        </is>
      </c>
      <c r="R247" s="15" t="inlineStr"/>
    </row>
    <row r="248" ht="30" customHeight="1">
      <c r="A248" s="14" t="inlineStr">
        <is>
          <t>TC-ADM2-247</t>
        </is>
      </c>
      <c r="B248" s="15" t="inlineStr">
        <is>
          <t>Admin Console (đợt 2: Nội dung, Thanh toán, Khám phá)</t>
        </is>
      </c>
      <c r="C248" s="15" t="inlineStr">
        <is>
          <t>Khám phá · Cộng đồng hiển thị (UI)</t>
        </is>
      </c>
      <c r="D248" s="15" t="inlineStr">
        <is>
          <t>'Hiển thị lại' trên cộng đồng riêng tư/chờ duyệt/đình chỉ báo 409 'đã ở trạng thái listed' (hành vi hiện tại)</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48" s="15" t="inlineStr">
        <is>
          <t>1. Menu 'fin' (riêng tư, hiển thị 'Đã ẩn') &gt; 'Hiển thị lại' &gt; xác nhận
2. Menu 'design-circle' (chờ duyệt, 'Gỡ khỏi khám phá') &gt; 'Hiển thị lại' &gt; xác nhận</t>
        </is>
      </c>
      <c r="K248" s="15" t="inlineStr">
        <is>
          <t>fin, design-circle</t>
        </is>
      </c>
      <c r="L248"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48" s="15" t="inlineStr"/>
      <c r="N248" s="18" t="inlineStr">
        <is>
          <t>Chưa test</t>
        </is>
      </c>
      <c r="O248" s="15" t="inlineStr"/>
      <c r="P248" s="15" t="inlineStr"/>
      <c r="Q248" s="18" t="inlineStr">
        <is>
          <t>Chưa test</t>
        </is>
      </c>
      <c r="R248" s="15" t="inlineStr"/>
    </row>
    <row r="249" ht="45" customHeight="1">
      <c r="A249" s="14" t="inlineStr">
        <is>
          <t>TC-ADM2-248</t>
        </is>
      </c>
      <c r="B249" s="15" t="inlineStr">
        <is>
          <t>Admin Console (đợt 2: Nội dung, Thanh toán, Khám phá)</t>
        </is>
      </c>
      <c r="C249" s="15" t="inlineStr">
        <is>
          <t>Khám phá · Cộng đồng hiển thị (UI)</t>
        </is>
      </c>
      <c r="D249" s="15" t="inlineStr">
        <is>
          <t>Cộng đồng riêng tư hiển thị 'Đã ẩn' ở admin nhưng VẪN nằm trong /courses công khai</t>
        </is>
      </c>
      <c r="E249" s="15" t="inlineStr">
        <is>
          <t>Chức năng</t>
        </is>
      </c>
      <c r="F249" s="20" t="inlineStr">
        <is>
          <t>Trung bình</t>
        </is>
      </c>
      <c r="G249" s="20" t="inlineStr">
        <is>
          <t>Kế hoạch</t>
        </is>
      </c>
      <c r="H249" s="16" t="inlineStr">
        <is>
          <t>Không</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Admin: tab 'Đã ẩn' thấy fin, lead, private-demo
2. GET /api/courses?limit=50 (token bất kỳ)
3. So sánh</t>
        </is>
      </c>
      <c r="K249" s="15" t="inlineStr">
        <is>
          <t>fin, lead, private-demo</t>
        </is>
      </c>
      <c r="L249"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49" s="15" t="inlineStr"/>
      <c r="N249" s="18" t="inlineStr">
        <is>
          <t>Chưa test</t>
        </is>
      </c>
      <c r="O249" s="15" t="inlineStr"/>
      <c r="P249" s="15" t="inlineStr"/>
      <c r="Q249" s="18" t="inlineStr">
        <is>
          <t>Chưa test</t>
        </is>
      </c>
      <c r="R249" s="15" t="inlineStr"/>
    </row>
    <row r="250" ht="30" customHeight="1">
      <c r="A250" s="14" t="inlineStr">
        <is>
          <t>TC-ADM2-249</t>
        </is>
      </c>
      <c r="B250" s="15" t="inlineStr">
        <is>
          <t>Admin Console (đợt 2: Nội dung, Thanh toán, Khám phá)</t>
        </is>
      </c>
      <c r="C250" s="15" t="inlineStr">
        <is>
          <t>Khám phá · Cộng đồng hiển thị (UI)</t>
        </is>
      </c>
      <c r="D250" s="15" t="inlineStr">
        <is>
          <t>Lỗi/tải/rỗng của trang Cộng đồng hiển thị</t>
        </is>
      </c>
      <c r="E250" s="15" t="inlineStr">
        <is>
          <t>Giao diện</t>
        </is>
      </c>
      <c r="F250" s="17" t="inlineStr">
        <is>
          <t>Thấp</t>
        </is>
      </c>
      <c r="G250" s="17" t="inlineStr">
        <is>
          <t>Đã hoàn thiện</t>
        </is>
      </c>
      <c r="H250" s="20" t="inlineStr">
        <is>
          <t>Một phần</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50" s="15" t="inlineStr">
        <is>
          <t>1. Tìm 'zzzkhongco'
2. Chặn /api/admin/discovery/communities rồi F5, bỏ chặn, bấm 'Thử lại'</t>
        </is>
      </c>
      <c r="K250" s="15" t="inlineStr">
        <is>
          <t>-</t>
        </is>
      </c>
      <c r="L250" s="15" t="inlineStr">
        <is>
          <t>Rỗng: 'Không có kết quả phù hợp.'; lỗi: khối lỗi + 'Thử lại'; đang tải: 'Đang tải…'.</t>
        </is>
      </c>
      <c r="M250" s="15" t="inlineStr"/>
      <c r="N250" s="18" t="inlineStr">
        <is>
          <t>Chưa test</t>
        </is>
      </c>
      <c r="O250" s="15" t="inlineStr"/>
      <c r="P250" s="15" t="inlineStr"/>
      <c r="Q250" s="18" t="inlineStr">
        <is>
          <t>Chưa test</t>
        </is>
      </c>
      <c r="R250" s="15" t="inlineStr"/>
    </row>
    <row r="251" ht="120" customHeight="1">
      <c r="A251" s="14" t="inlineStr">
        <is>
          <t>TC-ADM2-250</t>
        </is>
      </c>
      <c r="B251" s="15" t="inlineStr">
        <is>
          <t>Admin Console (đợt 2: Nội dung, Thanh toán, Khám phá)</t>
        </is>
      </c>
      <c r="C251" s="15" t="inlineStr">
        <is>
          <t>Khám phá · Cộng đồng hiển thị (API)</t>
        </is>
      </c>
      <c r="D251" s="15" t="inlineStr">
        <is>
          <t>GET /discovery/communities: lọc status/category/q, sort, phân trang, 400</t>
        </is>
      </c>
      <c r="E251" s="15" t="inlineStr">
        <is>
          <t>Chức năng</t>
        </is>
      </c>
      <c r="F251" s="16" t="inlineStr">
        <is>
          <t>Cao</t>
        </is>
      </c>
      <c r="G251" s="17" t="inlineStr">
        <is>
          <t>Đã hoàn thiện</t>
        </is>
      </c>
      <c r="H251" s="17" t="inlineStr">
        <is>
          <t>Có</t>
        </is>
      </c>
      <c r="I25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1" s="15" t="inlineStr">
        <is>
          <t>1. GET /discovery/communities/summary
2. GET /discovery/communities?status=hidden
3. GET /discovery/communities?status=featured,listed&amp;category=tech
4. GET ...?q=spam
5. GET ...?sort=name&amp;limit=5&amp;page=2
6. GET ...?status=bogus
7. GET ...?category=bogus
8. GET ...?sort=bogus</t>
        </is>
      </c>
      <c r="K251" s="15" t="inlineStr">
        <is>
          <t>-</t>
        </is>
      </c>
      <c r="L25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51" s="15" t="inlineStr"/>
      <c r="N251" s="18" t="inlineStr">
        <is>
          <t>Chưa test</t>
        </is>
      </c>
      <c r="O251" s="15" t="inlineStr"/>
      <c r="P251" s="15" t="inlineStr"/>
      <c r="Q251" s="18" t="inlineStr">
        <is>
          <t>Chưa test</t>
        </is>
      </c>
      <c r="R251" s="15" t="inlineStr"/>
    </row>
    <row r="252" ht="60" customHeight="1">
      <c r="A252" s="14" t="inlineStr">
        <is>
          <t>TC-ADM2-251</t>
        </is>
      </c>
      <c r="B252" s="15" t="inlineStr">
        <is>
          <t>Admin Console (đợt 2: Nội dung, Thanh toán, Khám phá)</t>
        </is>
      </c>
      <c r="C252" s="15" t="inlineStr">
        <is>
          <t>Khám phá · Cộng đồng hiển thị (API)</t>
        </is>
      </c>
      <c r="D252" s="15" t="inlineStr">
        <is>
          <t>Quy tắc trạng thái hiển thị (effective discovery): chưa active/khóa/xóa = unlisted; private = hidden; featured khi đang có mục 'featured'</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/discovery/communities?q=design-circle
2. ?q=crypto-signals-pro
3. ?q=fin&amp;status=hidden
4. ?q=growth-lab</t>
        </is>
      </c>
      <c r="K252" s="15" t="inlineStr">
        <is>
          <t>-</t>
        </is>
      </c>
      <c r="L252" s="15" t="inlineStr">
        <is>
          <t>design-circle (pending_review) -&gt; unlisted; crypto-signals-pro (suspended) -&gt; unlisted; fin (private) -&gt; hidden với listedStatus='listed'; growth-lab -&gt; featured với featuredSections=['featured']. [PHỤ THUỘC QUYẾT ĐỊNH CHƯA CHỐT] quy tắc hidden/unlisted.</t>
        </is>
      </c>
      <c r="M252" s="15" t="inlineStr"/>
      <c r="N252" s="18" t="inlineStr">
        <is>
          <t>Chưa test</t>
        </is>
      </c>
      <c r="O252" s="15" t="inlineStr"/>
      <c r="P252" s="15" t="inlineStr"/>
      <c r="Q252" s="18" t="inlineStr">
        <is>
          <t>Chưa test</t>
        </is>
      </c>
      <c r="R252" s="15" t="inlineStr"/>
    </row>
    <row r="253" ht="90" customHeight="1">
      <c r="A253" s="14" t="inlineStr">
        <is>
          <t>TC-ADM2-252</t>
        </is>
      </c>
      <c r="B253" s="15" t="inlineStr">
        <is>
          <t>Admin Console (đợt 2: Nội dung, Thanh toán, Khám phá)</t>
        </is>
      </c>
      <c r="C253" s="15" t="inlineStr">
        <is>
          <t>Khám phá · Cộng đồng hiển thị (API)</t>
        </is>
      </c>
      <c r="D253" s="15" t="inlineStr">
        <is>
          <t>POST /discovery/communities/:id/status: 400/404/409, ghi lý do, audit, thông báo chủ</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status {status:'bogus'} -&gt; 400
2. status {status:'listed'} trên cộng đồng đang listed -&gt; 409
3. mkt {status:'unlisted',reason:'Low quality'} -&gt; 200
4. mkt {status:'hidden'} -&gt; 200
5. mkt {status:'listed'} -&gt; 200 (discoveryReason=null)
6. id 'nope' -&gt; 404</t>
        </is>
      </c>
      <c r="K253" s="15" t="inlineStr">
        <is>
          <t>mkt</t>
        </is>
      </c>
      <c r="L25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53" s="15" t="inlineStr"/>
      <c r="N253" s="18" t="inlineStr">
        <is>
          <t>Chưa test</t>
        </is>
      </c>
      <c r="O253" s="15" t="inlineStr"/>
      <c r="P253" s="15" t="inlineStr"/>
      <c r="Q253" s="18" t="inlineStr">
        <is>
          <t>Chưa test</t>
        </is>
      </c>
      <c r="R253" s="15" t="inlineStr"/>
    </row>
    <row r="254" ht="120" customHeight="1">
      <c r="A254" s="14" t="inlineStr">
        <is>
          <t>TC-ADM2-253</t>
        </is>
      </c>
      <c r="B254" s="15" t="inlineStr">
        <is>
          <t>Admin Console (đợt 2: Nội dung, Thanh toán, Khám phá)</t>
        </is>
      </c>
      <c r="C254" s="15" t="inlineStr">
        <is>
          <t>Khám phá · Cộng đồng hiển thị (API)</t>
        </is>
      </c>
      <c r="D254" s="15" t="inlineStr">
        <is>
          <t>POST feature/unfeature: 200, 409 trùng/không ghim, 400 khi cộng đồng không đủ điều kiện</t>
        </is>
      </c>
      <c r="E254" s="15" t="inlineStr">
        <is>
          <t>Chức năng</t>
        </is>
      </c>
      <c r="F254" s="16" t="inlineStr">
        <is>
          <t>Cao</t>
        </is>
      </c>
      <c r="G254" s="17" t="inlineStr">
        <is>
          <t>Đã hoàn thiện</t>
        </is>
      </c>
      <c r="H254" s="17" t="inlineStr">
        <is>
          <t>Có</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54" s="15" t="inlineStr">
        <is>
          <t>mkt</t>
        </is>
      </c>
      <c r="L254" s="15" t="inlineStr">
        <is>
          <t>Đúng mã; 400 'Chỉ ghim được cộng đồng đang hoạt động, công khai và ở trạng thái listed'; unfeature không truyền section thì gỡ khỏi mọi mục; audit discovery.feature / discovery.unfeature.</t>
        </is>
      </c>
      <c r="M254" s="15" t="inlineStr"/>
      <c r="N254" s="18" t="inlineStr">
        <is>
          <t>Chưa test</t>
        </is>
      </c>
      <c r="O254" s="15" t="inlineStr"/>
      <c r="P254" s="15" t="inlineStr"/>
      <c r="Q254" s="18" t="inlineStr">
        <is>
          <t>Chưa test</t>
        </is>
      </c>
      <c r="R254" s="15" t="inlineStr"/>
    </row>
    <row r="255" ht="30" customHeight="1">
      <c r="A255" s="14" t="inlineStr">
        <is>
          <t>TC-ADM2-254</t>
        </is>
      </c>
      <c r="B255" s="15" t="inlineStr">
        <is>
          <t>Admin Console (đợt 2: Nội dung, Thanh toán, Khám phá)</t>
        </is>
      </c>
      <c r="C255" s="15" t="inlineStr">
        <is>
          <t>Khám phá · Danh mục</t>
        </is>
      </c>
      <c r="D255" s="15" t="inlineStr">
        <is>
          <t>Trang Danh mục: 8 danh mục seed theo thứ tự, cột và số cộng đồng</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/admin/discovery/categories</t>
        </is>
      </c>
      <c r="K255" s="15" t="inlineStr">
        <is>
          <t>-</t>
        </is>
      </c>
      <c r="L25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55" s="15" t="inlineStr"/>
      <c r="N255" s="18" t="inlineStr">
        <is>
          <t>Chưa test</t>
        </is>
      </c>
      <c r="O255" s="15" t="inlineStr"/>
      <c r="P255" s="15" t="inlineStr"/>
      <c r="Q255" s="18" t="inlineStr">
        <is>
          <t>Chưa test</t>
        </is>
      </c>
      <c r="R255" s="15" t="inlineStr"/>
    </row>
    <row r="256" ht="75" customHeight="1">
      <c r="A256" s="14" t="inlineStr">
        <is>
          <t>TC-ADM2-255</t>
        </is>
      </c>
      <c r="B256" s="15" t="inlineStr">
        <is>
          <t>Admin Console (đợt 2: Nội dung, Thanh toán, Khám phá)</t>
        </is>
      </c>
      <c r="C256" s="15" t="inlineStr">
        <is>
          <t>Khám phá · Danh mục</t>
        </is>
      </c>
      <c r="D256" s="15" t="inlineStr">
        <is>
          <t>Thêm danh mục 'marketing' (phải bấm Thêm): chip khóa, tên gợi ý, toast, vị trí 9</t>
        </is>
      </c>
      <c r="E256" s="15" t="inlineStr">
        <is>
          <t>Chức năng</t>
        </is>
      </c>
      <c r="F256" s="16" t="inlineStr">
        <is>
          <t>Cao</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Bấm 'Thêm'
2. Quan sát chip khóa (chỉ còn marketing, design)
3. Chọn 'marketing' -&gt; tên tự điền 'Marketing'
4. Mô tả 'Danh mục QA' &gt; 'Thêm danh mục'
5. GET /api/categories</t>
        </is>
      </c>
      <c r="K256" s="15" t="inlineStr">
        <is>
          <t>marketing</t>
        </is>
      </c>
      <c r="L25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56" s="15" t="inlineStr"/>
      <c r="N256" s="18" t="inlineStr">
        <is>
          <t>Chưa test</t>
        </is>
      </c>
      <c r="O256" s="15" t="inlineStr"/>
      <c r="P256" s="15" t="inlineStr"/>
      <c r="Q256" s="18" t="inlineStr">
        <is>
          <t>Chưa test</t>
        </is>
      </c>
      <c r="R256" s="15" t="inlineStr"/>
    </row>
    <row r="257" ht="30" customHeight="1">
      <c r="A257" s="14" t="inlineStr">
        <is>
          <t>TC-ADM2-256</t>
        </is>
      </c>
      <c r="B257" s="15" t="inlineStr">
        <is>
          <t>Admin Console (đợt 2: Nội dung, Thanh toán, Khám phá)</t>
        </is>
      </c>
      <c r="C257" s="15" t="inlineStr">
        <is>
          <t>Khám phá · Danh mục</t>
        </is>
      </c>
      <c r="D257" s="15" t="inlineStr">
        <is>
          <t>Thêm danh mục khi đã dùng hết khóa: hiện thông báo 'Đã dùng hết các khóa...'</t>
        </is>
      </c>
      <c r="E257" s="15" t="inlineStr">
        <is>
          <t>Chức năng</t>
        </is>
      </c>
      <c r="F257" s="17" t="inlineStr">
        <is>
          <t>Thấp</t>
        </is>
      </c>
      <c r="G257" s="17" t="inlineStr">
        <is>
          <t>Đã hoàn thiện</t>
        </is>
      </c>
      <c r="H257" s="17" t="inlineStr">
        <is>
          <t>Có</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7" s="15" t="inlineStr">
        <is>
          <t>1. Thêm marketing và design
2. Bấm 'Thêm' lần nữa</t>
        </is>
      </c>
      <c r="K257" s="15" t="inlineStr">
        <is>
          <t>-</t>
        </is>
      </c>
      <c r="L257" s="15" t="inlineStr">
        <is>
          <t>Modal hiện 'Đã dùng hết các khóa danh mục có thể thêm.' và nút 'Thêm danh mục' bị khóa.</t>
        </is>
      </c>
      <c r="M257" s="15" t="inlineStr"/>
      <c r="N257" s="18" t="inlineStr">
        <is>
          <t>Chưa test</t>
        </is>
      </c>
      <c r="O257" s="15" t="inlineStr"/>
      <c r="P257" s="15" t="inlineStr"/>
      <c r="Q257" s="18" t="inlineStr">
        <is>
          <t>Chưa test</t>
        </is>
      </c>
      <c r="R257" s="15" t="inlineStr"/>
    </row>
    <row r="258" ht="45" customHeight="1">
      <c r="A258" s="14" t="inlineStr">
        <is>
          <t>TC-ADM2-257</t>
        </is>
      </c>
      <c r="B258" s="15" t="inlineStr">
        <is>
          <t>Admin Console (đợt 2: Nội dung, Thanh toán, Khám phá)</t>
        </is>
      </c>
      <c r="C258" s="15" t="inlineStr">
        <is>
          <t>Khám phá · Danh mục</t>
        </is>
      </c>
      <c r="D258" s="15" t="inlineStr">
        <is>
          <t>Sửa danh mục: đổi tên/mô tả, hiển thị ở /categories công khai</t>
        </is>
      </c>
      <c r="E258" s="15" t="inlineStr">
        <is>
          <t>Chức năng</t>
        </is>
      </c>
      <c r="F258" s="16" t="inlineStr">
        <is>
          <t>Cao</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Menu 'Tài chính' &gt; 'Sửa'
2. Đổi tên 'Tài chính &amp; Đầu tư', mô tả 'Mô tả QA' &gt; 'Lưu'
3. GET /api/categories (không token)</t>
        </is>
      </c>
      <c r="K258" s="15" t="inlineStr">
        <is>
          <t>finance</t>
        </is>
      </c>
      <c r="L258" s="15" t="inlineStr">
        <is>
          <t>Modal 'Sửa danh mục · Tài chính'; nút 'Lưu' khóa khi tên rỗng; toast 'Đã cập nhật danh mục'; bảng hiện tên mới và mô tả mới; /api/categories trả name mới cho id 'finance'; audit category.update.</t>
        </is>
      </c>
      <c r="M258" s="15" t="inlineStr"/>
      <c r="N258" s="18" t="inlineStr">
        <is>
          <t>Chưa test</t>
        </is>
      </c>
      <c r="O258" s="15" t="inlineStr"/>
      <c r="P258" s="15" t="inlineStr"/>
      <c r="Q258" s="18" t="inlineStr">
        <is>
          <t>Chưa test</t>
        </is>
      </c>
      <c r="R258" s="15" t="inlineStr"/>
    </row>
    <row r="259" ht="60" customHeight="1">
      <c r="A259" s="14" t="inlineStr">
        <is>
          <t>TC-ADM2-258</t>
        </is>
      </c>
      <c r="B259" s="15" t="inlineStr">
        <is>
          <t>Admin Console (đợt 2: Nội dung, Thanh toán, Khám phá)</t>
        </is>
      </c>
      <c r="C259" s="15" t="inlineStr">
        <is>
          <t>Khám phá · Danh mục</t>
        </is>
      </c>
      <c r="D259" s="15" t="inlineStr">
        <is>
          <t>Tắt danh mục: biến mất khỏi /api/categories công khai, cộng đồng hiện có không đổi</t>
        </is>
      </c>
      <c r="E259" s="15" t="inlineStr">
        <is>
          <t>Chức năng</t>
        </is>
      </c>
      <c r="F259" s="16" t="inlineStr">
        <is>
          <t>Cao</t>
        </is>
      </c>
      <c r="G259" s="17" t="inlineStr">
        <is>
          <t>Đã hoàn thiện</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Menu 'Tài chính' &gt; 'Tắt' &gt; xác nhận modal 'Tắt danh mục?'
2. GET /api/categories
3. GET /api/courses?category=finance
4. Mở /admin/discovery/listed lọc 'Tài chính'</t>
        </is>
      </c>
      <c r="K259" s="15" t="inlineStr">
        <is>
          <t>finance</t>
        </is>
      </c>
      <c r="L25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59" s="15" t="inlineStr"/>
      <c r="N259" s="18" t="inlineStr">
        <is>
          <t>Chưa test</t>
        </is>
      </c>
      <c r="O259" s="15" t="inlineStr"/>
      <c r="P259" s="15" t="inlineStr"/>
      <c r="Q259" s="18" t="inlineStr">
        <is>
          <t>Chưa test</t>
        </is>
      </c>
      <c r="R259" s="15" t="inlineStr"/>
    </row>
    <row r="260" ht="30" customHeight="1">
      <c r="A260" s="14" t="inlineStr">
        <is>
          <t>TC-ADM2-259</t>
        </is>
      </c>
      <c r="B260" s="15" t="inlineStr">
        <is>
          <t>Admin Console (đợt 2: Nội dung, Thanh toán, Khám phá)</t>
        </is>
      </c>
      <c r="C260" s="15" t="inlineStr">
        <is>
          <t>Khám phá · Danh mục</t>
        </is>
      </c>
      <c r="D260" s="15" t="inlineStr">
        <is>
          <t>Bật lại danh mục: toast ngay (không modal) và xuất hiện lại ở /api/categories</t>
        </is>
      </c>
      <c r="E260" s="15" t="inlineStr">
        <is>
          <t>Chức năng</t>
        </is>
      </c>
      <c r="F260" s="20" t="inlineStr">
        <is>
          <t>Trung bình</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Tắt 'Tài chính' rồi menu &gt; 'Bật'</t>
        </is>
      </c>
      <c r="K260" s="15" t="inlineStr">
        <is>
          <t>finance</t>
        </is>
      </c>
      <c r="L260" s="15" t="inlineStr">
        <is>
          <t>Toast 'Đã bật danh mục' ngay lập tức; badge 'Hoạt động'; /api/categories có lại finance đúng thứ tự cũ.</t>
        </is>
      </c>
      <c r="M260" s="15" t="inlineStr"/>
      <c r="N260" s="18" t="inlineStr">
        <is>
          <t>Chưa test</t>
        </is>
      </c>
      <c r="O260" s="15" t="inlineStr"/>
      <c r="P260" s="15" t="inlineStr"/>
      <c r="Q260" s="18" t="inlineStr">
        <is>
          <t>Chưa test</t>
        </is>
      </c>
      <c r="R260" s="15" t="inlineStr"/>
    </row>
    <row r="261" ht="45" customHeight="1">
      <c r="A261" s="14" t="inlineStr">
        <is>
          <t>TC-ADM2-260</t>
        </is>
      </c>
      <c r="B261" s="15" t="inlineStr">
        <is>
          <t>Admin Console (đợt 2: Nội dung, Thanh toán, Khám phá)</t>
        </is>
      </c>
      <c r="C261" s="15" t="inlineStr">
        <is>
          <t>Khám phá · Danh mục</t>
        </is>
      </c>
      <c r="D261" s="15" t="inlineStr">
        <is>
          <t>Chuyển lên/xuống đổi 'Thứ tự' và thứ tự ở /api/categories</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'Công nghệ' (thứ 3) &gt; 'Chuyển lên'
2. Menu dòng đó &gt; 'Chuyển xuống' hai lần
3. GET /api/categories</t>
        </is>
      </c>
      <c r="K261" s="15" t="inlineStr">
        <is>
          <t>tech</t>
        </is>
      </c>
      <c r="L261" s="15" t="inlineStr">
        <is>
          <t>Toast 'Đã cập nhật thứ tự' mỗi lần; cột 'Thứ tự' cập nhật; /api/categories theo thứ tự mới; dòng đầu 'Chuyển lên' và dòng cuối 'Chuyển xuống' bị vô hiệu; audit category.move/reorder.</t>
        </is>
      </c>
      <c r="M261" s="15" t="inlineStr"/>
      <c r="N261" s="18" t="inlineStr">
        <is>
          <t>Chưa test</t>
        </is>
      </c>
      <c r="O261" s="15" t="inlineStr"/>
      <c r="P261" s="15" t="inlineStr"/>
      <c r="Q261" s="18" t="inlineStr">
        <is>
          <t>Chưa test</t>
        </is>
      </c>
      <c r="R261" s="15" t="inlineStr"/>
    </row>
    <row r="262" ht="180" customHeight="1">
      <c r="A262" s="14" t="inlineStr">
        <is>
          <t>TC-ADM2-261</t>
        </is>
      </c>
      <c r="B262" s="15" t="inlineStr">
        <is>
          <t>Admin Console (đợt 2: Nội dung, Thanh toán, Khám phá)</t>
        </is>
      </c>
      <c r="C262" s="15" t="inlineStr">
        <is>
          <t>Khám phá · Danh mục</t>
        </is>
      </c>
      <c r="D262" s="15" t="inlineStr">
        <is>
          <t>API Danh mục: list, thêm 201/409/400, patch 400/404, reorder 400, move 409/400</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62" s="15" t="inlineStr">
        <is>
          <t>-</t>
        </is>
      </c>
      <c r="L26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62" s="15" t="inlineStr"/>
      <c r="N262" s="18" t="inlineStr">
        <is>
          <t>Chưa test</t>
        </is>
      </c>
      <c r="O262" s="15" t="inlineStr"/>
      <c r="P262" s="15" t="inlineStr"/>
      <c r="Q262" s="18" t="inlineStr">
        <is>
          <t>Chưa test</t>
        </is>
      </c>
      <c r="R262" s="15" t="inlineStr"/>
    </row>
    <row r="263" ht="30" customHeight="1">
      <c r="A263" s="14" t="inlineStr">
        <is>
          <t>TC-ADM2-262</t>
        </is>
      </c>
      <c r="B263" s="15" t="inlineStr">
        <is>
          <t>Admin Console (đợt 2: Nội dung, Thanh toán, Khám phá)</t>
        </is>
      </c>
      <c r="C263" s="15" t="inlineStr">
        <is>
          <t>Khám phá · Nổi bật</t>
        </is>
      </c>
      <c r="D263" s="15" t="inlineStr">
        <is>
          <t>Trang Nổi bật: 4 thẻ mục xếp 2×2 với nhãn tiếng Việt và dữ liệu seed</t>
        </is>
      </c>
      <c r="E263" s="15" t="inlineStr">
        <is>
          <t>Giao diện</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Mở /admin/discovery/featured</t>
        </is>
      </c>
      <c r="K263" s="15" t="inlineStr">
        <is>
          <t>-</t>
        </is>
      </c>
      <c r="L26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63" s="15" t="inlineStr"/>
      <c r="N263" s="18" t="inlineStr">
        <is>
          <t>Chưa test</t>
        </is>
      </c>
      <c r="O263" s="15" t="inlineStr"/>
      <c r="P263" s="15" t="inlineStr"/>
      <c r="Q263" s="18" t="inlineStr">
        <is>
          <t>Chưa test</t>
        </is>
      </c>
      <c r="R263" s="15" t="inlineStr"/>
    </row>
    <row r="264" ht="30" customHeight="1">
      <c r="A264" s="14" t="inlineStr">
        <is>
          <t>TC-ADM2-263</t>
        </is>
      </c>
      <c r="B264" s="15" t="inlineStr">
        <is>
          <t>Admin Console (đợt 2: Nội dung, Thanh toán, Khám phá)</t>
        </is>
      </c>
      <c r="C264" s="15" t="inlineStr">
        <is>
          <t>Khám phá · Nổi bật</t>
        </is>
      </c>
      <c r="D264" s="15" t="inlineStr">
        <is>
          <t>Mục hết hạn hiển thị 'Ngoài thời hạn' (Fit Forever trong 'Mới &amp; Đáng chú ý')</t>
        </is>
      </c>
      <c r="E264" s="15" t="inlineStr">
        <is>
          <t>Giao diện</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Quan sát dòng Fit Forever ở thẻ 'Mới &amp; Đáng chú ý'</t>
        </is>
      </c>
      <c r="K264" s="15" t="inlineStr">
        <is>
          <t>Fit Forever</t>
        </is>
      </c>
      <c r="L264" s="15" t="inlineStr">
        <is>
          <t>Dòng meta 'Sức khỏe · 66 thành viên · Ngoài thời hạn'; ô ngày Kết thúc = ngày đã qua 3 ngày trước; mục này KHÔNG xuất hiện ở /api/courses/featured?section=new_noteworthy (chỉ có 'des').</t>
        </is>
      </c>
      <c r="M264" s="15" t="inlineStr"/>
      <c r="N264" s="18" t="inlineStr">
        <is>
          <t>Chưa test</t>
        </is>
      </c>
      <c r="O264" s="15" t="inlineStr"/>
      <c r="P264" s="15" t="inlineStr"/>
      <c r="Q264" s="18" t="inlineStr">
        <is>
          <t>Chưa test</t>
        </is>
      </c>
      <c r="R264" s="15" t="inlineStr"/>
    </row>
    <row r="265" ht="45" customHeight="1">
      <c r="A265" s="14" t="inlineStr">
        <is>
          <t>TC-ADM2-264</t>
        </is>
      </c>
      <c r="B265" s="15" t="inlineStr">
        <is>
          <t>Admin Console (đợt 2: Nội dung, Thanh toán, Khám phá)</t>
        </is>
      </c>
      <c r="C265" s="15" t="inlineStr">
        <is>
          <t>Khám phá · Nổi bật</t>
        </is>
      </c>
      <c r="D265" s="15" t="inlineStr">
        <is>
          <t>Sắp xếp lại bằng mũi tên: hạng đổi, toast, thứ tự công khai đổi theo</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Ở thẻ 'Cộng đồng nổi bật' bấm 'Chuyển xuống' ở mục #1
2. Quan sát toast và thứ tự
3. GET /api/courses/featured?section=featured</t>
        </is>
      </c>
      <c r="K265" s="15" t="inlineStr">
        <is>
          <t>featured</t>
        </is>
      </c>
      <c r="L26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65" s="15" t="inlineStr"/>
      <c r="N265" s="18" t="inlineStr">
        <is>
          <t>Chưa test</t>
        </is>
      </c>
      <c r="O265" s="15" t="inlineStr"/>
      <c r="P265" s="15" t="inlineStr"/>
      <c r="Q265" s="18" t="inlineStr">
        <is>
          <t>Chưa test</t>
        </is>
      </c>
      <c r="R265" s="15" t="inlineStr"/>
    </row>
    <row r="266" ht="30" customHeight="1">
      <c r="A266" s="14" t="inlineStr">
        <is>
          <t>TC-ADM2-265</t>
        </is>
      </c>
      <c r="B266" s="15" t="inlineStr">
        <is>
          <t>Admin Console (đợt 2: Nội dung, Thanh toán, Khám phá)</t>
        </is>
      </c>
      <c r="C266" s="15" t="inlineStr">
        <is>
          <t>Khám phá · Nổi bật</t>
        </is>
      </c>
      <c r="D266" s="15" t="inlineStr">
        <is>
          <t>Gỡ khỏi mục: nút X, toast, cộng đồng biến mất khỏi API công khai</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6" s="15" t="inlineStr">
        <is>
          <t>1. Ở thẻ 'Đang thịnh hành' bấm nút 'Gỡ khỏi danh sách' ở Code Camp
2. GET /api/courses/featured?section=trending</t>
        </is>
      </c>
      <c r="K266" s="15" t="inlineStr">
        <is>
          <t>code-camp</t>
        </is>
      </c>
      <c r="L266" s="15" t="inlineStr">
        <is>
          <t>Toast 'Đã gỡ khỏi Đang thịnh hành'; chỉ còn AI Video Mastery; thứ hạng các mục sau tự dồn lại (position liên tục từ 1); audit discovery.unfeature.</t>
        </is>
      </c>
      <c r="M266" s="15" t="inlineStr"/>
      <c r="N266" s="18" t="inlineStr">
        <is>
          <t>Chưa test</t>
        </is>
      </c>
      <c r="O266" s="15" t="inlineStr"/>
      <c r="P266" s="15" t="inlineStr"/>
      <c r="Q266" s="18" t="inlineStr">
        <is>
          <t>Chưa test</t>
        </is>
      </c>
      <c r="R266" s="15" t="inlineStr"/>
    </row>
    <row r="267" ht="45" customHeight="1">
      <c r="A267" s="14" t="inlineStr">
        <is>
          <t>TC-ADM2-266</t>
        </is>
      </c>
      <c r="B267" s="15" t="inlineStr">
        <is>
          <t>Admin Console (đợt 2: Nội dung, Thanh toán, Khám phá)</t>
        </is>
      </c>
      <c r="C267" s="15" t="inlineStr">
        <is>
          <t>Khám phá · Nổi bật</t>
        </is>
      </c>
      <c r="D267" s="15" t="inlineStr">
        <is>
          <t>Thêm cộng đồng vào mục bằng 'Tìm &amp; thêm cộng đồng' (menu ứng viên)</t>
        </is>
      </c>
      <c r="E267" s="15" t="inlineStr">
        <is>
          <t>Chức năng</t>
        </is>
      </c>
      <c r="F267" s="16" t="inlineStr">
        <is>
          <t>Cao</t>
        </is>
      </c>
      <c r="G267" s="17" t="inlineStr">
        <is>
          <t>Đã hoàn thiện</t>
        </is>
      </c>
      <c r="H267" s="17" t="inlineStr">
        <is>
          <t>Có</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7" s="15" t="inlineStr">
        <is>
          <t>1. Ở thẻ 'Biên tập viên chọn' bấm 'Tìm &amp; thêm cộng đồng'
2. Xem tiêu đề menu và danh sách
3. Chọn 'Marketing thực chiến'</t>
        </is>
      </c>
      <c r="K267" s="15" t="inlineStr">
        <is>
          <t>mkt</t>
        </is>
      </c>
      <c r="L26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67" s="15" t="inlineStr"/>
      <c r="N267" s="18" t="inlineStr">
        <is>
          <t>Chưa test</t>
        </is>
      </c>
      <c r="O267" s="15" t="inlineStr"/>
      <c r="P267" s="15" t="inlineStr"/>
      <c r="Q267" s="18" t="inlineStr">
        <is>
          <t>Chưa test</t>
        </is>
      </c>
      <c r="R267" s="15" t="inlineStr"/>
    </row>
    <row r="268" ht="30" customHeight="1">
      <c r="A268" s="14" t="inlineStr">
        <is>
          <t>TC-ADM2-267</t>
        </is>
      </c>
      <c r="B268" s="15" t="inlineStr">
        <is>
          <t>Admin Console (đợt 2: Nội dung, Thanh toán, Khám phá)</t>
        </is>
      </c>
      <c r="C268" s="15" t="inlineStr">
        <is>
          <t>Khám phá · Nổi bật</t>
        </is>
      </c>
      <c r="D268" s="15" t="inlineStr">
        <is>
          <t>Thêm khi không còn cộng đồng đủ điều kiện: toast lỗi</t>
        </is>
      </c>
      <c r="E268" s="15" t="inlineStr">
        <is>
          <t>Chức năng</t>
        </is>
      </c>
      <c r="F268" s="17" t="inlineStr">
        <is>
          <t>Thấp</t>
        </is>
      </c>
      <c r="G268" s="17" t="inlineStr">
        <is>
          <t>Đã hoàn thiện</t>
        </is>
      </c>
      <c r="H268" s="16" t="inlineStr">
        <is>
          <t>Không</t>
        </is>
      </c>
      <c r="I2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68" s="15" t="inlineStr">
        <is>
          <t>1. Thêm lần lượt mọi ứng viên vào một mục
2. Bấm 'Tìm &amp; thêm cộng đồng' lần nữa</t>
        </is>
      </c>
      <c r="K268" s="15" t="inlineStr">
        <is>
          <t>-</t>
        </is>
      </c>
      <c r="L268" s="15" t="inlineStr">
        <is>
          <t>Toast lỗi 'Không còn cộng đồng nào đủ điều kiện để thêm.'; không mở menu.</t>
        </is>
      </c>
      <c r="M268" s="15" t="inlineStr"/>
      <c r="N268" s="18" t="inlineStr">
        <is>
          <t>Chưa test</t>
        </is>
      </c>
      <c r="O268" s="15" t="inlineStr"/>
      <c r="P268" s="15" t="inlineStr"/>
      <c r="Q268" s="18" t="inlineStr">
        <is>
          <t>Chưa test</t>
        </is>
      </c>
      <c r="R268" s="15" t="inlineStr"/>
    </row>
    <row r="269" ht="45" customHeight="1">
      <c r="A269" s="14" t="inlineStr">
        <is>
          <t>TC-ADM2-268</t>
        </is>
      </c>
      <c r="B269" s="15" t="inlineStr">
        <is>
          <t>Admin Console (đợt 2: Nội dung, Thanh toán, Khám phá)</t>
        </is>
      </c>
      <c r="C269" s="15" t="inlineStr">
        <is>
          <t>Khám phá · Nổi bật</t>
        </is>
      </c>
      <c r="D269" s="15" t="inlineStr">
        <is>
          <t>Đổi ngày bắt đầu/kết thúc: lưu ngay khi chọn, ô kết thúc không cho chọn trước ngày bắt đầu</t>
        </is>
      </c>
      <c r="E269" s="15" t="inlineStr">
        <is>
          <t>Chức năng</t>
        </is>
      </c>
      <c r="F269" s="16" t="inlineStr">
        <is>
          <t>Cao</t>
        </is>
      </c>
      <c r="G269" s="17" t="inlineStr">
        <is>
          <t>Đã hoàn thiện</t>
        </is>
      </c>
      <c r="H269" s="17" t="inlineStr">
        <is>
          <t>Có</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9" s="15" t="inlineStr">
        <is>
          <t>1. Ở thẻ 'Cộng đồng nổi bật' đổi 'Kết thúc Growth Lab' sang 5 ngày sau
2. Thử chọn ngày kết thúc trước ngày bắt đầu
3. Xóa trắng ô ngày kết thúc</t>
        </is>
      </c>
      <c r="K269" s="15" t="inlineStr">
        <is>
          <t>growth-lab</t>
        </is>
      </c>
      <c r="L26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69" s="15" t="inlineStr"/>
      <c r="N269" s="18" t="inlineStr">
        <is>
          <t>Chưa test</t>
        </is>
      </c>
      <c r="O269" s="15" t="inlineStr"/>
      <c r="P269" s="15" t="inlineStr"/>
      <c r="Q269" s="18" t="inlineStr">
        <is>
          <t>Chưa test</t>
        </is>
      </c>
      <c r="R269" s="15" t="inlineStr"/>
    </row>
    <row r="270" ht="30" customHeight="1">
      <c r="A270" s="14" t="inlineStr">
        <is>
          <t>TC-ADM2-269</t>
        </is>
      </c>
      <c r="B270" s="15" t="inlineStr">
        <is>
          <t>Admin Console (đợt 2: Nội dung, Thanh toán, Khám phá)</t>
        </is>
      </c>
      <c r="C270" s="15" t="inlineStr">
        <is>
          <t>Khám phá · Nổi bật</t>
        </is>
      </c>
      <c r="D270" s="15" t="inlineStr">
        <is>
          <t>Mục có thời hạn tương lai (bắt đầu sau hôm nay) chưa hiện ở API công khai</t>
        </is>
      </c>
      <c r="E270" s="15" t="inlineStr">
        <is>
          <t>Chức năng</t>
        </is>
      </c>
      <c r="F270" s="20" t="inlineStr">
        <is>
          <t>Trung bình</t>
        </is>
      </c>
      <c r="G270" s="17" t="inlineStr">
        <is>
          <t>Đã hoàn thiện</t>
        </is>
      </c>
      <c r="H270" s="17" t="inlineStr">
        <is>
          <t>Có</t>
        </is>
      </c>
      <c r="I2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70" s="15" t="inlineStr">
        <is>
          <t>1. Ở thẻ 'Đang thịnh hành' đặt 'Bắt đầu AI Video Mastery' = 7 ngày sau
2. GET /api/courses/featured?section=trending</t>
        </is>
      </c>
      <c r="K270" s="15" t="inlineStr">
        <is>
          <t>ai</t>
        </is>
      </c>
      <c r="L270" s="15" t="inlineStr">
        <is>
          <t>Dòng hiển thị 'Ngoài thời hạn' (chưa tới ngày); API công khai không còn ai trong trending (chỉ code-camp); tới ngày bắt đầu thì xuất hiện lại.</t>
        </is>
      </c>
      <c r="M270" s="15" t="inlineStr"/>
      <c r="N270" s="18" t="inlineStr">
        <is>
          <t>Chưa test</t>
        </is>
      </c>
      <c r="O270" s="15" t="inlineStr"/>
      <c r="P270" s="15" t="inlineStr"/>
      <c r="Q270" s="18" t="inlineStr">
        <is>
          <t>Chưa test</t>
        </is>
      </c>
      <c r="R270" s="15" t="inlineStr"/>
    </row>
    <row r="271" ht="30" customHeight="1">
      <c r="A271" s="14" t="inlineStr">
        <is>
          <t>TC-ADM2-270</t>
        </is>
      </c>
      <c r="B271" s="15" t="inlineStr">
        <is>
          <t>Admin Console (đợt 2: Nội dung, Thanh toán, Khám phá)</t>
        </is>
      </c>
      <c r="C271" s="15" t="inlineStr">
        <is>
          <t>Khám phá · Nổi bật</t>
        </is>
      </c>
      <c r="D271" s="15" t="inlineStr">
        <is>
          <t>Thẻ rỗng hiện 'Chưa có cộng đồng nào trong mục này.'</t>
        </is>
      </c>
      <c r="E271" s="15" t="inlineStr">
        <is>
          <t>Giao diện</t>
        </is>
      </c>
      <c r="F271" s="17" t="inlineStr">
        <is>
          <t>Thấp</t>
        </is>
      </c>
      <c r="G271" s="17" t="inlineStr">
        <is>
          <t>Đã hoàn thiện</t>
        </is>
      </c>
      <c r="H271" s="17" t="inlineStr">
        <is>
          <t>Có</t>
        </is>
      </c>
      <c r="I2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71" s="15" t="inlineStr">
        <is>
          <t>1. Gỡ hết mục của 'Đang thịnh hành'</t>
        </is>
      </c>
      <c r="K271" s="15" t="inlineStr">
        <is>
          <t>trending</t>
        </is>
      </c>
      <c r="L271" s="15" t="inlineStr">
        <is>
          <t>Thẻ hiện 'Chưa có cộng đồng nào trong mục này.' và vẫn còn nút 'Tìm &amp; thêm cộng đồng'; /api/courses/featured?section=trending trả data=[].</t>
        </is>
      </c>
      <c r="M271" s="15" t="inlineStr"/>
      <c r="N271" s="18" t="inlineStr">
        <is>
          <t>Chưa test</t>
        </is>
      </c>
      <c r="O271" s="15" t="inlineStr"/>
      <c r="P271" s="15" t="inlineStr"/>
      <c r="Q271" s="18" t="inlineStr">
        <is>
          <t>Chưa test</t>
        </is>
      </c>
      <c r="R271" s="15" t="inlineStr"/>
    </row>
    <row r="272" ht="210" customHeight="1">
      <c r="A272" s="14" t="inlineStr">
        <is>
          <t>TC-ADM2-271</t>
        </is>
      </c>
      <c r="B272" s="15" t="inlineStr">
        <is>
          <t>Admin Console (đợt 2: Nội dung, Thanh toán, Khám phá)</t>
        </is>
      </c>
      <c r="C272" s="15" t="inlineStr">
        <is>
          <t>Khám phá · Nổi bật</t>
        </is>
      </c>
      <c r="D272" s="15" t="inlineStr">
        <is>
          <t>API Nổi bật: GET luôn đủ 4 section; thêm 201/409/400/404; patch/xóa/reorder</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7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72" s="15" t="inlineStr">
        <is>
          <t>mkt</t>
        </is>
      </c>
      <c r="L27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72" s="15" t="inlineStr"/>
      <c r="N272" s="18" t="inlineStr">
        <is>
          <t>Chưa test</t>
        </is>
      </c>
      <c r="O272" s="15" t="inlineStr"/>
      <c r="P272" s="15" t="inlineStr"/>
      <c r="Q272" s="18" t="inlineStr">
        <is>
          <t>Chưa test</t>
        </is>
      </c>
      <c r="R272" s="15" t="inlineStr"/>
    </row>
    <row r="273" ht="75" customHeight="1">
      <c r="A273" s="14" t="inlineStr">
        <is>
          <t>TC-ADM2-272</t>
        </is>
      </c>
      <c r="B273" s="15" t="inlineStr">
        <is>
          <t>Admin Console (đợt 2: Nội dung, Thanh toán, Khám phá)</t>
        </is>
      </c>
      <c r="C273" s="15" t="inlineStr">
        <is>
          <t>Khám phá · Nổi bật</t>
        </is>
      </c>
      <c r="D273" s="15" t="inlineStr">
        <is>
          <t>GET /api/courses/featured (công khai): section mặc định 'featured', limit, thứ tự theo position, 400 section lạ</t>
        </is>
      </c>
      <c r="E273" s="15" t="inlineStr">
        <is>
          <t>Chức năng</t>
        </is>
      </c>
      <c r="F273" s="16" t="inlineStr">
        <is>
          <t>Cao</t>
        </is>
      </c>
      <c r="G273" s="17" t="inlineStr">
        <is>
          <t>Đã hoàn thiện</t>
        </is>
      </c>
      <c r="H273" s="17" t="inlineStr">
        <is>
          <t>Có</t>
        </is>
      </c>
      <c r="I273" s="15" t="inlineStr">
        <is>
          <t>DB sạch sau npm run db:reset (có seed/admin-batch2.ts; mã POST-/CMT-/TXN-/SUB-/RF-/PO- cố định, xem sheet 'Tài khoản &amp; dữ liệu test' mục A3). Không cần đăng nhập (kiểm tra cả khi có token).</t>
        </is>
      </c>
      <c r="J273" s="15" t="inlineStr">
        <is>
          <t>1. GET /api/courses/featured
2. GET /api/courses/featured?section=trending&amp;limit=1
3. GET /api/courses/featured?section=editors_picks
4. GET /api/courses/featured?section=new_noteworthy
5. GET /api/courses/featured?section=bogus</t>
        </is>
      </c>
      <c r="K273" s="15" t="inlineStr">
        <is>
          <t>-</t>
        </is>
      </c>
      <c r="L27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73" s="15" t="inlineStr"/>
      <c r="N273" s="18" t="inlineStr">
        <is>
          <t>Chưa test</t>
        </is>
      </c>
      <c r="O273" s="15" t="inlineStr"/>
      <c r="P273" s="15" t="inlineStr"/>
      <c r="Q273" s="18" t="inlineStr">
        <is>
          <t>Chưa test</t>
        </is>
      </c>
      <c r="R273" s="15" t="inlineStr"/>
    </row>
    <row r="274" ht="30" customHeight="1">
      <c r="A274" s="14" t="inlineStr">
        <is>
          <t>TC-ADM2-273</t>
        </is>
      </c>
      <c r="B274" s="15" t="inlineStr">
        <is>
          <t>Admin Console (đợt 2: Nội dung, Thanh toán, Khám phá)</t>
        </is>
      </c>
      <c r="C274" s="15" t="inlineStr">
        <is>
          <t>Khám phá · Xếp hạng</t>
        </is>
      </c>
      <c r="D274" s="15" t="inlineStr">
        <is>
          <t>Trang Xếp hạng: 6 yếu tố, tổng trọng số, thời điểm cập nhật và bảng xem trước</t>
        </is>
      </c>
      <c r="E274" s="15" t="inlineStr">
        <is>
          <t>Giao diện</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74" s="15" t="inlineStr">
        <is>
          <t>1. Mở /admin/discovery/rankings</t>
        </is>
      </c>
      <c r="K274" s="15" t="inlineStr">
        <is>
          <t>-</t>
        </is>
      </c>
      <c r="L27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74" s="15" t="inlineStr"/>
      <c r="N274" s="18" t="inlineStr">
        <is>
          <t>Chưa test</t>
        </is>
      </c>
      <c r="O274" s="15" t="inlineStr"/>
      <c r="P274" s="15" t="inlineStr"/>
      <c r="Q274" s="18" t="inlineStr">
        <is>
          <t>Chưa test</t>
        </is>
      </c>
      <c r="R274" s="15" t="inlineStr"/>
    </row>
    <row r="275" ht="60" customHeight="1">
      <c r="A275" s="14" t="inlineStr">
        <is>
          <t>TC-ADM2-274</t>
        </is>
      </c>
      <c r="B275" s="15" t="inlineStr">
        <is>
          <t>Admin Console (đợt 2: Nội dung, Thanh toán, Khám phá)</t>
        </is>
      </c>
      <c r="C275" s="15" t="inlineStr">
        <is>
          <t>Khám phá · Xếp hạng</t>
        </is>
      </c>
      <c r="D275" s="15" t="inlineStr">
        <is>
          <t>Nút −/+ đổi trọng số theo bước 5, chặn ở 0 và 60</t>
        </is>
      </c>
      <c r="E275" s="15" t="inlineStr">
        <is>
          <t>Chức năng</t>
        </is>
      </c>
      <c r="F275" s="16" t="inlineStr">
        <is>
          <t>Cao</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75" s="15" t="inlineStr">
        <is>
          <t>1. Bấm '+' ở 'Đánh giá' 3 lần
2. Bấm '−' ở 'Trừ điểm báo cáo' 2 lần
3. Bấm '−' ở 'Doanh thu' đến 0
4. Bấm '+' ở 'Đánh giá' đến khi dừng</t>
        </is>
      </c>
      <c r="K275" s="15" t="inlineStr">
        <is>
          <t>-</t>
        </is>
      </c>
      <c r="L27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75" s="15" t="inlineStr"/>
      <c r="N275" s="18" t="inlineStr">
        <is>
          <t>Chưa test</t>
        </is>
      </c>
      <c r="O275" s="15" t="inlineStr"/>
      <c r="P275" s="15" t="inlineStr"/>
      <c r="Q275" s="18" t="inlineStr">
        <is>
          <t>Chưa test</t>
        </is>
      </c>
      <c r="R275" s="15" t="inlineStr"/>
    </row>
    <row r="276" ht="30" customHeight="1">
      <c r="A276" s="14" t="inlineStr">
        <is>
          <t>TC-ADM2-275</t>
        </is>
      </c>
      <c r="B276" s="15" t="inlineStr">
        <is>
          <t>Admin Console (đợt 2: Nội dung, Thanh toán, Khám phá)</t>
        </is>
      </c>
      <c r="C276" s="15" t="inlineStr">
        <is>
          <t>Khám phá · Xếp hạng</t>
        </is>
      </c>
      <c r="D276" s="15" t="inlineStr">
        <is>
          <t>Xem trước trực tiếp khi chỉnh trọng số (không lưu) và hiển thị 'Đang tính…'</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76" s="15" t="inlineStr">
        <is>
          <t>1. Chỉnh nhiều lần, quan sát phụ đề bảng
2. F5 trang</t>
        </is>
      </c>
      <c r="K276" s="15" t="inlineStr">
        <is>
          <t>-</t>
        </is>
      </c>
      <c r="L27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76" s="15" t="inlineStr"/>
      <c r="N276" s="18" t="inlineStr">
        <is>
          <t>Chưa test</t>
        </is>
      </c>
      <c r="O276" s="15" t="inlineStr"/>
      <c r="P276" s="15" t="inlineStr"/>
      <c r="Q276" s="18" t="inlineStr">
        <is>
          <t>Chưa test</t>
        </is>
      </c>
      <c r="R276" s="15" t="inlineStr"/>
    </row>
    <row r="277" ht="30" customHeight="1">
      <c r="A277" s="14" t="inlineStr">
        <is>
          <t>TC-ADM2-276</t>
        </is>
      </c>
      <c r="B277" s="15" t="inlineStr">
        <is>
          <t>Admin Console (đợt 2: Nội dung, Thanh toán, Khám phá)</t>
        </is>
      </c>
      <c r="C277" s="15" t="inlineStr">
        <is>
          <t>Khám phá · Xếp hạng</t>
        </is>
      </c>
      <c r="D277" s="15" t="inlineStr">
        <is>
          <t>Chỉ chấm điểm theo Đánh giá: cộng đồng đánh giá cao xếp trước, điểm = rating% × trọng số</t>
        </is>
      </c>
      <c r="E277" s="15" t="inlineStr">
        <is>
          <t>Chức năng</t>
        </is>
      </c>
      <c r="F277" s="16" t="inlineStr">
        <is>
          <t>Cao</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77" s="15" t="inlineStr">
        <is>
          <t>1. Đặt trọng số: Tăng trưởng 0, Tương tác 0, Giữ chân 0, Đánh giá 60, Doanh thu 0, Trừ điểm báo cáo 0 (dùng −/+)
2. Quan sát bảng xem trước</t>
        </is>
      </c>
      <c r="K277" s="15" t="inlineStr">
        <is>
          <t>rating 60 / còn lại 0</t>
        </is>
      </c>
      <c r="L27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77" s="15" t="inlineStr"/>
      <c r="N277" s="18" t="inlineStr">
        <is>
          <t>Chưa test</t>
        </is>
      </c>
      <c r="O277" s="15" t="inlineStr"/>
      <c r="P277" s="15" t="inlineStr"/>
      <c r="Q277" s="18" t="inlineStr">
        <is>
          <t>Chưa test</t>
        </is>
      </c>
      <c r="R277" s="15" t="inlineStr"/>
    </row>
    <row r="278" ht="30" customHeight="1">
      <c r="A278" s="14" t="inlineStr">
        <is>
          <t>TC-ADM2-277</t>
        </is>
      </c>
      <c r="B278" s="15" t="inlineStr">
        <is>
          <t>Admin Console (đợt 2: Nội dung, Thanh toán, Khám phá)</t>
        </is>
      </c>
      <c r="C278" s="15" t="inlineStr">
        <is>
          <t>Khám phá · Xếp hạng</t>
        </is>
      </c>
      <c r="D278" s="15" t="inlineStr">
        <is>
          <t>Trừ điểm báo cáo: cộng đồng có báo cáo 30 ngày (yt) bị trừ điểm</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78" s="15" t="inlineStr">
        <is>
          <t>1. Tăng 'Trừ điểm báo cáo' lên 40
2. Tìm 'yt' (Kiếm tiền với YouTube) trong bảng xem trước, so hạng với trước khi chỉnh</t>
        </is>
      </c>
      <c r="K278" s="15" t="inlineStr">
        <is>
          <t>yt</t>
        </is>
      </c>
      <c r="L278" s="15" t="inlineStr">
        <is>
          <t>yt có tín hiệu reportPenalty=20 (2 báo cáo/30 ngày × 10): điểm giảm = 20 × (40−5)/100 = 7.0 và hạng của yt tụt xuống rõ rệt; cộng đồng không có báo cáo giữ nguyên điểm phần này.</t>
        </is>
      </c>
      <c r="M278" s="15" t="inlineStr"/>
      <c r="N278" s="18" t="inlineStr">
        <is>
          <t>Chưa test</t>
        </is>
      </c>
      <c r="O278" s="15" t="inlineStr"/>
      <c r="P278" s="15" t="inlineStr"/>
      <c r="Q278" s="18" t="inlineStr">
        <is>
          <t>Chưa test</t>
        </is>
      </c>
      <c r="R278" s="15" t="inlineStr"/>
    </row>
    <row r="279" ht="60" customHeight="1">
      <c r="A279" s="14" t="inlineStr">
        <is>
          <t>TC-ADM2-278</t>
        </is>
      </c>
      <c r="B279" s="15" t="inlineStr">
        <is>
          <t>Admin Console (đợt 2: Nội dung, Thanh toán, Khám phá)</t>
        </is>
      </c>
      <c r="C279" s="15" t="inlineStr">
        <is>
          <t>Khám phá · Xếp hạng</t>
        </is>
      </c>
      <c r="D279" s="15" t="inlineStr">
        <is>
          <t>Áp dụng xếp hạng: modal, toast, trọng số lưu, người cập nhật, thứ tự công khai sort=ranked</t>
        </is>
      </c>
      <c r="E279" s="15" t="inlineStr">
        <is>
          <t>Chức năng</t>
        </is>
      </c>
      <c r="F279" s="16" t="inlineStr">
        <is>
          <t>Cao</t>
        </is>
      </c>
      <c r="G279" s="17" t="inlineStr">
        <is>
          <t>Đã hoàn thiện</t>
        </is>
      </c>
      <c r="H279" s="17" t="inlineStr">
        <is>
          <t>Có</t>
        </is>
      </c>
      <c r="I2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79" s="15" t="inlineStr">
        <is>
          <t>1. Chỉnh trọng số (Đánh giá 60, các mục khác 0 theo thứ tự cho phép)
2. Bấm 'Áp dụng xếp hạng' &gt; ghi chú 'QA' &gt; xác nhận
3. F5
4. GET /api/courses?sort=ranked&amp;limit=10</t>
        </is>
      </c>
      <c r="K279" s="15" t="inlineStr">
        <is>
          <t>rating 60</t>
        </is>
      </c>
      <c r="L27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79" s="15" t="inlineStr"/>
      <c r="N279" s="18" t="inlineStr">
        <is>
          <t>Chưa test</t>
        </is>
      </c>
      <c r="O279" s="15" t="inlineStr"/>
      <c r="P279" s="15" t="inlineStr"/>
      <c r="Q279" s="18" t="inlineStr">
        <is>
          <t>Chưa test</t>
        </is>
      </c>
      <c r="R279" s="15" t="inlineStr"/>
    </row>
    <row r="280" ht="30" customHeight="1">
      <c r="A280" s="14" t="inlineStr">
        <is>
          <t>TC-ADM2-279</t>
        </is>
      </c>
      <c r="B280" s="15" t="inlineStr">
        <is>
          <t>Admin Console (đợt 2: Nội dung, Thanh toán, Khám phá)</t>
        </is>
      </c>
      <c r="C280" s="15" t="inlineStr">
        <is>
          <t>Khám phá · Xếp hạng</t>
        </is>
      </c>
      <c r="D280" s="15" t="inlineStr">
        <is>
          <t>Đặt lại trọng số về mặc định 25/25/20/15/10/5 và áp dụng ngay</t>
        </is>
      </c>
      <c r="E280" s="15" t="inlineStr">
        <is>
          <t>Chức năng</t>
        </is>
      </c>
      <c r="F280" s="16" t="inlineStr">
        <is>
          <t>Cao</t>
        </is>
      </c>
      <c r="G280" s="17" t="inlineStr">
        <is>
          <t>Đã hoàn thiện</t>
        </is>
      </c>
      <c r="H280" s="17" t="inlineStr">
        <is>
          <t>Có</t>
        </is>
      </c>
      <c r="I2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80" s="15" t="inlineStr">
        <is>
          <t>1. Sau khi đã áp dụng trọng số khác, bấm 'Đặt lại trọng số' &gt; xác nhận</t>
        </is>
      </c>
      <c r="K280" s="15" t="inlineStr">
        <is>
          <t>-</t>
        </is>
      </c>
      <c r="L28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80" s="15" t="inlineStr"/>
      <c r="N280" s="18" t="inlineStr">
        <is>
          <t>Chưa test</t>
        </is>
      </c>
      <c r="O280" s="15" t="inlineStr"/>
      <c r="P280" s="15" t="inlineStr"/>
      <c r="Q280" s="18" t="inlineStr">
        <is>
          <t>Chưa test</t>
        </is>
      </c>
      <c r="R280" s="15" t="inlineStr"/>
    </row>
    <row r="281" ht="30" customHeight="1">
      <c r="A281" s="14" t="inlineStr">
        <is>
          <t>TC-ADM2-280</t>
        </is>
      </c>
      <c r="B281" s="15" t="inlineStr">
        <is>
          <t>Admin Console (đợt 2: Nội dung, Thanh toán, Khám phá)</t>
        </is>
      </c>
      <c r="C281" s="15" t="inlineStr">
        <is>
          <t>Khám phá · Xếp hạng</t>
        </is>
      </c>
      <c r="D281" s="15" t="inlineStr">
        <is>
          <t>Bảng xem trước giới hạn 50 dòng và ghi chú 'Hiển thị 50 / N'</t>
        </is>
      </c>
      <c r="E281" s="15" t="inlineStr">
        <is>
          <t>Giao diện</t>
        </is>
      </c>
      <c r="F281" s="17" t="inlineStr">
        <is>
          <t>Thấp</t>
        </is>
      </c>
      <c r="G281" s="17" t="inlineStr">
        <is>
          <t>Đã hoàn thiện</t>
        </is>
      </c>
      <c r="H281" s="16" t="inlineStr">
        <is>
          <t>Không</t>
        </is>
      </c>
      <c r="I2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81" s="15" t="inlineStr">
        <is>
          <t>1. Mở /admin/discovery/rankings với &gt; 50 cộng đồng</t>
        </is>
      </c>
      <c r="K281" s="15" t="inlineStr">
        <is>
          <t>-</t>
        </is>
      </c>
      <c r="L281" s="15" t="inlineStr">
        <is>
          <t>Bảng chỉ hiện 50 dòng đầu và chân bảng 'Hiển thị 50 / &lt;N&gt; cộng đồng'.</t>
        </is>
      </c>
      <c r="M281" s="15" t="inlineStr"/>
      <c r="N281" s="18" t="inlineStr">
        <is>
          <t>Chưa test</t>
        </is>
      </c>
      <c r="O281" s="15" t="inlineStr"/>
      <c r="P281" s="15" t="inlineStr"/>
      <c r="Q281" s="18" t="inlineStr">
        <is>
          <t>Chưa test</t>
        </is>
      </c>
      <c r="R281" s="15" t="inlineStr"/>
    </row>
    <row r="282" ht="75" customHeight="1">
      <c r="A282" s="14" t="inlineStr">
        <is>
          <t>TC-ADM2-281</t>
        </is>
      </c>
      <c r="B282" s="15" t="inlineStr">
        <is>
          <t>Admin Console (đợt 2: Nội dung, Thanh toán, Khám phá)</t>
        </is>
      </c>
      <c r="C282" s="15" t="inlineStr">
        <is>
          <t>Khám phá · Xếp hạng</t>
        </is>
      </c>
      <c r="D282" s="15" t="inlineStr">
        <is>
          <t>API Xếp hạng: GET, preview không lưu, validate trọng số 0–100 và đủ 6 khóa</t>
        </is>
      </c>
      <c r="E282" s="15" t="inlineStr">
        <is>
          <t>Chức năng</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8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82" s="15" t="inlineStr">
        <is>
          <t>rating 100</t>
        </is>
      </c>
      <c r="L28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82" s="15" t="inlineStr"/>
      <c r="N282" s="18" t="inlineStr">
        <is>
          <t>Chưa test</t>
        </is>
      </c>
      <c r="O282" s="15" t="inlineStr"/>
      <c r="P282" s="15" t="inlineStr"/>
      <c r="Q282" s="18" t="inlineStr">
        <is>
          <t>Chưa test</t>
        </is>
      </c>
      <c r="R282" s="15" t="inlineStr"/>
    </row>
    <row r="283" ht="75" customHeight="1">
      <c r="A283" s="14" t="inlineStr">
        <is>
          <t>TC-ADM2-282</t>
        </is>
      </c>
      <c r="B283" s="15" t="inlineStr">
        <is>
          <t>Admin Console (đợt 2: Nội dung, Thanh toán, Khám phá)</t>
        </is>
      </c>
      <c r="C283" s="15" t="inlineStr">
        <is>
          <t>Khám phá · Xếp hạng</t>
        </is>
      </c>
      <c r="D283" s="15" t="inlineStr">
        <is>
          <t>API publish/reset: PUT lưu + sort=ranked công khai dùng ngay; reset về mặc định; audit</t>
        </is>
      </c>
      <c r="E283" s="15" t="inlineStr">
        <is>
          <t>Chức năng</t>
        </is>
      </c>
      <c r="F283" s="16" t="inlineStr">
        <is>
          <t>Cao</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8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83" s="15" t="inlineStr">
        <is>
          <t>rating 100</t>
        </is>
      </c>
      <c r="L28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83" s="15" t="inlineStr"/>
      <c r="N283" s="18" t="inlineStr">
        <is>
          <t>Chưa test</t>
        </is>
      </c>
      <c r="O283" s="15" t="inlineStr"/>
      <c r="P283" s="15" t="inlineStr"/>
      <c r="Q283" s="18" t="inlineStr">
        <is>
          <t>Chưa test</t>
        </is>
      </c>
      <c r="R283" s="15" t="inlineStr"/>
    </row>
    <row r="284" ht="30" customHeight="1">
      <c r="A284" s="14" t="inlineStr">
        <is>
          <t>TC-ADM2-283</t>
        </is>
      </c>
      <c r="B284" s="15" t="inlineStr">
        <is>
          <t>Admin Console (đợt 2: Nội dung, Thanh toán, Khám phá)</t>
        </is>
      </c>
      <c r="C284" s="15" t="inlineStr">
        <is>
          <t>Khám phá · Xếp hạng</t>
        </is>
      </c>
      <c r="D284" s="15" t="inlineStr">
        <is>
          <t>Công thức tín hiệu: growth/engagement/retention/rating/revenue/reportPenalty chuẩn hóa 0–100</t>
        </is>
      </c>
      <c r="E284" s="15" t="inlineStr">
        <is>
          <t>Chức năng</t>
        </is>
      </c>
      <c r="F284" s="20" t="inlineStr">
        <is>
          <t>Trung bình</t>
        </is>
      </c>
      <c r="G284" s="17" t="inlineStr">
        <is>
          <t>Đã hoàn thiện</t>
        </is>
      </c>
      <c r="H284" s="20" t="inlineStr">
        <is>
          <t>Một phần</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84" s="15" t="inlineStr">
        <is>
          <t>1. GET /discovery/rankings, lấy signals của growth-lab và ai
2. Đối chiếu SQL: số thành viên mới 30 ngày, % hoạt động 30 ngày, % thành viên ≥14 ngày còn hoạt động, MRR (Subscription active) / $450, số Report 30 ngày × 10</t>
        </is>
      </c>
      <c r="K284" s="15" t="inlineStr">
        <is>
          <t>growth-lab, ai</t>
        </is>
      </c>
      <c r="L28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84" s="15" t="inlineStr"/>
      <c r="N284" s="18" t="inlineStr">
        <is>
          <t>Chưa test</t>
        </is>
      </c>
      <c r="O284" s="15" t="inlineStr"/>
      <c r="P284" s="15" t="inlineStr"/>
      <c r="Q284" s="18" t="inlineStr">
        <is>
          <t>Chưa test</t>
        </is>
      </c>
      <c r="R284" s="15" t="inlineStr"/>
    </row>
    <row r="285" ht="30" customHeight="1">
      <c r="A285" s="14" t="inlineStr">
        <is>
          <t>TC-ADM2-284</t>
        </is>
      </c>
      <c r="B285" s="15" t="inlineStr">
        <is>
          <t>Admin Console (đợt 2: Nội dung, Thanh toán, Khám phá)</t>
        </is>
      </c>
      <c r="C285" s="15" t="inlineStr">
        <is>
          <t>Khám phá · Hiển thị tìm kiếm</t>
        </is>
      </c>
      <c r="D285" s="15" t="inlineStr">
        <is>
          <t>Trang Hiển thị tìm kiếm: 4 KPI và 4 tab có đếm</t>
        </is>
      </c>
      <c r="E285" s="15" t="inlineStr">
        <is>
          <t>Giao diện</t>
        </is>
      </c>
      <c r="F285" s="16" t="inlineStr">
        <is>
          <t>Cao</t>
        </is>
      </c>
      <c r="G285" s="17" t="inlineStr">
        <is>
          <t>Đã hoàn thiện</t>
        </is>
      </c>
      <c r="H285" s="17" t="inlineStr">
        <is>
          <t>Có</t>
        </is>
      </c>
      <c r="I2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85" s="15" t="inlineStr">
        <is>
          <t>1. Mở /admin/discovery/seo</t>
        </is>
      </c>
      <c r="K285" s="15" t="inlineStr">
        <is>
          <t>-</t>
        </is>
      </c>
      <c r="L28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85" s="15" t="inlineStr"/>
      <c r="N285" s="18" t="inlineStr">
        <is>
          <t>Chưa test</t>
        </is>
      </c>
      <c r="O285" s="15" t="inlineStr"/>
      <c r="P285" s="15" t="inlineStr"/>
      <c r="Q285" s="18" t="inlineStr">
        <is>
          <t>Chưa test</t>
        </is>
      </c>
      <c r="R285" s="15" t="inlineStr"/>
    </row>
    <row r="286" ht="30" customHeight="1">
      <c r="A286" s="14" t="inlineStr">
        <is>
          <t>TC-ADM2-285</t>
        </is>
      </c>
      <c r="B286" s="15" t="inlineStr">
        <is>
          <t>Admin Console (đợt 2: Nội dung, Thanh toán, Khám phá)</t>
        </is>
      </c>
      <c r="C286" s="15" t="inlineStr">
        <is>
          <t>Khám phá · Hiển thị tìm kiếm</t>
        </is>
      </c>
      <c r="D286" s="15" t="inlineStr">
        <is>
          <t>Bảng Hiển thị tìm kiếm: cột, điểm chất lượng và số vi phạm</t>
        </is>
      </c>
      <c r="E286" s="15" t="inlineStr">
        <is>
          <t>Giao diện</t>
        </is>
      </c>
      <c r="F286" s="20" t="inlineStr">
        <is>
          <t>Trung bình</t>
        </is>
      </c>
      <c r="G286" s="17" t="inlineStr">
        <is>
          <t>Đã hoàn thiện</t>
        </is>
      </c>
      <c r="H286" s="17" t="inlineStr">
        <is>
          <t>Có</t>
        </is>
      </c>
      <c r="I2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86" s="15" t="inlineStr">
        <is>
          <t>1. Gõ 'spam-hub'
2. Gõ 'photo'</t>
        </is>
      </c>
      <c r="K286" s="15" t="inlineStr">
        <is>
          <t>spam-hub | photo</t>
        </is>
      </c>
      <c r="L28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86" s="15" t="inlineStr"/>
      <c r="N286" s="18" t="inlineStr">
        <is>
          <t>Chưa test</t>
        </is>
      </c>
      <c r="O286" s="15" t="inlineStr"/>
      <c r="P286" s="15" t="inlineStr"/>
      <c r="Q286" s="18" t="inlineStr">
        <is>
          <t>Chưa test</t>
        </is>
      </c>
      <c r="R286" s="15" t="inlineStr"/>
    </row>
    <row r="287" ht="30" customHeight="1">
      <c r="A287" s="14" t="inlineStr">
        <is>
          <t>TC-ADM2-286</t>
        </is>
      </c>
      <c r="B287" s="15" t="inlineStr">
        <is>
          <t>Admin Console (đợt 2: Nội dung, Thanh toán, Khám phá)</t>
        </is>
      </c>
      <c r="C287" s="15" t="inlineStr">
        <is>
          <t>Khám phá · Hiển thị tìm kiếm</t>
        </is>
      </c>
      <c r="D287" s="15" t="inlineStr">
        <is>
          <t>Công thức điểm chất lượng: 40×rating/5 + 25×tương tác + 15 (mô tả ≥80 ký tự) + 10 (có ảnh bìa) + 10 (có bài 30 ngày) − 8×vi phạm</t>
        </is>
      </c>
      <c r="E287" s="15" t="inlineStr">
        <is>
          <t>Chức năng</t>
        </is>
      </c>
      <c r="F287" s="20" t="inlineStr">
        <is>
          <t>Trung bình</t>
        </is>
      </c>
      <c r="G287" s="17" t="inlineStr">
        <is>
          <t>Đã hoàn thiện</t>
        </is>
      </c>
      <c r="H287" s="20" t="inlineStr">
        <is>
          <t>Một phần</t>
        </is>
      </c>
      <c r="I2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87" s="15" t="inlineStr">
        <is>
          <t>1. Tìm growth-lab, paid-demo, spam-hub và đối chiếu thành phần với DB (rating, % hoạt động, độ dài mô tả, thumbnail, số bài 30 ngày, báo cáo đã xử lý)</t>
        </is>
      </c>
      <c r="K287" s="15" t="inlineStr">
        <is>
          <t>growth-lab, spam-hub</t>
        </is>
      </c>
      <c r="L287" s="15" t="inlineStr">
        <is>
          <t>growth-lab = 0 + 25 (tương tác 100%) + 15 + 10 + 10 = 60; spam-hub (mô tả 'Kiếm tiền nhanh.', thumbnail rỗng) = 25 + 0 + 0 + 10 = 35; paid-demo/private-demo = 45; điểm bị cắt trong 0–100.</t>
        </is>
      </c>
      <c r="M287" s="15" t="inlineStr"/>
      <c r="N287" s="18" t="inlineStr">
        <is>
          <t>Chưa test</t>
        </is>
      </c>
      <c r="O287" s="15" t="inlineStr"/>
      <c r="P287" s="15" t="inlineStr"/>
      <c r="Q287" s="18" t="inlineStr">
        <is>
          <t>Chưa test</t>
        </is>
      </c>
      <c r="R287" s="15" t="inlineStr"/>
    </row>
    <row r="288" ht="45" customHeight="1">
      <c r="A288" s="14" t="inlineStr">
        <is>
          <t>TC-ADM2-287</t>
        </is>
      </c>
      <c r="B288" s="15" t="inlineStr">
        <is>
          <t>Admin Console (đợt 2: Nội dung, Thanh toán, Khám phá)</t>
        </is>
      </c>
      <c r="C288" s="15" t="inlineStr">
        <is>
          <t>Khám phá · Hiển thị tìm kiếm</t>
        </is>
      </c>
      <c r="D288" s="15" t="inlineStr">
        <is>
          <t>Tab và tìm kiếm: lọc 'Giảm hiển thị', 'Đã ẩn' và tìm theo tên/id</t>
        </is>
      </c>
      <c r="E288" s="15" t="inlineStr">
        <is>
          <t>Chức năng</t>
        </is>
      </c>
      <c r="F288" s="20" t="inlineStr">
        <is>
          <t>Trung bình</t>
        </is>
      </c>
      <c r="G288" s="17" t="inlineStr">
        <is>
          <t>Đã hoàn thiện</t>
        </is>
      </c>
      <c r="H288" s="17" t="inlineStr">
        <is>
          <t>Có</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88" s="15" t="inlineStr">
        <is>
          <t>1. Bấm tab 'Giảm hiển thị'
2. Bấm tab 'Đã ẩn'
3. Tab 'Tất cả' gõ 'biz'</t>
        </is>
      </c>
      <c r="K288" s="15" t="inlineStr">
        <is>
          <t>biz</t>
        </is>
      </c>
      <c r="L288" s="15" t="inlineStr">
        <is>
          <t>Giảm hiển thị: biz; Đã ẩn: spam-hub; tìm 'biz' ra dòng id biz (cả tên chứa 'biz' nếu có).</t>
        </is>
      </c>
      <c r="M288" s="15" t="inlineStr"/>
      <c r="N288" s="18" t="inlineStr">
        <is>
          <t>Chưa test</t>
        </is>
      </c>
      <c r="O288" s="15" t="inlineStr"/>
      <c r="P288" s="15" t="inlineStr"/>
      <c r="Q288" s="18" t="inlineStr">
        <is>
          <t>Chưa test</t>
        </is>
      </c>
      <c r="R288" s="15" t="inlineStr"/>
    </row>
    <row r="289" ht="30" customHeight="1">
      <c r="A289" s="14" t="inlineStr">
        <is>
          <t>TC-ADM2-288</t>
        </is>
      </c>
      <c r="B289" s="15" t="inlineStr">
        <is>
          <t>Admin Console (đợt 2: Nội dung, Thanh toán, Khám phá)</t>
        </is>
      </c>
      <c r="C289" s="15" t="inlineStr">
        <is>
          <t>Khám phá · Hiển thị tìm kiếm</t>
        </is>
      </c>
      <c r="D289" s="15" t="inlineStr">
        <is>
          <t>Sắp xếp: nhãn 'Điểm chất lượng thấp nhất' đang trả điểm CAO nhất trước</t>
        </is>
      </c>
      <c r="E289" s="15" t="inlineStr">
        <is>
          <t>Chức năng</t>
        </is>
      </c>
      <c r="F289" s="20" t="inlineStr">
        <is>
          <t>Trung bình</t>
        </is>
      </c>
      <c r="G289" s="20" t="inlineStr">
        <is>
          <t>Kế hoạch</t>
        </is>
      </c>
      <c r="H289" s="17" t="inlineStr">
        <is>
          <t>Có</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89" s="15" t="inlineStr">
        <is>
          <t>1. Chọn 'Sắp xếp' = 'Điểm chất lượng thấp nhất'
2. So thứ tự với 'Tên A–Z' và 'Nhiều vi phạm nhất'</t>
        </is>
      </c>
      <c r="K289" s="15" t="inlineStr">
        <is>
          <t>sort=quality</t>
        </is>
      </c>
      <c r="L28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89" s="15" t="inlineStr"/>
      <c r="N289" s="18" t="inlineStr">
        <is>
          <t>Chưa test</t>
        </is>
      </c>
      <c r="O289" s="15" t="inlineStr"/>
      <c r="P289" s="15" t="inlineStr"/>
      <c r="Q289" s="18" t="inlineStr">
        <is>
          <t>Chưa test</t>
        </is>
      </c>
      <c r="R289" s="15" t="inlineStr"/>
    </row>
    <row r="290" ht="45" customHeight="1">
      <c r="A290" s="14" t="inlineStr">
        <is>
          <t>TC-ADM2-289</t>
        </is>
      </c>
      <c r="B290" s="15" t="inlineStr">
        <is>
          <t>Admin Console (đợt 2: Nội dung, Thanh toán, Khám phá)</t>
        </is>
      </c>
      <c r="C290" s="15" t="inlineStr">
        <is>
          <t>Khám phá · Hiển thị tìm kiếm</t>
        </is>
      </c>
      <c r="D290" s="15" t="inlineStr">
        <is>
          <t>Menu thao tác theo trạng thái tìm kiếm (Cho phép/Giảm hiển thị/Ẩn/Xem chi tiết)</t>
        </is>
      </c>
      <c r="E290" s="15" t="inlineStr">
        <is>
          <t>Chức năng</t>
        </is>
      </c>
      <c r="F290" s="16" t="inlineStr">
        <is>
          <t>Cao</t>
        </is>
      </c>
      <c r="G290" s="17" t="inlineStr">
        <is>
          <t>Đã hoàn thiện</t>
        </is>
      </c>
      <c r="H290" s="17" t="inlineStr">
        <is>
          <t>Có</t>
        </is>
      </c>
      <c r="I2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90" s="15" t="inlineStr">
        <is>
          <t>1. Menu 'Growth Lab' (searchable)
2. Menu 'biz' (reduced)
3. Menu 'Spam Hub' (hidden)</t>
        </is>
      </c>
      <c r="K290" s="15" t="inlineStr">
        <is>
          <t>-</t>
        </is>
      </c>
      <c r="L29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90" s="15" t="inlineStr"/>
      <c r="N290" s="18" t="inlineStr">
        <is>
          <t>Chưa test</t>
        </is>
      </c>
      <c r="O290" s="15" t="inlineStr"/>
      <c r="P290" s="15" t="inlineStr"/>
      <c r="Q290" s="18" t="inlineStr">
        <is>
          <t>Chưa test</t>
        </is>
      </c>
      <c r="R290" s="15" t="inlineStr"/>
    </row>
    <row r="291" ht="60" customHeight="1">
      <c r="A291" s="14" t="inlineStr">
        <is>
          <t>TC-ADM2-290</t>
        </is>
      </c>
      <c r="B291" s="15" t="inlineStr">
        <is>
          <t>Admin Console (đợt 2: Nội dung, Thanh toán, Khám phá)</t>
        </is>
      </c>
      <c r="C291" s="15" t="inlineStr">
        <is>
          <t>Khám phá · Hiển thị tìm kiếm</t>
        </is>
      </c>
      <c r="D291" s="15" t="inlineStr">
        <is>
          <t>Ẩn khỏi tìm kiếm: lý do tùy chọn, toast, cộng đồng biến mất khỏi /search và /courses?q=</t>
        </is>
      </c>
      <c r="E291" s="15" t="inlineStr">
        <is>
          <t>Chức năng</t>
        </is>
      </c>
      <c r="F291" s="16" t="inlineStr">
        <is>
          <t>Cao</t>
        </is>
      </c>
      <c r="G291" s="17" t="inlineStr">
        <is>
          <t>Đã hoàn thiện</t>
        </is>
      </c>
      <c r="H291" s="17" t="inlineStr">
        <is>
          <t>Có</t>
        </is>
      </c>
      <c r="I2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91" s="15" t="inlineStr">
        <is>
          <t>1. Menu 'Growth Lab' &gt; 'Ẩn khỏi tìm kiếm' &gt; lý do 'Spam' &gt; xác nhận
2. GET /api/search?q=Growth&amp;type=courses (token member)
3. GET /api/courses?q=Growth
4. GET /api/courses?limit=50</t>
        </is>
      </c>
      <c r="K291" s="15" t="inlineStr">
        <is>
          <t>growth-lab</t>
        </is>
      </c>
      <c r="L29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91" s="15" t="inlineStr"/>
      <c r="N291" s="18" t="inlineStr">
        <is>
          <t>Chưa test</t>
        </is>
      </c>
      <c r="O291" s="15" t="inlineStr"/>
      <c r="P291" s="15" t="inlineStr"/>
      <c r="Q291" s="18" t="inlineStr">
        <is>
          <t>Chưa test</t>
        </is>
      </c>
      <c r="R291" s="15" t="inlineStr"/>
    </row>
    <row r="292" ht="45" customHeight="1">
      <c r="A292" s="14" t="inlineStr">
        <is>
          <t>TC-ADM2-291</t>
        </is>
      </c>
      <c r="B292" s="15" t="inlineStr">
        <is>
          <t>Admin Console (đợt 2: Nội dung, Thanh toán, Khám phá)</t>
        </is>
      </c>
      <c r="C292" s="15" t="inlineStr">
        <is>
          <t>Khám phá · Hiển thị tìm kiếm</t>
        </is>
      </c>
      <c r="D292" s="15" t="inlineStr">
        <is>
          <t>Giảm hiển thị: cộng đồng xếp SAU kết quả bình thường trong /search và /courses?q=</t>
        </is>
      </c>
      <c r="E292" s="15" t="inlineStr">
        <is>
          <t>Chức năng</t>
        </is>
      </c>
      <c r="F292" s="16" t="inlineStr">
        <is>
          <t>Cao</t>
        </is>
      </c>
      <c r="G292" s="17" t="inlineStr">
        <is>
          <t>Đã hoàn thiện</t>
        </is>
      </c>
      <c r="H292" s="17" t="inlineStr">
        <is>
          <t>Có</t>
        </is>
      </c>
      <c r="I2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92" s="15" t="inlineStr">
        <is>
          <t>1. Menu 'Pixel Pro' &gt; 'Giảm hiển thị' &gt; xác nhận
2. GET /api/search?q=Pro&amp;type=courses (và q chung khớp nhiều cộng đồng, ví dụ q=a)
3. GET /api/courses?q=a</t>
        </is>
      </c>
      <c r="K292" s="15" t="inlineStr">
        <is>
          <t>pixel-pro</t>
        </is>
      </c>
      <c r="L292" s="15" t="inlineStr">
        <is>
          <t>Toast 'Đã giảm hiển thị'; trong mọi kết quả chứa pixel-pro, nó đứng SAU tất cả cộng đồng 'searchable' (kể cả khi theo mặc định đứng trước); biz (đã reduced từ seed) cũng ở cuối nhóm.</t>
        </is>
      </c>
      <c r="M292" s="15" t="inlineStr"/>
      <c r="N292" s="18" t="inlineStr">
        <is>
          <t>Chưa test</t>
        </is>
      </c>
      <c r="O292" s="15" t="inlineStr"/>
      <c r="P292" s="15" t="inlineStr"/>
      <c r="Q292" s="18" t="inlineStr">
        <is>
          <t>Chưa test</t>
        </is>
      </c>
      <c r="R292" s="15" t="inlineStr"/>
    </row>
    <row r="293" ht="45" customHeight="1">
      <c r="A293" s="14" t="inlineStr">
        <is>
          <t>TC-ADM2-292</t>
        </is>
      </c>
      <c r="B293" s="15" t="inlineStr">
        <is>
          <t>Admin Console (đợt 2: Nội dung, Thanh toán, Khám phá)</t>
        </is>
      </c>
      <c r="C293" s="15" t="inlineStr">
        <is>
          <t>Khám phá · Hiển thị tìm kiếm</t>
        </is>
      </c>
      <c r="D293" s="15" t="inlineStr">
        <is>
          <t>Cho phép tìm kiếm lại: spam-hub, nhưng muốn hiện ở /courses cần Hiển thị lại ở Khám phá</t>
        </is>
      </c>
      <c r="E293" s="15" t="inlineStr">
        <is>
          <t>Chức năng</t>
        </is>
      </c>
      <c r="F293" s="16" t="inlineStr">
        <is>
          <t>Cao</t>
        </is>
      </c>
      <c r="G293" s="17" t="inlineStr">
        <is>
          <t>Đã hoàn thiện</t>
        </is>
      </c>
      <c r="H293" s="17" t="inlineStr">
        <is>
          <t>Có</t>
        </is>
      </c>
      <c r="I2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93" s="15" t="inlineStr">
        <is>
          <t>1. Menu 'Spam Hub' (searchVisibility hidden) &gt; 'Cho phép tìm kiếm' &gt; xác nhận
2. GET /api/search?q=Spam&amp;type=courses
3. GET /api/courses?q=Spam</t>
        </is>
      </c>
      <c r="K293" s="15" t="inlineStr">
        <is>
          <t>spam-hub</t>
        </is>
      </c>
      <c r="L293" s="15" t="inlineStr">
        <is>
          <t>Toast 'Đã cho phép tìm kiếm'; /search?q=Spam trả spam-hub (search không lọc discoveryStatus, chỉ searchVisibility); /courses?q=Spam KHÔNG trả vì spam-hub vẫn 'unlisted' (cần 'Hiển thị lại' ở Cộng đồng hiển thị).</t>
        </is>
      </c>
      <c r="M293" s="15" t="inlineStr"/>
      <c r="N293" s="18" t="inlineStr">
        <is>
          <t>Chưa test</t>
        </is>
      </c>
      <c r="O293" s="15" t="inlineStr"/>
      <c r="P293" s="15" t="inlineStr"/>
      <c r="Q293" s="18" t="inlineStr">
        <is>
          <t>Chưa test</t>
        </is>
      </c>
      <c r="R293" s="15" t="inlineStr"/>
    </row>
    <row r="294" ht="30" customHeight="1">
      <c r="A294" s="14" t="inlineStr">
        <is>
          <t>TC-ADM2-293</t>
        </is>
      </c>
      <c r="B294" s="15" t="inlineStr">
        <is>
          <t>Admin Console (đợt 2: Nội dung, Thanh toán, Khám phá)</t>
        </is>
      </c>
      <c r="C294" s="15" t="inlineStr">
        <is>
          <t>Khám phá · Hiển thị tìm kiếm</t>
        </is>
      </c>
      <c r="D294" s="15" t="inlineStr">
        <is>
          <t>Khác biệt /search và /courses?q=: discoveryStatus hidden/unlisted vẫn nằm trong /search nếu searchable</t>
        </is>
      </c>
      <c r="E294" s="15" t="inlineStr">
        <is>
          <t>Chức năng</t>
        </is>
      </c>
      <c r="F294" s="20" t="inlineStr">
        <is>
          <t>Trung bình</t>
        </is>
      </c>
      <c r="G294" s="17" t="inlineStr">
        <is>
          <t>Đã hoàn thiện</t>
        </is>
      </c>
      <c r="H294" s="17" t="inlineStr">
        <is>
          <t>Có</t>
        </is>
      </c>
      <c r="I29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94" s="15" t="inlineStr">
        <is>
          <t>1. GET /api/search?q=Sống&amp;type=courses (token member)
2. GET /api/courses?q=Sống</t>
        </is>
      </c>
      <c r="K294" s="15" t="inlineStr">
        <is>
          <t>Sống</t>
        </is>
      </c>
      <c r="L294" s="15" t="inlineStr">
        <is>
          <t>/search trả eng và fit (fit là unlisted nhưng searchVisibility=searchable); /courses?q chỉ trả eng (loại fit vì không listed). Đúng mục 7 và 8 'Khác biệt' của admin-batch2.md.</t>
        </is>
      </c>
      <c r="M294" s="15" t="inlineStr"/>
      <c r="N294" s="18" t="inlineStr">
        <is>
          <t>Chưa test</t>
        </is>
      </c>
      <c r="O294" s="15" t="inlineStr"/>
      <c r="P294" s="15" t="inlineStr"/>
      <c r="Q294" s="18" t="inlineStr">
        <is>
          <t>Chưa test</t>
        </is>
      </c>
      <c r="R294" s="15" t="inlineStr"/>
    </row>
    <row r="295" ht="135" customHeight="1">
      <c r="A295" s="14" t="inlineStr">
        <is>
          <t>TC-ADM2-294</t>
        </is>
      </c>
      <c r="B295" s="15" t="inlineStr">
        <is>
          <t>Admin Console (đợt 2: Nội dung, Thanh toán, Khám phá)</t>
        </is>
      </c>
      <c r="C295" s="15" t="inlineStr">
        <is>
          <t>Khám phá · Hiển thị tìm kiếm</t>
        </is>
      </c>
      <c r="D295" s="15" t="inlineStr">
        <is>
          <t>API Hiển thị tìm kiếm: list/summary lọc searchStatus/discoveryStatus, sort, 400, set 409</t>
        </is>
      </c>
      <c r="E295" s="15" t="inlineStr">
        <is>
          <t>Chức năng</t>
        </is>
      </c>
      <c r="F295" s="16" t="inlineStr">
        <is>
          <t>Cao</t>
        </is>
      </c>
      <c r="G295" s="17" t="inlineStr">
        <is>
          <t>Đã hoàn thiện</t>
        </is>
      </c>
      <c r="H295" s="17" t="inlineStr">
        <is>
          <t>Có</t>
        </is>
      </c>
      <c r="I29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9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95" s="15" t="inlineStr">
        <is>
          <t>mkt</t>
        </is>
      </c>
      <c r="L29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95" s="15" t="inlineStr"/>
      <c r="N295" s="18" t="inlineStr">
        <is>
          <t>Chưa test</t>
        </is>
      </c>
      <c r="O295" s="15" t="inlineStr"/>
      <c r="P295" s="15" t="inlineStr"/>
      <c r="Q295" s="18" t="inlineStr">
        <is>
          <t>Chưa test</t>
        </is>
      </c>
      <c r="R295" s="15" t="inlineStr"/>
    </row>
    <row r="296" ht="60" customHeight="1">
      <c r="A296" s="14" t="inlineStr">
        <is>
          <t>TC-ADM2-295</t>
        </is>
      </c>
      <c r="B296" s="15" t="inlineStr">
        <is>
          <t>Admin Console (đợt 2: Nội dung, Thanh toán, Khám phá)</t>
        </is>
      </c>
      <c r="C296" s="15" t="inlineStr">
        <is>
          <t>Tác động lên API / giao diện công khai</t>
        </is>
      </c>
      <c r="D296" s="15" t="inlineStr">
        <is>
          <t>Bài viết bị admin GỠ biến mất với MỌI người (kể cả tác giả và mod); bài bị ẨN vẫn thấy với tác giả/mod</t>
        </is>
      </c>
      <c r="E296" s="15" t="inlineStr">
        <is>
          <t>Chức năng</t>
        </is>
      </c>
      <c r="F296" s="16" t="inlineStr">
        <is>
          <t>Cao</t>
        </is>
      </c>
      <c r="G296" s="17" t="inlineStr">
        <is>
          <t>Đã hoàn thiện</t>
        </is>
      </c>
      <c r="H296" s="17" t="inlineStr">
        <is>
          <t>Có</t>
        </is>
      </c>
      <c r="I2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96" s="15" t="inlineStr">
        <is>
          <t>1. Mỗi tài khoản: GET /api/courses/photo/posts?limit=50 và GET /api/posts/&lt;id&gt;
2. Admin ẨN bài, lặp lại kiểm tra cho từng tài khoản
3. Admin GỠ bài, lặp lại
4. Admin KHÔI PHỤC, lặp lại</t>
        </is>
      </c>
      <c r="K296" s="15" t="inlineStr">
        <is>
          <t>bài của member1 ở photo</t>
        </is>
      </c>
      <c r="L29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96" s="15" t="inlineStr"/>
      <c r="N296" s="18" t="inlineStr">
        <is>
          <t>Chưa test</t>
        </is>
      </c>
      <c r="O296" s="15" t="inlineStr"/>
      <c r="P296" s="15" t="inlineStr"/>
      <c r="Q296" s="18" t="inlineStr">
        <is>
          <t>Chưa test</t>
        </is>
      </c>
      <c r="R296" s="15" t="inlineStr"/>
    </row>
    <row r="297" ht="45" customHeight="1">
      <c r="A297" s="14" t="inlineStr">
        <is>
          <t>TC-ADM2-296</t>
        </is>
      </c>
      <c r="B297" s="15" t="inlineStr">
        <is>
          <t>Admin Console (đợt 2: Nội dung, Thanh toán, Khám phá)</t>
        </is>
      </c>
      <c r="C297" s="15" t="inlineStr">
        <is>
          <t>Tác động lên API / giao diện công khai</t>
        </is>
      </c>
      <c r="D297" s="15" t="inlineStr">
        <is>
          <t>Bình luận bị gỡ không còn ở bài, số bình luận (commentsCount) giảm trên bảng tin</t>
        </is>
      </c>
      <c r="E297" s="15" t="inlineStr">
        <is>
          <t>Chức năng</t>
        </is>
      </c>
      <c r="F297" s="20" t="inlineStr">
        <is>
          <t>Trung bình</t>
        </is>
      </c>
      <c r="G297" s="17" t="inlineStr">
        <is>
          <t>Đã hoàn thiện</t>
        </is>
      </c>
      <c r="H297" s="20" t="inlineStr">
        <is>
          <t>Một phần</t>
        </is>
      </c>
      <c r="I2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97" s="15" t="inlineStr">
        <is>
          <t>1. Admin gỡ CMT-A3B80A38 (growth-lab)
2. daniel@: GET /api/courses/growth-lab/posts và xem commentsCount của POST-2467DDA0
3. Mở trang bảng tin growth-lab trên FE và bài đó</t>
        </is>
      </c>
      <c r="K297" s="15" t="inlineStr">
        <is>
          <t>CMT-A3B80A38</t>
        </is>
      </c>
      <c r="L297" s="15" t="inlineStr">
        <is>
          <t>Bài POST-2467DDA0 giảm 1 bình luận (API và FE), bình luận không còn trong danh sách; khôi phục thì tăng lại 1.</t>
        </is>
      </c>
      <c r="M297" s="15" t="inlineStr"/>
      <c r="N297" s="18" t="inlineStr">
        <is>
          <t>Chưa test</t>
        </is>
      </c>
      <c r="O297" s="15" t="inlineStr"/>
      <c r="P297" s="15" t="inlineStr"/>
      <c r="Q297" s="18" t="inlineStr">
        <is>
          <t>Chưa test</t>
        </is>
      </c>
      <c r="R297" s="15" t="inlineStr"/>
    </row>
    <row r="298" ht="30" customHeight="1">
      <c r="A298" s="14" t="inlineStr">
        <is>
          <t>TC-ADM2-297</t>
        </is>
      </c>
      <c r="B298" s="15" t="inlineStr">
        <is>
          <t>Admin Console (đợt 2: Nội dung, Thanh toán, Khám phá)</t>
        </is>
      </c>
      <c r="C298" s="15" t="inlineStr">
        <is>
          <t>Tác động lên API / giao diện công khai</t>
        </is>
      </c>
      <c r="D298" s="15" t="inlineStr">
        <is>
          <t>/courses (danh sách công khai) chỉ trả cộng đồng discoveryStatus=listed (seed: 29)</t>
        </is>
      </c>
      <c r="E298" s="15" t="inlineStr">
        <is>
          <t>Chức năng</t>
        </is>
      </c>
      <c r="F298" s="16" t="inlineStr">
        <is>
          <t>Cao</t>
        </is>
      </c>
      <c r="G298" s="17" t="inlineStr">
        <is>
          <t>Đã hoàn thiện</t>
        </is>
      </c>
      <c r="H298" s="17" t="inlineStr">
        <is>
          <t>Có</t>
        </is>
      </c>
      <c r="I298" s="15" t="inlineStr">
        <is>
          <t>DB sạch sau npm run db:reset (có seed/admin-batch2.ts; mã POST-/CMT-/TXN-/SUB-/RF-/PO- cố định, xem sheet 'Tài khoản &amp; dữ liệu test' mục A3). Không cần token (hoặc token member bất kỳ).</t>
        </is>
      </c>
      <c r="J298" s="15" t="inlineStr">
        <is>
          <t>1. GET /api/courses?limit=50
2. Đếm meta.total và so với danh sách cộng đồng seed</t>
        </is>
      </c>
      <c r="K298" s="15" t="inlineStr">
        <is>
          <t>-</t>
        </is>
      </c>
      <c r="L29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98" s="15" t="inlineStr"/>
      <c r="N298" s="18" t="inlineStr">
        <is>
          <t>Chưa test</t>
        </is>
      </c>
      <c r="O298" s="15" t="inlineStr"/>
      <c r="P298" s="15" t="inlineStr"/>
      <c r="Q298" s="18" t="inlineStr">
        <is>
          <t>Chưa test</t>
        </is>
      </c>
      <c r="R298" s="15" t="inlineStr"/>
    </row>
    <row r="299" ht="45" customHeight="1">
      <c r="A299" s="14" t="inlineStr">
        <is>
          <t>TC-ADM2-298</t>
        </is>
      </c>
      <c r="B299" s="15" t="inlineStr">
        <is>
          <t>Admin Console (đợt 2: Nội dung, Thanh toán, Khám phá)</t>
        </is>
      </c>
      <c r="C299" s="15" t="inlineStr">
        <is>
          <t>Tác động lên API / giao diện công khai</t>
        </is>
      </c>
      <c r="D299" s="15" t="inlineStr">
        <is>
          <t>Cộng đồng hidden/unlisted vẫn mở bằng link trực tiếp và tham gia được</t>
        </is>
      </c>
      <c r="E299" s="15" t="inlineStr">
        <is>
          <t>Chức năng</t>
        </is>
      </c>
      <c r="F299" s="16" t="inlineStr">
        <is>
          <t>Cao</t>
        </is>
      </c>
      <c r="G299" s="17" t="inlineStr">
        <is>
          <t>Đã hoàn thiện</t>
        </is>
      </c>
      <c r="H299" s="20" t="inlineStr">
        <is>
          <t>Một phần</t>
        </is>
      </c>
      <c r="I2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99" s="15" t="inlineStr">
        <is>
          <t>1. newbie@: GET /api/courses/mkt
2. Mở http://localhost:5173/courses/mkt
3. newbie@: POST /api/courses/mkt/join (nếu miễn phí/cho phép)</t>
        </is>
      </c>
      <c r="K299" s="15" t="inlineStr">
        <is>
          <t>mkt</t>
        </is>
      </c>
      <c r="L299" s="15" t="inlineStr">
        <is>
          <t>GET /courses/mkt = 200; trang giới thiệu hiển thị bình thường; tham gia thực hiện được theo luồng thường (hidden/unlisted chỉ ẩn khỏi danh sách/tìm kiếm).</t>
        </is>
      </c>
      <c r="M299" s="15" t="inlineStr"/>
      <c r="N299" s="18" t="inlineStr">
        <is>
          <t>Chưa test</t>
        </is>
      </c>
      <c r="O299" s="15" t="inlineStr"/>
      <c r="P299" s="15" t="inlineStr"/>
      <c r="Q299" s="18" t="inlineStr">
        <is>
          <t>Chưa test</t>
        </is>
      </c>
      <c r="R299" s="15" t="inlineStr"/>
    </row>
    <row r="300" ht="45" customHeight="1">
      <c r="A300" s="14" t="inlineStr">
        <is>
          <t>TC-ADM2-299</t>
        </is>
      </c>
      <c r="B300" s="15" t="inlineStr">
        <is>
          <t>Admin Console (đợt 2: Nội dung, Thanh toán, Khám phá)</t>
        </is>
      </c>
      <c r="C300" s="15" t="inlineStr">
        <is>
          <t>Tác động lên API / giao diện công khai</t>
        </is>
      </c>
      <c r="D300" s="15" t="inlineStr">
        <is>
          <t>Danh mục: /api/categories chỉ trả danh mục 'active' theo thứ tự admin đặt</t>
        </is>
      </c>
      <c r="E300" s="15" t="inlineStr">
        <is>
          <t>Chức năng</t>
        </is>
      </c>
      <c r="F300" s="16" t="inlineStr">
        <is>
          <t>Cao</t>
        </is>
      </c>
      <c r="G300" s="17" t="inlineStr">
        <is>
          <t>Đã hoàn thiện</t>
        </is>
      </c>
      <c r="H300" s="17" t="inlineStr">
        <is>
          <t>Có</t>
        </is>
      </c>
      <c r="I300" s="15" t="inlineStr">
        <is>
          <t>DB sạch sau npm run db:reset (có seed/admin-batch2.ts; mã POST-/CMT-/TXN-/SUB-/RF-/PO- cố định, xem sheet 'Tài khoản &amp; dữ liệu test' mục A3). Không cần token.</t>
        </is>
      </c>
      <c r="J300" s="15" t="inlineStr">
        <is>
          <t>1. GET /api/categories
2. Admin tắt 'Công nghệ' rồi gọi lại
3. Admin thêm 'marketing' rồi gọi lại</t>
        </is>
      </c>
      <c r="K300" s="15" t="inlineStr">
        <is>
          <t>-</t>
        </is>
      </c>
      <c r="L30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300" s="15" t="inlineStr"/>
      <c r="N300" s="18" t="inlineStr">
        <is>
          <t>Chưa test</t>
        </is>
      </c>
      <c r="O300" s="15" t="inlineStr"/>
      <c r="P300" s="15" t="inlineStr"/>
      <c r="Q300" s="18" t="inlineStr">
        <is>
          <t>Chưa test</t>
        </is>
      </c>
      <c r="R300" s="15" t="inlineStr"/>
    </row>
    <row r="301" ht="75" customHeight="1">
      <c r="A301" s="14" t="inlineStr">
        <is>
          <t>TC-ADM2-300</t>
        </is>
      </c>
      <c r="B301" s="15" t="inlineStr">
        <is>
          <t>Admin Console (đợt 2: Nội dung, Thanh toán, Khám phá)</t>
        </is>
      </c>
      <c r="C301" s="15" t="inlineStr">
        <is>
          <t>Tác động lên API / giao diện công khai</t>
        </is>
      </c>
      <c r="D301" s="15" t="inlineStr">
        <is>
          <t>Trường mới của API công khai: Course.searchVisibility, Event.cancelledAt, trạng thái gói past_due|paused, payout failed|on_hold, danh mục marketing|design</t>
        </is>
      </c>
      <c r="E301" s="15" t="inlineStr">
        <is>
          <t>Chức năng</t>
        </is>
      </c>
      <c r="F301" s="20" t="inlineStr">
        <is>
          <t>Trung bình</t>
        </is>
      </c>
      <c r="G301" s="17" t="inlineStr">
        <is>
          <t>Đã hoàn thiện</t>
        </is>
      </c>
      <c r="H301" s="20" t="inlineStr">
        <is>
          <t>Một phần</t>
        </is>
      </c>
      <c r="I3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30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301" s="15" t="inlineStr">
        <is>
          <t>-</t>
        </is>
      </c>
      <c r="L301" s="15" t="inlineStr">
        <is>
          <t>biz có searchVisibility='reduced'; growth-lab không có trường; /me/subscriptions trả status 'past_due'/'paused' đúng; payout hiển thị 'failed'/'on_hold' cho chủ cộng đồng; category=marketing hợp lệ (không 400).</t>
        </is>
      </c>
      <c r="M301" s="15" t="inlineStr"/>
      <c r="N301" s="18" t="inlineStr">
        <is>
          <t>Chưa test</t>
        </is>
      </c>
      <c r="O301" s="15" t="inlineStr"/>
      <c r="P301" s="15" t="inlineStr"/>
      <c r="Q301" s="18" t="inlineStr">
        <is>
          <t>Chưa test</t>
        </is>
      </c>
      <c r="R301" s="15" t="inlineStr"/>
    </row>
    <row r="302" ht="75" customHeight="1">
      <c r="A302" s="14" t="inlineStr">
        <is>
          <t>TC-ADM2-301</t>
        </is>
      </c>
      <c r="B302" s="15" t="inlineStr">
        <is>
          <t>Admin Console (đợt 2: Nội dung, Thanh toán, Khám phá)</t>
        </is>
      </c>
      <c r="C302" s="15" t="inlineStr">
        <is>
          <t>Tác động lên API / giao diện công khai</t>
        </is>
      </c>
      <c r="D302" s="15" t="inlineStr">
        <is>
          <t>Tạm dừng gói tước quyền truy cập cộng đồng (API công khai 403) và Tiếp tục cấp lại</t>
        </is>
      </c>
      <c r="E302" s="15" t="inlineStr">
        <is>
          <t>Chức năng</t>
        </is>
      </c>
      <c r="F302" s="16" t="inlineStr">
        <is>
          <t>Cao</t>
        </is>
      </c>
      <c r="G302" s="17" t="inlineStr">
        <is>
          <t>Đã hoàn thiện</t>
        </is>
      </c>
      <c r="H302" s="17" t="inlineStr">
        <is>
          <t>Có</t>
        </is>
      </c>
      <c r="I3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302" s="15" t="inlineStr">
        <is>
          <t>1. daniel@: GET /api/courses/growth-lab/posts (200)
2. Admin tạm dừng SUB-5BC76879
3. daniel@ gọi lại
4. Admin tiếp tục
5. daniel@ gọi lại</t>
        </is>
      </c>
      <c r="K302" s="15" t="inlineStr">
        <is>
          <t>SUB-5BC76879</t>
        </is>
      </c>
      <c r="L302" s="15" t="inlineStr">
        <is>
          <t>Sau tạm dừng: 403 (không còn là thành viên, enrollment bị xóa); sau tiếp tục: 200 trở lại (enrollment cấp lại, trừ khi bị cấm khỏi cộng đồng).</t>
        </is>
      </c>
      <c r="M302" s="15" t="inlineStr"/>
      <c r="N302" s="18" t="inlineStr">
        <is>
          <t>Chưa test</t>
        </is>
      </c>
      <c r="O302" s="15" t="inlineStr"/>
      <c r="P302" s="15" t="inlineStr"/>
      <c r="Q302" s="18" t="inlineStr">
        <is>
          <t>Chưa test</t>
        </is>
      </c>
      <c r="R302" s="15" t="inlineStr"/>
    </row>
    <row r="303" ht="45" customHeight="1">
      <c r="A303" s="14" t="inlineStr">
        <is>
          <t>TC-ADM2-302</t>
        </is>
      </c>
      <c r="B303" s="15" t="inlineStr">
        <is>
          <t>Admin Console (đợt 2: Nội dung, Thanh toán, Khám phá)</t>
        </is>
      </c>
      <c r="C303" s="15" t="inlineStr">
        <is>
          <t>Tác động lên API / giao diện công khai</t>
        </is>
      </c>
      <c r="D303" s="15" t="inlineStr">
        <is>
          <t>Sự kiện bị hủy: hiển thị 'đã hủy' trên FE công khai và không RSVP được</t>
        </is>
      </c>
      <c r="E303" s="15" t="inlineStr">
        <is>
          <t>Chức năng</t>
        </is>
      </c>
      <c r="F303" s="20" t="inlineStr">
        <is>
          <t>Trung bình</t>
        </is>
      </c>
      <c r="G303" s="17" t="inlineStr">
        <is>
          <t>Đã hoàn thiện</t>
        </is>
      </c>
      <c r="H303" s="20" t="inlineStr">
        <is>
          <t>Một phần</t>
        </is>
      </c>
      <c r="I30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303" s="15" t="inlineStr">
        <is>
          <t>1. Admin hủy 'Growth AMA with the founders'
2. emma@ mở http://localhost:5173/courses/growth-lab/community/lich
3. Thử bấm tham gia</t>
        </is>
      </c>
      <c r="K303" s="15" t="inlineStr">
        <is>
          <t>Growth AMA</t>
        </is>
      </c>
      <c r="L303" s="15" t="inlineStr">
        <is>
          <t>Lịch hiển thị sự kiện kèm trạng thái đã hủy; bấm tham gia báo lỗi (API 409); người đã RSVP trước đó thấy thông báo hủy.</t>
        </is>
      </c>
      <c r="M303" s="15" t="inlineStr"/>
      <c r="N303" s="18" t="inlineStr">
        <is>
          <t>Chưa test</t>
        </is>
      </c>
      <c r="O303" s="15" t="inlineStr"/>
      <c r="P303" s="15" t="inlineStr"/>
      <c r="Q303" s="18" t="inlineStr">
        <is>
          <t>Chưa test</t>
        </is>
      </c>
      <c r="R303" s="15" t="inlineStr"/>
    </row>
    <row r="304" ht="30" customHeight="1">
      <c r="A304" s="14" t="inlineStr">
        <is>
          <t>TC-ADM2-303</t>
        </is>
      </c>
      <c r="B304" s="15" t="inlineStr">
        <is>
          <t>Admin Console (đợt 2: Nội dung, Thanh toán, Khám phá)</t>
        </is>
      </c>
      <c r="C304" s="15" t="inlineStr">
        <is>
          <t>Tác động lên API / giao diện công khai</t>
        </is>
      </c>
      <c r="D304" s="15" t="inlineStr">
        <is>
          <t>Mọi thao tác ghi đợt 2 để lại 1 dòng audit mà không sửa dữ liệu ngoài phạm vi</t>
        </is>
      </c>
      <c r="E304" s="15" t="inlineStr">
        <is>
          <t>Chức năng</t>
        </is>
      </c>
      <c r="F304" s="16" t="inlineStr">
        <is>
          <t>Cao</t>
        </is>
      </c>
      <c r="G304" s="17" t="inlineStr">
        <is>
          <t>Đã hoàn thiện</t>
        </is>
      </c>
      <c r="H304" s="17" t="inlineStr">
        <is>
          <t>Có</t>
        </is>
      </c>
      <c r="I3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30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304" s="15" t="inlineStr">
        <is>
          <t>-</t>
        </is>
      </c>
      <c r="L304" s="15" t="inlineStr">
        <is>
          <t>Mỗi thao tác đúng 1 dòng audit (actor = Platform Admin, targetType/targetId/targetLabel/reason đúng); thao tác thất bại (400/404/409) KHÔNG để lại dòng audit.</t>
        </is>
      </c>
      <c r="M304" s="15" t="inlineStr"/>
      <c r="N304" s="18" t="inlineStr">
        <is>
          <t>Chưa test</t>
        </is>
      </c>
      <c r="O304" s="15" t="inlineStr"/>
      <c r="P304" s="15" t="inlineStr"/>
      <c r="Q304" s="18" t="inlineStr">
        <is>
          <t>Chưa test</t>
        </is>
      </c>
      <c r="R304" s="15" t="inlineStr"/>
    </row>
    <row r="305" ht="45" customHeight="1">
      <c r="A305" s="14" t="inlineStr">
        <is>
          <t>TC-ADM2-304</t>
        </is>
      </c>
      <c r="B305" s="15" t="inlineStr">
        <is>
          <t>Admin Console (đợt 2: Nội dung, Thanh toán, Khám phá)</t>
        </is>
      </c>
      <c r="C305" s="15" t="inlineStr">
        <is>
          <t>Nhật ký audit &amp; thông báo đợt 2</t>
        </is>
      </c>
      <c r="D305" s="15" t="inlineStr">
        <is>
          <t>Nhật ký audit seed đợt 2 hiện trong /admin/system/audit</t>
        </is>
      </c>
      <c r="E305" s="15" t="inlineStr">
        <is>
          <t>Chức năng</t>
        </is>
      </c>
      <c r="F305" s="20" t="inlineStr">
        <is>
          <t>Trung bình</t>
        </is>
      </c>
      <c r="G305" s="17" t="inlineStr">
        <is>
          <t>Đã hoàn thiện</t>
        </is>
      </c>
      <c r="H305" s="17" t="inlineStr">
        <is>
          <t>Có</t>
        </is>
      </c>
      <c r="I30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305" s="15" t="inlineStr">
        <is>
          <t>1. Mở /admin/system/audit
2. Gõ 'Spam' vào ô 'Tìm trong nhật ký...'
3. Lọc 'Loại hành động' = 'Thanh toán'</t>
        </is>
      </c>
      <c r="K305" s="15" t="inlineStr">
        <is>
          <t>Spam</t>
        </is>
      </c>
      <c r="L30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305" s="15" t="inlineStr"/>
      <c r="N305" s="18" t="inlineStr">
        <is>
          <t>Chưa test</t>
        </is>
      </c>
      <c r="O305" s="15" t="inlineStr"/>
      <c r="P305" s="15" t="inlineStr"/>
      <c r="Q305" s="18" t="inlineStr">
        <is>
          <t>Chưa test</t>
        </is>
      </c>
      <c r="R305" s="15" t="inlineStr"/>
    </row>
    <row r="306" ht="30" customHeight="1">
      <c r="A306" s="14" t="inlineStr">
        <is>
          <t>TC-ADM2-305</t>
        </is>
      </c>
      <c r="B306" s="15" t="inlineStr">
        <is>
          <t>Admin Console (đợt 2: Nội dung, Thanh toán, Khám phá)</t>
        </is>
      </c>
      <c r="C306" s="15" t="inlineStr">
        <is>
          <t>Nhật ký audit &amp; thông báo đợt 2</t>
        </is>
      </c>
      <c r="D306" s="15" t="inlineStr">
        <is>
          <t>Nhật ký hoạt động hiển thị nhãn thô cho hành động/đối tượng đợt 2 (chưa Việt hóa)</t>
        </is>
      </c>
      <c r="E306" s="15" t="inlineStr">
        <is>
          <t>Giao diện</t>
        </is>
      </c>
      <c r="F306" s="17" t="inlineStr">
        <is>
          <t>Thấp</t>
        </is>
      </c>
      <c r="G306" s="20" t="inlineStr">
        <is>
          <t>Kế hoạch</t>
        </is>
      </c>
      <c r="H306" s="17" t="inlineStr">
        <is>
          <t>Có</t>
        </is>
      </c>
      <c r="I3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306" s="15" t="inlineStr">
        <is>
          <t>1. Mở /admin/system/audit, đọc cột 'Hành động' và 'Đối tượng' của dòng post.hide, payout.hold, discovery.status</t>
        </is>
      </c>
      <c r="K306" s="15" t="inlineStr">
        <is>
          <t>post.hide</t>
        </is>
      </c>
      <c r="L306" s="15" t="inlineStr">
        <is>
          <t>KỲ VỌNG SAU KHI LÀM: nhãn tiếng Việt (vd 'Ẩn bài viết', 'Tạm giữ chi trả'), nhóm lọc cho Nội dung/Khám phá/Chi trả. HIỆN TẠI: cột Hành động hiện đúng chuỗi mã (post.hide, payout.hold, discovery.status...), cột Đối tượng hiện '&lt;nhãn&gt; (&lt;targetType thô&gt;)' vì bảng AUDIT_ACTION/TARGET của FE chỉ có nhãn cho nhóm đợt 1.</t>
        </is>
      </c>
      <c r="M306" s="15" t="inlineStr"/>
      <c r="N306" s="18" t="inlineStr">
        <is>
          <t>Chưa test</t>
        </is>
      </c>
      <c r="O306" s="15" t="inlineStr"/>
      <c r="P306" s="15" t="inlineStr"/>
      <c r="Q306" s="18" t="inlineStr">
        <is>
          <t>Chưa test</t>
        </is>
      </c>
      <c r="R306" s="15" t="inlineStr"/>
    </row>
    <row r="307" ht="75" customHeight="1">
      <c r="A307" s="14" t="inlineStr">
        <is>
          <t>TC-ADM2-306</t>
        </is>
      </c>
      <c r="B307" s="15" t="inlineStr">
        <is>
          <t>Admin Console (đợt 2: Nội dung, Thanh toán, Khám phá)</t>
        </is>
      </c>
      <c r="C307" s="15" t="inlineStr">
        <is>
          <t>Nhật ký audit &amp; thông báo đợt 2</t>
        </is>
      </c>
      <c r="D307" s="15" t="inlineStr">
        <is>
          <t>API audit-logs lọc theo targetType/targetId/action/q cho đối tượng đợt 2</t>
        </is>
      </c>
      <c r="E307" s="15" t="inlineStr">
        <is>
          <t>Chức năng</t>
        </is>
      </c>
      <c r="F307" s="16" t="inlineStr">
        <is>
          <t>Cao</t>
        </is>
      </c>
      <c r="G307" s="17" t="inlineStr">
        <is>
          <t>Đã hoàn thiện</t>
        </is>
      </c>
      <c r="H307" s="17" t="inlineStr">
        <is>
          <t>Có</t>
        </is>
      </c>
      <c r="I3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307" s="15" t="inlineStr">
        <is>
          <t>1. GET /admin/audit-logs?targetType=payout&amp;limit=10
2. GET /admin/audit-logs?targetType=post
3. GET /admin/audit-logs?targetId=rankings
4. GET /admin/audit-logs?action=discovery.status
5. GET /admin/audit-logs?q=Spam</t>
        </is>
      </c>
      <c r="K307" s="15" t="inlineStr">
        <is>
          <t>-</t>
        </is>
      </c>
      <c r="L307"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307" s="15" t="inlineStr"/>
      <c r="N307" s="18" t="inlineStr">
        <is>
          <t>Chưa test</t>
        </is>
      </c>
      <c r="O307" s="15" t="inlineStr"/>
      <c r="P307" s="15" t="inlineStr"/>
      <c r="Q307" s="18" t="inlineStr">
        <is>
          <t>Chưa test</t>
        </is>
      </c>
      <c r="R307" s="15" t="inlineStr"/>
    </row>
    <row r="308" ht="45" customHeight="1">
      <c r="A308" s="14" t="inlineStr">
        <is>
          <t>TC-ADM2-307</t>
        </is>
      </c>
      <c r="B308" s="15" t="inlineStr">
        <is>
          <t>Admin Console (đợt 2: Nội dung, Thanh toán, Khám phá)</t>
        </is>
      </c>
      <c r="C308" s="15" t="inlineStr">
        <is>
          <t>Nhật ký audit &amp; thông báo đợt 2</t>
        </is>
      </c>
      <c r="D308" s="15" t="inlineStr">
        <is>
          <t>'Lịch sử quản trị' trong modal xem trước/chi tiết khớp audit-logs (tối đa 10 dòng mới nhất)</t>
        </is>
      </c>
      <c r="E308" s="15" t="inlineStr">
        <is>
          <t>Chức năng</t>
        </is>
      </c>
      <c r="F308" s="20" t="inlineStr">
        <is>
          <t>Trung bình</t>
        </is>
      </c>
      <c r="G308" s="17" t="inlineStr">
        <is>
          <t>Đã hoàn thiện</t>
        </is>
      </c>
      <c r="H308" s="17" t="inlineStr">
        <is>
          <t>Có</t>
        </is>
      </c>
      <c r="I3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8" s="15" t="inlineStr">
        <is>
          <t>1. Ẩn rồi gỡ rồi khôi phục POST-3B032FD4
2. Mở Xem trước bài đó
3. So với GET /admin/audit-logs?targetId=&lt;id&gt;</t>
        </is>
      </c>
      <c r="K308" s="15" t="inlineStr">
        <is>
          <t>POST-3B032FD4</t>
        </is>
      </c>
      <c r="L308" s="15" t="inlineStr">
        <is>
          <t>'Lịch sử quản trị' liệt kê post.restore, post.remove, post.hide theo thứ tự mới nhất trước, đúng bằng audit-logs; mỗi dòng hiện hành động, người thực hiện, lý do, thời gian.</t>
        </is>
      </c>
      <c r="M308" s="15" t="inlineStr"/>
      <c r="N308" s="18" t="inlineStr">
        <is>
          <t>Chưa test</t>
        </is>
      </c>
      <c r="O308" s="15" t="inlineStr"/>
      <c r="P308" s="15" t="inlineStr"/>
      <c r="Q308" s="18" t="inlineStr">
        <is>
          <t>Chưa test</t>
        </is>
      </c>
      <c r="R308" s="15" t="inlineStr"/>
    </row>
    <row r="309" ht="30" customHeight="1">
      <c r="A309" s="14" t="inlineStr">
        <is>
          <t>TC-ADM2-308</t>
        </is>
      </c>
      <c r="B309" s="15" t="inlineStr">
        <is>
          <t>Admin Console (đợt 2: Nội dung, Thanh toán, Khám phá)</t>
        </is>
      </c>
      <c r="C309" s="15" t="inlineStr">
        <is>
          <t>Nhật ký audit &amp; thông báo đợt 2</t>
        </is>
      </c>
      <c r="D309" s="15" t="inlineStr">
        <is>
          <t>Thông báo của người dùng khi bị admin tác động (type system, có link về cộng đồng)</t>
        </is>
      </c>
      <c r="E309" s="15" t="inlineStr">
        <is>
          <t>Chức năng</t>
        </is>
      </c>
      <c r="F309" s="20" t="inlineStr">
        <is>
          <t>Trung bình</t>
        </is>
      </c>
      <c r="G309" s="17" t="inlineStr">
        <is>
          <t>Đã hoàn thiện</t>
        </is>
      </c>
      <c r="H309" s="17" t="inlineStr">
        <is>
          <t>Có</t>
        </is>
      </c>
      <c r="I3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9" s="15" t="inlineStr">
        <is>
          <t>1. Ẩn POST-2467DDA0, hủy xuất bản một khóa, đánh dấu payout thất bại, gỡ khỏi Discovery
2. Đăng nhập chủ/tác giả tương ứng, GET /api/notifications</t>
        </is>
      </c>
      <c r="K309" s="15" t="inlineStr">
        <is>
          <t>-</t>
        </is>
      </c>
      <c r="L309"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309" s="15" t="inlineStr"/>
      <c r="N309" s="18" t="inlineStr">
        <is>
          <t>Chưa test</t>
        </is>
      </c>
      <c r="O309" s="15" t="inlineStr"/>
      <c r="P309" s="15" t="inlineStr"/>
      <c r="Q309" s="18" t="inlineStr">
        <is>
          <t>Chưa test</t>
        </is>
      </c>
      <c r="R309" s="15" t="inlineStr"/>
    </row>
    <row r="310" ht="75" customHeight="1">
      <c r="A310" s="14" t="inlineStr">
        <is>
          <t>TC-ADM2-309</t>
        </is>
      </c>
      <c r="B310" s="15" t="inlineStr">
        <is>
          <t>Admin Console (đợt 2: Nội dung, Thanh toán, Khám phá)</t>
        </is>
      </c>
      <c r="C310" s="15" t="inlineStr">
        <is>
          <t>Nhật ký audit &amp; thông báo đợt 2</t>
        </is>
      </c>
      <c r="D310" s="15" t="inlineStr">
        <is>
          <t>Thông báo không gửi khi bỏ chọn tùy chọn thông báo hoặc khi khôi phục</t>
        </is>
      </c>
      <c r="E310" s="15" t="inlineStr">
        <is>
          <t>Chức năng</t>
        </is>
      </c>
      <c r="F310" s="20" t="inlineStr">
        <is>
          <t>Trung bình</t>
        </is>
      </c>
      <c r="G310" s="17" t="inlineStr">
        <is>
          <t>Đã hoàn thiện</t>
        </is>
      </c>
      <c r="H310" s="17" t="inlineStr">
        <is>
          <t>Có</t>
        </is>
      </c>
      <c r="I31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0" s="15" t="inlineStr">
        <is>
          <t>1. hide POST-1415C1D0 {reason:'Spam',notifyAuthor:false}
2. restore
3. cancel sự kiện {reason:'x',notifyAttendees:false}
4. remove media {reason:'x',notifyOwner:false}
5. GET /api/notifications của các bên liên quan</t>
        </is>
      </c>
      <c r="K310" s="15" t="inlineStr">
        <is>
          <t>-</t>
        </is>
      </c>
      <c r="L310" s="15" t="inlineStr">
        <is>
          <t>Không có thông báo mới cho tác giả/người RSVP/chủ tệp; restore (post, event, media) không bao giờ gửi thông báo.</t>
        </is>
      </c>
      <c r="M310" s="15" t="inlineStr"/>
      <c r="N310" s="18" t="inlineStr">
        <is>
          <t>Chưa test</t>
        </is>
      </c>
      <c r="O310" s="15" t="inlineStr"/>
      <c r="P310" s="15" t="inlineStr"/>
      <c r="Q310" s="18" t="inlineStr">
        <is>
          <t>Chưa test</t>
        </is>
      </c>
      <c r="R310" s="15" t="inlineStr"/>
    </row>
    <row r="311" ht="90" customHeight="1">
      <c r="A311" s="14" t="inlineStr">
        <is>
          <t>TC-ADM2-310</t>
        </is>
      </c>
      <c r="B311" s="15" t="inlineStr">
        <is>
          <t>Admin Console (đợt 2: Nội dung, Thanh toán, Khám phá)</t>
        </is>
      </c>
      <c r="C311" s="15" t="inlineStr">
        <is>
          <t>API đợt 2 · Validate &amp; tính ổn định</t>
        </is>
      </c>
      <c r="D311" s="15" t="inlineStr">
        <is>
          <t>Phân trang /content/posts: limit/page hợp lệ và không hợp lệ</t>
        </is>
      </c>
      <c r="E311" s="15" t="inlineStr">
        <is>
          <t>Chức năng</t>
        </is>
      </c>
      <c r="F311" s="20" t="inlineStr">
        <is>
          <t>Trung bình</t>
        </is>
      </c>
      <c r="G311" s="17" t="inlineStr">
        <is>
          <t>Đã hoàn thiện</t>
        </is>
      </c>
      <c r="H311" s="17" t="inlineStr">
        <is>
          <t>Có</t>
        </is>
      </c>
      <c r="I31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11" s="15" t="inlineStr">
        <is>
          <t>1. GET /admin/content/posts?limit=0
2. GET /admin/content/posts?limit=101
3. GET /admin/content/posts?page=0
4. GET /admin/content/posts?page=abc
5. GET /admin/content/posts?limit=100&amp;page=1
6. GET /admin/content/posts?page=9999</t>
        </is>
      </c>
      <c r="K311" s="15" t="inlineStr">
        <is>
          <t>-</t>
        </is>
      </c>
      <c r="L311" s="15" t="inlineStr">
        <is>
          <t>limit=0, 101, page=0, page=abc -&gt; 400 VALIDATION_ERROR; limit=100 -&gt; 200 với meta.limit=100; page quá lớn -&gt; 200 data=[] (meta.totalPages giữ nguyên, không lỗi 500).</t>
        </is>
      </c>
      <c r="M311" s="15" t="inlineStr"/>
      <c r="N311" s="18" t="inlineStr">
        <is>
          <t>Chưa test</t>
        </is>
      </c>
      <c r="O311" s="15" t="inlineStr"/>
      <c r="P311" s="15" t="inlineStr"/>
      <c r="Q311" s="18" t="inlineStr">
        <is>
          <t>Chưa test</t>
        </is>
      </c>
      <c r="R311" s="15" t="inlineStr"/>
    </row>
    <row r="312" ht="90" customHeight="1">
      <c r="A312" s="14" t="inlineStr">
        <is>
          <t>TC-ADM2-311</t>
        </is>
      </c>
      <c r="B312" s="15" t="inlineStr">
        <is>
          <t>Admin Console (đợt 2: Nội dung, Thanh toán, Khám phá)</t>
        </is>
      </c>
      <c r="C312" s="15" t="inlineStr">
        <is>
          <t>API đợt 2 · Validate &amp; tính ổn định</t>
        </is>
      </c>
      <c r="D312" s="15" t="inlineStr">
        <is>
          <t>Phân trang /payments/transactions: limit/page hợp lệ và không hợp lệ</t>
        </is>
      </c>
      <c r="E312" s="15" t="inlineStr">
        <is>
          <t>Chức năng</t>
        </is>
      </c>
      <c r="F312" s="20" t="inlineStr">
        <is>
          <t>Trung bình</t>
        </is>
      </c>
      <c r="G312" s="17" t="inlineStr">
        <is>
          <t>Đã hoàn thiện</t>
        </is>
      </c>
      <c r="H312" s="17" t="inlineStr">
        <is>
          <t>Có</t>
        </is>
      </c>
      <c r="I31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12" s="15" t="inlineStr">
        <is>
          <t>1. GET /admin/payments/transactions?limit=0
2. GET /admin/payments/transactions?limit=101
3. GET /admin/payments/transactions?page=0
4. GET /admin/payments/transactions?page=abc
5. GET /admin/payments/transactions?limit=100&amp;page=1
6. GET /admin/payments/transactions?page=9999</t>
        </is>
      </c>
      <c r="K312" s="15" t="inlineStr">
        <is>
          <t>-</t>
        </is>
      </c>
      <c r="L312" s="15" t="inlineStr">
        <is>
          <t>limit=0, 101, page=0, page=abc -&gt; 400 VALIDATION_ERROR; limit=100 -&gt; 200 với meta.limit=100; page quá lớn -&gt; 200 data=[] (meta.totalPages giữ nguyên, không lỗi 500).</t>
        </is>
      </c>
      <c r="M312" s="15" t="inlineStr"/>
      <c r="N312" s="18" t="inlineStr">
        <is>
          <t>Chưa test</t>
        </is>
      </c>
      <c r="O312" s="15" t="inlineStr"/>
      <c r="P312" s="15" t="inlineStr"/>
      <c r="Q312" s="18" t="inlineStr">
        <is>
          <t>Chưa test</t>
        </is>
      </c>
      <c r="R312" s="15" t="inlineStr"/>
    </row>
    <row r="313" ht="90" customHeight="1">
      <c r="A313" s="14" t="inlineStr">
        <is>
          <t>TC-ADM2-312</t>
        </is>
      </c>
      <c r="B313" s="15" t="inlineStr">
        <is>
          <t>Admin Console (đợt 2: Nội dung, Thanh toán, Khám phá)</t>
        </is>
      </c>
      <c r="C313" s="15" t="inlineStr">
        <is>
          <t>API đợt 2 · Validate &amp; tính ổn định</t>
        </is>
      </c>
      <c r="D313" s="15" t="inlineStr">
        <is>
          <t>Phân trang /discovery/communities: limit/page hợp lệ và không hợp lệ</t>
        </is>
      </c>
      <c r="E313" s="15" t="inlineStr">
        <is>
          <t>Chức năng</t>
        </is>
      </c>
      <c r="F313" s="20" t="inlineStr">
        <is>
          <t>Trung bình</t>
        </is>
      </c>
      <c r="G313" s="17" t="inlineStr">
        <is>
          <t>Đã hoàn thiện</t>
        </is>
      </c>
      <c r="H313" s="17" t="inlineStr">
        <is>
          <t>Có</t>
        </is>
      </c>
      <c r="I31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13" s="15" t="inlineStr">
        <is>
          <t>1. GET /admin/discovery/communities?limit=0
2. GET /admin/discovery/communities?limit=101
3. GET /admin/discovery/communities?page=0
4. GET /admin/discovery/communities?page=abc
5. GET /admin/discovery/communities?limit=100&amp;page=1
6. GET /admin/discovery/communities?page=9999</t>
        </is>
      </c>
      <c r="K313" s="15" t="inlineStr">
        <is>
          <t>-</t>
        </is>
      </c>
      <c r="L313" s="15" t="inlineStr">
        <is>
          <t>limit=0, 101, page=0, page=abc -&gt; 400 VALIDATION_ERROR; limit=100 -&gt; 200 với meta.limit=100; page quá lớn -&gt; 200 data=[] (meta.totalPages giữ nguyên, không lỗi 500).</t>
        </is>
      </c>
      <c r="M313" s="15" t="inlineStr"/>
      <c r="N313" s="18" t="inlineStr">
        <is>
          <t>Chưa test</t>
        </is>
      </c>
      <c r="O313" s="15" t="inlineStr"/>
      <c r="P313" s="15" t="inlineStr"/>
      <c r="Q313" s="18" t="inlineStr">
        <is>
          <t>Chưa test</t>
        </is>
      </c>
      <c r="R313" s="15" t="inlineStr"/>
    </row>
    <row r="314" ht="60" customHeight="1">
      <c r="A314" s="14" t="inlineStr">
        <is>
          <t>TC-ADM2-313</t>
        </is>
      </c>
      <c r="B314" s="15" t="inlineStr">
        <is>
          <t>Admin Console (đợt 2: Nội dung, Thanh toán, Khám phá)</t>
        </is>
      </c>
      <c r="C314" s="15" t="inlineStr">
        <is>
          <t>API đợt 2 · Validate &amp; tính ổn định</t>
        </is>
      </c>
      <c r="D314" s="15" t="inlineStr">
        <is>
          <t>Chuỗi tìm kiếm q &gt; 100 ký tự và ký tự đặc biệt không gây lỗi 500</t>
        </is>
      </c>
      <c r="E314" s="15" t="inlineStr">
        <is>
          <t>Bảo mật</t>
        </is>
      </c>
      <c r="F314" s="20" t="inlineStr">
        <is>
          <t>Trung bình</t>
        </is>
      </c>
      <c r="G314" s="17" t="inlineStr">
        <is>
          <t>Đã hoàn thiện</t>
        </is>
      </c>
      <c r="H314" s="17" t="inlineStr">
        <is>
          <t>Có</t>
        </is>
      </c>
      <c r="I31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14" s="15" t="inlineStr">
        <is>
          <t>1. GET /admin/content/posts?q=&lt;101 ký tự a&gt;
2. GET /admin/content/posts?q=%27%20OR%201%3D1--
3. GET /admin/payments/transactions?q=%25%25
4. GET /admin/content/media?q=&lt;script&gt;alert(1)&lt;/script&gt;</t>
        </is>
      </c>
      <c r="K314" s="15" t="inlineStr">
        <is>
          <t>-</t>
        </is>
      </c>
      <c r="L314" s="15" t="inlineStr">
        <is>
          <t>q &gt; 100 -&gt; 400; các chuỗi còn lại -&gt; 200 với danh sách rỗng hoặc khớp theo nghĩa đen (tham số hóa, không SQL injection; ký tự % và _ tìm theo nghĩa đen/không crash).</t>
        </is>
      </c>
      <c r="M314" s="15" t="inlineStr"/>
      <c r="N314" s="18" t="inlineStr">
        <is>
          <t>Chưa test</t>
        </is>
      </c>
      <c r="O314" s="15" t="inlineStr"/>
      <c r="P314" s="15" t="inlineStr"/>
      <c r="Q314" s="18" t="inlineStr">
        <is>
          <t>Chưa test</t>
        </is>
      </c>
      <c r="R314" s="15" t="inlineStr"/>
    </row>
    <row r="315" ht="30" customHeight="1">
      <c r="A315" s="14" t="inlineStr">
        <is>
          <t>TC-ADM2-314</t>
        </is>
      </c>
      <c r="B315" s="15" t="inlineStr">
        <is>
          <t>Admin Console (đợt 2: Nội dung, Thanh toán, Khám phá)</t>
        </is>
      </c>
      <c r="C315" s="15" t="inlineStr">
        <is>
          <t>API đợt 2 · Validate &amp; tính ổn định</t>
        </is>
      </c>
      <c r="D315" s="15" t="inlineStr">
        <is>
          <t>Nội dung bài/bình luận chứa HTML/script được hiển thị dạng văn bản (không thực thi) trong trang admin</t>
        </is>
      </c>
      <c r="E315" s="15" t="inlineStr">
        <is>
          <t>Bảo mật</t>
        </is>
      </c>
      <c r="F315" s="16" t="inlineStr">
        <is>
          <t>Cao</t>
        </is>
      </c>
      <c r="G315" s="17" t="inlineStr">
        <is>
          <t>Đã hoàn thiện</t>
        </is>
      </c>
      <c r="H315" s="17" t="inlineStr">
        <is>
          <t>Có</t>
        </is>
      </c>
      <c r="I3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315" s="15" t="inlineStr">
        <is>
          <t>1. Member đăng bài với nội dung chứa thẻ HTML/script
2. Admin mở /admin/content/posts, tìm bài, mở 'Xem trước'</t>
        </is>
      </c>
      <c r="K315" s="15" t="inlineStr">
        <is>
          <t>&lt;img src=x onerror=alert(1)&gt;</t>
        </is>
      </c>
      <c r="L315" s="15" t="inlineStr">
        <is>
          <t>Cả bảng và modal hiển thị đúng chuỗi ký tự (đã escape), không có hộp thoại alert, không chèn phần tử DOM.</t>
        </is>
      </c>
      <c r="M315" s="15" t="inlineStr"/>
      <c r="N315" s="18" t="inlineStr">
        <is>
          <t>Chưa test</t>
        </is>
      </c>
      <c r="O315" s="15" t="inlineStr"/>
      <c r="P315" s="15" t="inlineStr"/>
      <c r="Q315" s="18" t="inlineStr">
        <is>
          <t>Chưa test</t>
        </is>
      </c>
      <c r="R315" s="15" t="inlineStr"/>
    </row>
    <row r="316" ht="60" customHeight="1">
      <c r="A316" s="14" t="inlineStr">
        <is>
          <t>TC-ADM2-315</t>
        </is>
      </c>
      <c r="B316" s="15" t="inlineStr">
        <is>
          <t>Admin Console (đợt 2: Nội dung, Thanh toán, Khám phá)</t>
        </is>
      </c>
      <c r="C316" s="15" t="inlineStr">
        <is>
          <t>API đợt 2 · Validate &amp; tính ổn định</t>
        </is>
      </c>
      <c r="D316" s="15" t="inlineStr">
        <is>
          <t>reason &gt; 500 ký tự hoặc note &gt; 2000 ký tự bị từ chối 400; reason chỉ khoảng trắng 400</t>
        </is>
      </c>
      <c r="E316" s="15" t="inlineStr">
        <is>
          <t>Chức năng</t>
        </is>
      </c>
      <c r="F316" s="20" t="inlineStr">
        <is>
          <t>Trung bình</t>
        </is>
      </c>
      <c r="G316" s="17" t="inlineStr">
        <is>
          <t>Đã hoàn thiện</t>
        </is>
      </c>
      <c r="H316" s="17" t="inlineStr">
        <is>
          <t>Có</t>
        </is>
      </c>
      <c r="I31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6" s="15" t="inlineStr">
        <is>
          <t>1. POST /content/posts/&lt;id&gt;/hide {reason:'&lt;501 ký tự&gt;'}
2. {reason:'   '}
3. {reason:'Spam',note:'&lt;2001 ký tự&gt;'}
4. payouts/&lt;id&gt;/hold {reason:'&lt;501&gt;'}</t>
        </is>
      </c>
      <c r="K316" s="15" t="inlineStr">
        <is>
          <t>-</t>
        </is>
      </c>
      <c r="L316" s="15" t="inlineStr">
        <is>
          <t>Tất cả 400 VALIDATION_ERROR (details nêu trường reason/note); dữ liệu không đổi.</t>
        </is>
      </c>
      <c r="M316" s="15" t="inlineStr"/>
      <c r="N316" s="18" t="inlineStr">
        <is>
          <t>Chưa test</t>
        </is>
      </c>
      <c r="O316" s="15" t="inlineStr"/>
      <c r="P316" s="15" t="inlineStr"/>
      <c r="Q316" s="18" t="inlineStr">
        <is>
          <t>Chưa test</t>
        </is>
      </c>
      <c r="R316" s="15" t="inlineStr"/>
    </row>
    <row r="317" ht="45" customHeight="1">
      <c r="A317" s="14" t="inlineStr">
        <is>
          <t>TC-ADM2-316</t>
        </is>
      </c>
      <c r="B317" s="15" t="inlineStr">
        <is>
          <t>Admin Console (đợt 2: Nội dung, Thanh toán, Khám phá)</t>
        </is>
      </c>
      <c r="C317" s="15" t="inlineStr">
        <is>
          <t>API đợt 2 · Validate &amp; tính ổn định</t>
        </is>
      </c>
      <c r="D317" s="15" t="inlineStr">
        <is>
          <t>Body JSON sai cú pháp hoặc thiếu body trả 400 (không 500)</t>
        </is>
      </c>
      <c r="E317" s="15" t="inlineStr">
        <is>
          <t>Chức năng</t>
        </is>
      </c>
      <c r="F317" s="17" t="inlineStr">
        <is>
          <t>Thấp</t>
        </is>
      </c>
      <c r="G317" s="17" t="inlineStr">
        <is>
          <t>Đã hoàn thiện</t>
        </is>
      </c>
      <c r="H317" s="17" t="inlineStr">
        <is>
          <t>Có</t>
        </is>
      </c>
      <c r="I31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317" s="15" t="inlineStr">
        <is>
          <t>1. POST /admin/content/posts/&lt;id&gt;/hide với body '{reason' (cụt)
2. POST không gửi body tới /payments/payouts/&lt;id&gt;/approve (không bắt buộc)
3. POST /payments/transactions/&lt;id&gt;/refund không gửi body</t>
        </is>
      </c>
      <c r="K317" s="15" t="inlineStr">
        <is>
          <t>-</t>
        </is>
      </c>
      <c r="L317" s="15" t="inlineStr">
        <is>
          <t>Body cụt: 400 BAD_REQUEST; approve không body: 200 (chỉ có note tùy chọn); refund không body: 400 (thiếu reason). Không bao giờ 500.</t>
        </is>
      </c>
      <c r="M317" s="15" t="inlineStr"/>
      <c r="N317" s="18" t="inlineStr">
        <is>
          <t>Chưa test</t>
        </is>
      </c>
      <c r="O317" s="15" t="inlineStr"/>
      <c r="P317" s="15" t="inlineStr"/>
      <c r="Q317" s="18" t="inlineStr">
        <is>
          <t>Chưa test</t>
        </is>
      </c>
      <c r="R317" s="15" t="inlineStr"/>
    </row>
    <row r="318" ht="30" customHeight="1">
      <c r="A318" s="14" t="inlineStr">
        <is>
          <t>TC-ADM2-317</t>
        </is>
      </c>
      <c r="B318" s="15" t="inlineStr">
        <is>
          <t>Admin Console (đợt 2: Nội dung, Thanh toán, Khám phá)</t>
        </is>
      </c>
      <c r="C318" s="15" t="inlineStr">
        <is>
          <t>API đợt 2 · Validate &amp; tính ổn định</t>
        </is>
      </c>
      <c r="D318" s="15" t="inlineStr">
        <is>
          <t>Hai admin cùng ẩn một bài đồng thời: một thành công, một 409 (chuyển trạng thái nguyên tử)</t>
        </is>
      </c>
      <c r="E318" s="15" t="inlineStr">
        <is>
          <t>Chức năng</t>
        </is>
      </c>
      <c r="F318" s="20" t="inlineStr">
        <is>
          <t>Trung bình</t>
        </is>
      </c>
      <c r="G318" s="17" t="inlineStr">
        <is>
          <t>Đã hoàn thiện</t>
        </is>
      </c>
      <c r="H318" s="20" t="inlineStr">
        <is>
          <t>Một phần</t>
        </is>
      </c>
      <c r="I31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8" s="15" t="inlineStr">
        <is>
          <t>1. Gửi song song 2 request POST /content/posts/&lt;id&gt;/hide {reason:'Spam'} (Promise.all/2 terminal)</t>
        </is>
      </c>
      <c r="K318" s="15" t="inlineStr">
        <is>
          <t>POST-1415C1D0</t>
        </is>
      </c>
      <c r="L318" s="15" t="inlineStr">
        <is>
          <t>Một request 200, request kia 409; chỉ MỘT dòng audit post.hide và chỉ một thông báo cho tác giả.</t>
        </is>
      </c>
      <c r="M318" s="15" t="inlineStr"/>
      <c r="N318" s="18" t="inlineStr">
        <is>
          <t>Chưa test</t>
        </is>
      </c>
      <c r="O318" s="15" t="inlineStr"/>
      <c r="P318" s="15" t="inlineStr"/>
      <c r="Q318" s="18" t="inlineStr">
        <is>
          <t>Chưa test</t>
        </is>
      </c>
      <c r="R318" s="15" t="inlineStr"/>
    </row>
    <row r="319" ht="30" customHeight="1">
      <c r="A319" s="14" t="inlineStr">
        <is>
          <t>TC-ADM2-318</t>
        </is>
      </c>
      <c r="B319" s="15" t="inlineStr">
        <is>
          <t>Admin Console (đợt 2: Nội dung, Thanh toán, Khám phá)</t>
        </is>
      </c>
      <c r="C319" s="15" t="inlineStr">
        <is>
          <t>API đợt 2 · Validate &amp; tính ổn định</t>
        </is>
      </c>
      <c r="D319" s="15" t="inlineStr">
        <is>
          <t>Hai admin cùng duyệt một payout hoặc hoàn tiền một giao dịch đồng thời: chỉ một bên thắng</t>
        </is>
      </c>
      <c r="E319" s="15" t="inlineStr">
        <is>
          <t>Chức năng</t>
        </is>
      </c>
      <c r="F319" s="20" t="inlineStr">
        <is>
          <t>Trung bình</t>
        </is>
      </c>
      <c r="G319" s="17" t="inlineStr">
        <is>
          <t>Đã hoàn thiện</t>
        </is>
      </c>
      <c r="H319" s="20" t="inlineStr">
        <is>
          <t>Một phần</t>
        </is>
      </c>
      <c r="I31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319" s="15" t="inlineStr">
        <is>
          <t>1. Song song 2 request POST /payments/payouts/&lt;id PO-60986918&gt;/approve
2. Song song 2 request POST /payments/transactions/&lt;id TXN-E8AF54EA&gt;/refund {reason:'x'}</t>
        </is>
      </c>
      <c r="K319" s="15" t="inlineStr">
        <is>
          <t>PO-60986918, TXN-E8AF54EA</t>
        </is>
      </c>
      <c r="L319" s="15" t="inlineStr">
        <is>
          <t>Mỗi cặp: 1 request 200, 1 request 409; không có hoàn tiền kép (refundedCents đúng bằng 1 lần hoàn); 1 dòng audit mỗi thao tác.</t>
        </is>
      </c>
      <c r="M319" s="15" t="inlineStr"/>
      <c r="N319" s="18" t="inlineStr">
        <is>
          <t>Chưa test</t>
        </is>
      </c>
      <c r="O319" s="15" t="inlineStr"/>
      <c r="P319" s="15" t="inlineStr"/>
      <c r="Q319" s="18" t="inlineStr">
        <is>
          <t>Chưa test</t>
        </is>
      </c>
      <c r="R319" s="15" t="inlineStr"/>
    </row>
    <row r="320" ht="30" customHeight="1">
      <c r="A320" s="14" t="inlineStr">
        <is>
          <t>TC-ADM2-319</t>
        </is>
      </c>
      <c r="B320" s="15" t="inlineStr">
        <is>
          <t>Admin Console (đợt 2: Nội dung, Thanh toán, Khám phá)</t>
        </is>
      </c>
      <c r="C320" s="15" t="inlineStr">
        <is>
          <t>API đợt 2 · Validate &amp; tính ổn định</t>
        </is>
      </c>
      <c r="D320" s="15" t="inlineStr">
        <is>
          <t>Hiệu năng danh sách: các trang admin đợt 2 phản hồi dưới 1 giây trên seed</t>
        </is>
      </c>
      <c r="E320" s="15" t="inlineStr">
        <is>
          <t>Hiệu năng</t>
        </is>
      </c>
      <c r="F320" s="17" t="inlineStr">
        <is>
          <t>Thấp</t>
        </is>
      </c>
      <c r="G320" s="17" t="inlineStr">
        <is>
          <t>Đã hoàn thiện</t>
        </is>
      </c>
      <c r="H320" s="16" t="inlineStr">
        <is>
          <t>Không</t>
        </is>
      </c>
      <c r="I32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20" s="15" t="inlineStr">
        <is>
          <t>1. Đo thời gian GET /admin/content/posts?limit=100, /payments/transactions?limit=100, /discovery/communities?limit=100, /discovery/rankings, /payments/creators</t>
        </is>
      </c>
      <c r="K320" s="15" t="inlineStr">
        <is>
          <t>-</t>
        </is>
      </c>
      <c r="L320" s="15" t="inlineStr">
        <is>
          <t>Mỗi request &lt; 1 giây trên DB seed (≈1.5K người dùng, 35 cộng đồng); BE tính discovery/search-visibility/creators trong bộ nhớ nên cần theo dõi khi số cộng đồng/creator tăng lên hàng nghìn.</t>
        </is>
      </c>
      <c r="M320" s="15" t="inlineStr"/>
      <c r="N320" s="18" t="inlineStr">
        <is>
          <t>Chưa test</t>
        </is>
      </c>
      <c r="O320" s="15" t="inlineStr"/>
      <c r="P320" s="15" t="inlineStr"/>
      <c r="Q320" s="18" t="inlineStr">
        <is>
          <t>Chưa test</t>
        </is>
      </c>
      <c r="R320" s="15" t="inlineStr"/>
    </row>
    <row r="321" ht="30" customHeight="1">
      <c r="A321" s="14" t="inlineStr">
        <is>
          <t>TC-ADM2-320</t>
        </is>
      </c>
      <c r="B321" s="15" t="inlineStr">
        <is>
          <t>Admin Console (đợt 2: Nội dung, Thanh toán, Khám phá)</t>
        </is>
      </c>
      <c r="C321" s="15" t="inlineStr">
        <is>
          <t>API đợt 2 · Validate &amp; tính ổn định</t>
        </is>
      </c>
      <c r="D321" s="15" t="inlineStr">
        <is>
          <t>Responsive: bảng và modal đợt 2 dùng được ở màn 390px (cuộn ngang, modal không tràn)</t>
        </is>
      </c>
      <c r="E321" s="15" t="inlineStr">
        <is>
          <t>Giao diện</t>
        </is>
      </c>
      <c r="F321" s="20" t="inlineStr">
        <is>
          <t>Trung bình</t>
        </is>
      </c>
      <c r="G321" s="17" t="inlineStr">
        <is>
          <t>Đã hoàn thiện</t>
        </is>
      </c>
      <c r="H321" s="20" t="inlineStr">
        <is>
          <t>Một phần</t>
        </is>
      </c>
      <c r="I3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21" s="15" t="inlineStr">
        <is>
          <t>1. Thu cửa sổ 390×844
2. Mở /admin/payments/tx, /admin/content/media, /admin/discovery/featured, mở một modal Hoàn tiền</t>
        </is>
      </c>
      <c r="K321" s="15" t="inlineStr">
        <is>
          <t>390x844</t>
        </is>
      </c>
      <c r="L321" s="15" t="inlineStr">
        <is>
          <t>Bảng cuộn ngang trong khung, không vỡ bố cục trang; lưới Media xuống 1-2 cột; thẻ Nổi bật xếp 1 cột; modal vừa màn hình, nút xác nhận nhìn thấy được; sidebar thành drawer.</t>
        </is>
      </c>
      <c r="M321" s="15" t="inlineStr"/>
      <c r="N321" s="18" t="inlineStr">
        <is>
          <t>Chưa test</t>
        </is>
      </c>
      <c r="O321" s="15" t="inlineStr"/>
      <c r="P321" s="15" t="inlineStr"/>
      <c r="Q321" s="18" t="inlineStr">
        <is>
          <t>Chưa test</t>
        </is>
      </c>
      <c r="R321" s="15" t="inlineStr"/>
    </row>
    <row r="322" ht="45" customHeight="1">
      <c r="A322" s="14" t="inlineStr">
        <is>
          <t>TC-ADM2-321</t>
        </is>
      </c>
      <c r="B322" s="15" t="inlineStr">
        <is>
          <t>Admin Console (đợt 2: Nội dung, Thanh toán, Khám phá)</t>
        </is>
      </c>
      <c r="C322" s="15" t="inlineStr">
        <is>
          <t>API đợt 2 · Validate &amp; tính ổn định</t>
        </is>
      </c>
      <c r="D322" s="15" t="inlineStr">
        <is>
          <t>Truy cập bàn phím: modal thao tác có focus, Esc đóng, Enter xác nhận; nút icon có aria-label</t>
        </is>
      </c>
      <c r="E322" s="15" t="inlineStr">
        <is>
          <t>Giao diện</t>
        </is>
      </c>
      <c r="F322" s="17" t="inlineStr">
        <is>
          <t>Thấp</t>
        </is>
      </c>
      <c r="G322" s="17" t="inlineStr">
        <is>
          <t>Đã hoàn thiện</t>
        </is>
      </c>
      <c r="H322" s="20" t="inlineStr">
        <is>
          <t>Một phần</t>
        </is>
      </c>
      <c r="I3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22" s="15" t="inlineStr">
        <is>
          <t>1. Mở modal 'Ẩn bài viết?' bằng bàn phím
2. Nhấn Esc
3. Kiểm tra aria-label của nút '+/−' ở Xếp hạng, 'Chuyển lên/xuống/Gỡ khỏi danh sách' ở Nổi bật, 'Chọn dòng', 'Trang trước/sau'</t>
        </is>
      </c>
      <c r="K322" s="15" t="inlineStr">
        <is>
          <t>-</t>
        </is>
      </c>
      <c r="L322" s="15" t="inlineStr">
        <is>
          <t>Esc đóng modal không gửi request; các nút icon có aria-label đúng như liệt kê; chip lý do chọn được bằng bàn phím.</t>
        </is>
      </c>
      <c r="M322" s="15" t="inlineStr"/>
      <c r="N322" s="18" t="inlineStr">
        <is>
          <t>Chưa test</t>
        </is>
      </c>
      <c r="O322" s="15" t="inlineStr"/>
      <c r="P322" s="15" t="inlineStr"/>
      <c r="Q322" s="18" t="inlineStr">
        <is>
          <t>Chưa test</t>
        </is>
      </c>
      <c r="R322" s="15" t="inlineStr"/>
    </row>
    <row r="323" ht="30" customHeight="1">
      <c r="A323" s="14" t="inlineStr">
        <is>
          <t>TC-ADM2-322</t>
        </is>
      </c>
      <c r="B323" s="15" t="inlineStr">
        <is>
          <t>Admin Console (đợt 2: Nội dung, Thanh toán, Khám phá)</t>
        </is>
      </c>
      <c r="C323" s="15" t="inlineStr">
        <is>
          <t>Điểm chưa làm / mô phỏng đợt 2</t>
        </is>
      </c>
      <c r="D323" s="15" t="inlineStr">
        <is>
          <t>Cổng thanh toán thật (Stripe/MoMo/VNPay): hoàn tiền, retry, chargeback hiện chạy trên MockGateway</t>
        </is>
      </c>
      <c r="E323" s="15" t="inlineStr">
        <is>
          <t>Tích hợp</t>
        </is>
      </c>
      <c r="F323" s="16" t="inlineStr">
        <is>
          <t>Cao</t>
        </is>
      </c>
      <c r="G323" s="20" t="inlineStr">
        <is>
          <t>Kế hoạch</t>
        </is>
      </c>
      <c r="H323" s="16" t="inlineStr">
        <is>
          <t>Không</t>
        </is>
      </c>
      <c r="I323" s="15" t="inlineStr">
        <is>
          <t>Gateway mô phỏng (payments.gateway.ts): luôn thành công trừ user trong failFor; chargeback là bản ghi phía admin (bảng Chargeback), không nhận webhook từ cổng. [PHỤ THUỘC QUYẾT ĐỊNH CHƯA CHỐT] cổng thanh toán chưa chọn (PLAN câu hỏi #2).</t>
        </is>
      </c>
      <c r="J323" s="15" t="inlineStr">
        <is>
          <t>1. Hoàn tiền một giao dịch và kiểm tra bên cổng
2. Mở chargeback và đối chiếu với dashboard cổng</t>
        </is>
      </c>
      <c r="K323" s="15" t="inlineStr">
        <is>
          <t>-</t>
        </is>
      </c>
      <c r="L323" s="15" t="inlineStr">
        <is>
          <t>KỲ VỌNG SAU KHI TÍCH HỢP: hoàn tiền/retry gọi cổng thật, lỗi cổng (502 GATEWAY_ERROR, thẻ hết hạn, không đủ số dư) hiển thị rõ, chargeback đồng bộ từ webhook, đối soát. HIỆN TẠI: mã tham chiếu 'mock_ch_*', 'mock_dp_*'; giao diện ghi 'Stripe (mock)'.</t>
        </is>
      </c>
      <c r="M323" s="15" t="inlineStr"/>
      <c r="N323" s="18" t="inlineStr">
        <is>
          <t>Chưa test</t>
        </is>
      </c>
      <c r="O323" s="15" t="inlineStr"/>
      <c r="P323" s="15" t="inlineStr"/>
      <c r="Q323" s="18" t="inlineStr">
        <is>
          <t>Chưa test</t>
        </is>
      </c>
      <c r="R323" s="15" t="inlineStr"/>
    </row>
    <row r="324" ht="30" customHeight="1">
      <c r="A324" s="14" t="inlineStr">
        <is>
          <t>TC-ADM2-323</t>
        </is>
      </c>
      <c r="B324" s="15" t="inlineStr">
        <is>
          <t>Admin Console (đợt 2: Nội dung, Thanh toán, Khám phá)</t>
        </is>
      </c>
      <c r="C324" s="15" t="inlineStr">
        <is>
          <t>Điểm chưa làm / mô phỏng đợt 2</t>
        </is>
      </c>
      <c r="D324" s="15" t="inlineStr">
        <is>
          <t xml:space="preserve">Xuất CSV (Giao dịch, Bài viết, Doanh thu creator...) và nút 'Xuất' </t>
        </is>
      </c>
      <c r="E324" s="15" t="inlineStr">
        <is>
          <t>Chức năng</t>
        </is>
      </c>
      <c r="F324" s="17" t="inlineStr">
        <is>
          <t>Thấp</t>
        </is>
      </c>
      <c r="G324" s="20" t="inlineStr">
        <is>
          <t>Kế hoạch</t>
        </is>
      </c>
      <c r="H324" s="16" t="inlineStr">
        <is>
          <t>Không</t>
        </is>
      </c>
      <c r="I324" s="15" t="inlineStr">
        <is>
          <t>Thiếu ở BE (export CSV) - frontend/ADMIN_BACKEND_GAPS.md.</t>
        </is>
      </c>
      <c r="J324" s="15" t="inlineStr">
        <is>
          <t>1. Tìm nút 'Xuất' ở /admin/content/posts, /admin/payments/tx, /admin/payments/creator</t>
        </is>
      </c>
      <c r="K324" s="15" t="inlineStr">
        <is>
          <t>-</t>
        </is>
      </c>
      <c r="L324" s="15" t="inlineStr">
        <is>
          <t>KỲ VỌNG SAU KHI LÀM: nút tải file CSV theo bộ lọc hiện tại. HIỆN TẠI: nút bị ẩn, không có endpoint export.</t>
        </is>
      </c>
      <c r="M324" s="15" t="inlineStr"/>
      <c r="N324" s="18" t="inlineStr">
        <is>
          <t>Chưa test</t>
        </is>
      </c>
      <c r="O324" s="15" t="inlineStr"/>
      <c r="P324" s="15" t="inlineStr"/>
      <c r="Q324" s="18" t="inlineStr">
        <is>
          <t>Chưa test</t>
        </is>
      </c>
      <c r="R324" s="15" t="inlineStr"/>
    </row>
    <row r="325" ht="30" customHeight="1">
      <c r="A325" s="14" t="inlineStr">
        <is>
          <t>TC-ADM2-324</t>
        </is>
      </c>
      <c r="B325" s="15" t="inlineStr">
        <is>
          <t>Admin Console (đợt 2: Nội dung, Thanh toán, Khám phá)</t>
        </is>
      </c>
      <c r="C325" s="15" t="inlineStr">
        <is>
          <t>Điểm chưa làm / mô phỏng đợt 2</t>
        </is>
      </c>
      <c r="D325" s="15" t="inlineStr">
        <is>
          <t>Tải biên nhận/hóa đơn PDF từ chi tiết giao dịch</t>
        </is>
      </c>
      <c r="E325" s="15" t="inlineStr">
        <is>
          <t>Chức năng</t>
        </is>
      </c>
      <c r="F325" s="17" t="inlineStr">
        <is>
          <t>Thấp</t>
        </is>
      </c>
      <c r="G325" s="20" t="inlineStr">
        <is>
          <t>Kế hoạch</t>
        </is>
      </c>
      <c r="H325" s="16" t="inlineStr">
        <is>
          <t>Không</t>
        </is>
      </c>
      <c r="I325" s="15" t="inlineStr">
        <is>
          <t>Chỉ có invoiceNumber (INV-...), chưa có file PDF.</t>
        </is>
      </c>
      <c r="J325" s="15" t="inlineStr">
        <is>
          <t>1. Mở chi tiết TXN-763C9F36, tìm nút 'Tải biên nhận'</t>
        </is>
      </c>
      <c r="K325" s="15" t="inlineStr">
        <is>
          <t>TXN-763C9F36</t>
        </is>
      </c>
      <c r="L325" s="15" t="inlineStr">
        <is>
          <t>KỲ VỌNG SAU KHI LÀM: tải PDF biên nhận. HIỆN TẠI: chỉ hiển thị số hóa đơn trong khối 'Chi tiết thanh toán'; không có nút tải.</t>
        </is>
      </c>
      <c r="M325" s="15" t="inlineStr"/>
      <c r="N325" s="18" t="inlineStr">
        <is>
          <t>Chưa test</t>
        </is>
      </c>
      <c r="O325" s="15" t="inlineStr"/>
      <c r="P325" s="15" t="inlineStr"/>
      <c r="Q325" s="18" t="inlineStr">
        <is>
          <t>Chưa test</t>
        </is>
      </c>
      <c r="R325" s="15" t="inlineStr"/>
    </row>
    <row r="326" ht="30" customHeight="1">
      <c r="A326" s="14" t="inlineStr">
        <is>
          <t>TC-ADM2-325</t>
        </is>
      </c>
      <c r="B326" s="15" t="inlineStr">
        <is>
          <t>Admin Console (đợt 2: Nội dung, Thanh toán, Khám phá)</t>
        </is>
      </c>
      <c r="C326" s="15" t="inlineStr">
        <is>
          <t>Điểm chưa làm / mô phỏng đợt 2</t>
        </is>
      </c>
      <c r="D326" s="15" t="inlineStr">
        <is>
          <t>Phản hồi của creator trong yêu cầu hoàn tiền (creatorResponse)</t>
        </is>
      </c>
      <c r="E326" s="15" t="inlineStr">
        <is>
          <t>Chức năng</t>
        </is>
      </c>
      <c r="F326" s="20" t="inlineStr">
        <is>
          <t>Trung bình</t>
        </is>
      </c>
      <c r="G326" s="20" t="inlineStr">
        <is>
          <t>Kế hoạch</t>
        </is>
      </c>
      <c r="H326" s="16" t="inlineStr">
        <is>
          <t>Không</t>
        </is>
      </c>
      <c r="I326" s="15" t="inlineStr">
        <is>
          <t>creatorResponse luôn null vì chưa có tính năng chủ cộng đồng phản hồi hoàn tiền.</t>
        </is>
      </c>
      <c r="J326" s="15" t="inlineStr">
        <is>
          <t>1. Mở chi tiết RF-1542230F
2. GET /admin/payments/refunds/&lt;id&gt;</t>
        </is>
      </c>
      <c r="K326" s="15" t="inlineStr">
        <is>
          <t>RF-1542230F</t>
        </is>
      </c>
      <c r="L326" s="15" t="inlineStr">
        <is>
          <t>KỲ VỌNG SAU KHI LÀM: creator phản hồi và admin thấy thẻ 'Phản hồi của creator'. HIỆN TẠI: API trả creatorResponse=null và giao diện ẩn thẻ.</t>
        </is>
      </c>
      <c r="M326" s="15" t="inlineStr"/>
      <c r="N326" s="18" t="inlineStr">
        <is>
          <t>Chưa test</t>
        </is>
      </c>
      <c r="O326" s="15" t="inlineStr"/>
      <c r="P326" s="15" t="inlineStr"/>
      <c r="Q326" s="18" t="inlineStr">
        <is>
          <t>Chưa test</t>
        </is>
      </c>
      <c r="R326" s="15" t="inlineStr"/>
    </row>
    <row r="327" ht="30" customHeight="1">
      <c r="A327" s="14" t="inlineStr">
        <is>
          <t>TC-ADM2-326</t>
        </is>
      </c>
      <c r="B327" s="15" t="inlineStr">
        <is>
          <t>Admin Console (đợt 2: Nội dung, Thanh toán, Khám phá)</t>
        </is>
      </c>
      <c r="C327" s="15" t="inlineStr">
        <is>
          <t>Điểm chưa làm / mô phỏng đợt 2</t>
        </is>
      </c>
      <c r="D327" s="15" t="inlineStr">
        <is>
          <t>Trạng thái hoàn tiền 'Đang xử lý' (processing)</t>
        </is>
      </c>
      <c r="E327" s="15" t="inlineStr">
        <is>
          <t>Chức năng</t>
        </is>
      </c>
      <c r="F327" s="17" t="inlineStr">
        <is>
          <t>Thấp</t>
        </is>
      </c>
      <c r="G327" s="20" t="inlineStr">
        <is>
          <t>Kế hoạch</t>
        </is>
      </c>
      <c r="H327" s="16" t="inlineStr">
        <is>
          <t>Không</t>
        </is>
      </c>
      <c r="I327" s="15" t="inlineStr">
        <is>
          <t>Duyệt hoàn tiền thực hiện ngay nên chỉ có pending/approved/rejected.</t>
        </is>
      </c>
      <c r="J327" s="15" t="inlineStr">
        <is>
          <t>1. Duyệt một yêu cầu hoàn tiền và quan sát trạng thái trung gian</t>
        </is>
      </c>
      <c r="K327" s="15" t="inlineStr">
        <is>
          <t>-</t>
        </is>
      </c>
      <c r="L327" s="15" t="inlineStr">
        <is>
          <t>KỲ VỌNG SAU KHI TÍCH HỢP CỔNG THẬT: có 'Đang xử lý' khi chờ cổng. HIỆN TẠI: chuyển thẳng 'Hoàn tất'.</t>
        </is>
      </c>
      <c r="M327" s="15" t="inlineStr"/>
      <c r="N327" s="18" t="inlineStr">
        <is>
          <t>Chưa test</t>
        </is>
      </c>
      <c r="O327" s="15" t="inlineStr"/>
      <c r="P327" s="15" t="inlineStr"/>
      <c r="Q327" s="18" t="inlineStr">
        <is>
          <t>Chưa test</t>
        </is>
      </c>
      <c r="R327" s="15" t="inlineStr"/>
    </row>
    <row r="328" ht="30" customHeight="1">
      <c r="A328" s="14" t="inlineStr">
        <is>
          <t>TC-ADM2-327</t>
        </is>
      </c>
      <c r="B328" s="15" t="inlineStr">
        <is>
          <t>Admin Console (đợt 2: Nội dung, Thanh toán, Khám phá)</t>
        </is>
      </c>
      <c r="C328" s="15" t="inlineStr">
        <is>
          <t>Điểm chưa làm / mô phỏng đợt 2</t>
        </is>
      </c>
      <c r="D328" s="15" t="inlineStr">
        <is>
          <t>Cột 'Báo cáo' của Khóa học/Bài học/Sự kiện luôn 0 (chưa có cơ chế báo cáo)</t>
        </is>
      </c>
      <c r="E328" s="15" t="inlineStr">
        <is>
          <t>Chức năng</t>
        </is>
      </c>
      <c r="F328" s="20" t="inlineStr">
        <is>
          <t>Trung bình</t>
        </is>
      </c>
      <c r="G328" s="20" t="inlineStr">
        <is>
          <t>Kế hoạch</t>
        </is>
      </c>
      <c r="H328" s="16" t="inlineStr">
        <is>
          <t>Không</t>
        </is>
      </c>
      <c r="I328" s="15" t="inlineStr">
        <is>
          <t>ClassroomModule/ClassroomLesson/CommunityEvent không có đối tượng báo cáo; chỉ Bài viết/Bình luận có Report; Media.reports = 1 khi bị gắn cờ.</t>
        </is>
      </c>
      <c r="J328" s="15" t="inlineStr">
        <is>
          <t>1. Báo cáo một khóa học/bài học/sự kiện từ phía thành viên
2. Xem cột 'Báo cáo' ở admin</t>
        </is>
      </c>
      <c r="K328" s="15" t="inlineStr">
        <is>
          <t>-</t>
        </is>
      </c>
      <c r="L328" s="15" t="inlineStr">
        <is>
          <t>KỲ VỌNG SAU KHI LÀM: thành viên báo cáo được các đối tượng này và cột/KPI 'Bị báo cáo' tăng. HIỆN TẠI: luôn 0.</t>
        </is>
      </c>
      <c r="M328" s="15" t="inlineStr"/>
      <c r="N328" s="18" t="inlineStr">
        <is>
          <t>Chưa test</t>
        </is>
      </c>
      <c r="O328" s="15" t="inlineStr"/>
      <c r="P328" s="15" t="inlineStr"/>
      <c r="Q328" s="18" t="inlineStr">
        <is>
          <t>Chưa test</t>
        </is>
      </c>
      <c r="R328" s="15" t="inlineStr"/>
    </row>
    <row r="329" ht="30" customHeight="1">
      <c r="A329" s="14" t="inlineStr">
        <is>
          <t>TC-ADM2-328</t>
        </is>
      </c>
      <c r="B329" s="15" t="inlineStr">
        <is>
          <t>Admin Console (đợt 2: Nội dung, Thanh toán, Khám phá)</t>
        </is>
      </c>
      <c r="C329" s="15" t="inlineStr">
        <is>
          <t>Điểm chưa làm / mô phỏng đợt 2</t>
        </is>
      </c>
      <c r="D329" s="15" t="inlineStr">
        <is>
          <t>Thao tác hàng loạt cho Bình luận/Khóa học/Bài học/Sự kiện/Media (chỉ Bài viết có)</t>
        </is>
      </c>
      <c r="E329" s="15" t="inlineStr">
        <is>
          <t>Chức năng</t>
        </is>
      </c>
      <c r="F329" s="20" t="inlineStr">
        <is>
          <t>Trung bình</t>
        </is>
      </c>
      <c r="G329" s="20" t="inlineStr">
        <is>
          <t>Kế hoạch</t>
        </is>
      </c>
      <c r="H329" s="16" t="inlineStr">
        <is>
          <t>Không</t>
        </is>
      </c>
      <c r="I329" s="15" t="inlineStr">
        <is>
          <t>BE chỉ có POST /content/posts/bulk (comments/bulk có API nhưng FE chưa dùng).</t>
        </is>
      </c>
      <c r="J329" s="15" t="inlineStr">
        <is>
          <t>1. Mở từng trang, tìm checkbox chọn nhiều dòng</t>
        </is>
      </c>
      <c r="K329" s="15" t="inlineStr">
        <is>
          <t>-</t>
        </is>
      </c>
      <c r="L329" s="15" t="inlineStr">
        <is>
          <t>KỲ VỌNG SAU KHI LÀM: checkbox + thanh bulk ở các trang còn lại. HIỆN TẠI: chỉ trang Bài viết có checkbox; API /content/comments/bulk dùng được trực tiếp.</t>
        </is>
      </c>
      <c r="M329" s="15" t="inlineStr"/>
      <c r="N329" s="18" t="inlineStr">
        <is>
          <t>Chưa test</t>
        </is>
      </c>
      <c r="O329" s="15" t="inlineStr"/>
      <c r="P329" s="15" t="inlineStr"/>
      <c r="Q329" s="18" t="inlineStr">
        <is>
          <t>Chưa test</t>
        </is>
      </c>
      <c r="R329" s="15" t="inlineStr"/>
    </row>
    <row r="330" ht="30" customHeight="1">
      <c r="A330" s="14" t="inlineStr">
        <is>
          <t>TC-ADM2-329</t>
        </is>
      </c>
      <c r="B330" s="15" t="inlineStr">
        <is>
          <t>Admin Console (đợt 2: Nội dung, Thanh toán, Khám phá)</t>
        </is>
      </c>
      <c r="C330" s="15" t="inlineStr">
        <is>
          <t>Điểm chưa làm / mô phỏng đợt 2</t>
        </is>
      </c>
      <c r="D330" s="15" t="inlineStr">
        <is>
          <t>Bộ lọc Cộng đồng/Tác giả dạng dropdown ở trang Nội dung (chỉ qua ?courseId= trên URL)</t>
        </is>
      </c>
      <c r="E330" s="15" t="inlineStr">
        <is>
          <t>Chức năng</t>
        </is>
      </c>
      <c r="F330" s="17" t="inlineStr">
        <is>
          <t>Thấp</t>
        </is>
      </c>
      <c r="G330" s="20" t="inlineStr">
        <is>
          <t>Kế hoạch</t>
        </is>
      </c>
      <c r="H330" s="16" t="inlineStr">
        <is>
          <t>Không</t>
        </is>
      </c>
      <c r="I330" s="15" t="inlineStr">
        <is>
          <t>Thiếu endpoint autocomplete (GET /admin/communities?fields=id,name).</t>
        </is>
      </c>
      <c r="J330" s="15" t="inlineStr">
        <is>
          <t>1. Tìm dropdown 'Cộng đồng'/'Tác giả' ở trang Bài viết</t>
        </is>
      </c>
      <c r="K330" s="15" t="inlineStr">
        <is>
          <t>-</t>
        </is>
      </c>
      <c r="L330" s="15" t="inlineStr">
        <is>
          <t>KỲ VỌNG SAU KHI LÀM: dropdown lọc. HIỆN TẠI: không có; chỉ đọc ?courseId= từ URL (BE nhận courseId/authorId).</t>
        </is>
      </c>
      <c r="M330" s="15" t="inlineStr"/>
      <c r="N330" s="18" t="inlineStr">
        <is>
          <t>Chưa test</t>
        </is>
      </c>
      <c r="O330" s="15" t="inlineStr"/>
      <c r="P330" s="15" t="inlineStr"/>
      <c r="Q330" s="18" t="inlineStr">
        <is>
          <t>Chưa test</t>
        </is>
      </c>
      <c r="R330" s="15" t="inlineStr"/>
    </row>
    <row r="331" ht="30" customHeight="1">
      <c r="A331" s="14" t="inlineStr">
        <is>
          <t>TC-ADM2-330</t>
        </is>
      </c>
      <c r="B331" s="15" t="inlineStr">
        <is>
          <t>Admin Console (đợt 2: Nội dung, Thanh toán, Khám phá)</t>
        </is>
      </c>
      <c r="C331" s="15" t="inlineStr">
        <is>
          <t>Điểm chưa làm / mô phỏng đợt 2</t>
        </is>
      </c>
      <c r="D331" s="15" t="inlineStr">
        <is>
          <t>Ghim bài viết (pinned) từ admin và ảnh/poll trong Xem trước bài viết</t>
        </is>
      </c>
      <c r="E331" s="15" t="inlineStr">
        <is>
          <t>Chức năng</t>
        </is>
      </c>
      <c r="F331" s="17" t="inlineStr">
        <is>
          <t>Thấp</t>
        </is>
      </c>
      <c r="G331" s="20" t="inlineStr">
        <is>
          <t>Kế hoạch</t>
        </is>
      </c>
      <c r="H331" s="16" t="inlineStr">
        <is>
          <t>Không</t>
        </is>
      </c>
      <c r="I331" s="15" t="inlineStr">
        <is>
          <t>BE chưa có ghim bài từ admin; modal xem trước chưa vẽ imageUrl/hasPoll.</t>
        </is>
      </c>
      <c r="J331" s="15" t="inlineStr">
        <is>
          <t>1. Mở Xem trước POST-3B032FD4 (có ảnh), tìm nút 'Ghim'</t>
        </is>
      </c>
      <c r="K331" s="15" t="inlineStr">
        <is>
          <t>POST-3B032FD4</t>
        </is>
      </c>
      <c r="L331" s="15" t="inlineStr">
        <is>
          <t>KỲ VỌNG SAU KHI LÀM: nút ghim/bỏ ghim; xem trước hiện ảnh/poll. HIỆN TẠI: không có nút ghim; modal chỉ có văn bản.</t>
        </is>
      </c>
      <c r="M331" s="15" t="inlineStr"/>
      <c r="N331" s="18" t="inlineStr">
        <is>
          <t>Chưa test</t>
        </is>
      </c>
      <c r="O331" s="15" t="inlineStr"/>
      <c r="P331" s="15" t="inlineStr"/>
      <c r="Q331" s="18" t="inlineStr">
        <is>
          <t>Chưa test</t>
        </is>
      </c>
      <c r="R331" s="15" t="inlineStr"/>
    </row>
    <row r="332" ht="30" customHeight="1">
      <c r="A332" s="14" t="inlineStr">
        <is>
          <t>TC-ADM2-331</t>
        </is>
      </c>
      <c r="B332" s="15" t="inlineStr">
        <is>
          <t>Admin Console (đợt 2: Nội dung, Thanh toán, Khám phá)</t>
        </is>
      </c>
      <c r="C332" s="15" t="inlineStr">
        <is>
          <t>Điểm chưa làm / mô phỏng đợt 2</t>
        </is>
      </c>
      <c r="D332" s="15" t="inlineStr">
        <is>
          <t>Tên gói đăng ký (Pro/Basic) và tên khóa học trong Bài học</t>
        </is>
      </c>
      <c r="E332" s="15" t="inlineStr">
        <is>
          <t>Chức năng</t>
        </is>
      </c>
      <c r="F332" s="17" t="inlineStr">
        <is>
          <t>Thấp</t>
        </is>
      </c>
      <c r="G332" s="20" t="inlineStr">
        <is>
          <t>Kế hoạch</t>
        </is>
      </c>
      <c r="H332" s="16" t="inlineStr">
        <is>
          <t>Không</t>
        </is>
      </c>
      <c r="I332" s="15" t="inlineStr">
        <is>
          <t>BE chỉ có plan 'paid|trial'; Bài học chỉ trả module (không có tên khóa).</t>
        </is>
      </c>
      <c r="J332" s="15" t="inlineStr">
        <is>
          <t>1. Mở /admin/payments/subs và /admin/content/lessons</t>
        </is>
      </c>
      <c r="K332" s="15" t="inlineStr">
        <is>
          <t>-</t>
        </is>
      </c>
      <c r="L332" s="15" t="inlineStr">
        <is>
          <t>KỲ VỌNG SAU KHI LÀM: cột Gói hiện tên gói; cột 'Khóa học' cho Bài học. HIỆN TẠI: 'Trả phí/Dùng thử' và cột 'Mô-đun'.</t>
        </is>
      </c>
      <c r="M332" s="15" t="inlineStr"/>
      <c r="N332" s="18" t="inlineStr">
        <is>
          <t>Chưa test</t>
        </is>
      </c>
      <c r="O332" s="15" t="inlineStr"/>
      <c r="P332" s="15" t="inlineStr"/>
      <c r="Q332" s="18" t="inlineStr">
        <is>
          <t>Chưa test</t>
        </is>
      </c>
      <c r="R332" s="15" t="inlineStr"/>
    </row>
    <row r="333" ht="30" customHeight="1">
      <c r="A333" s="14" t="inlineStr">
        <is>
          <t>TC-ADM2-332</t>
        </is>
      </c>
      <c r="B333" s="15" t="inlineStr">
        <is>
          <t>Admin Console (đợt 2: Nội dung, Thanh toán, Khám phá)</t>
        </is>
      </c>
      <c r="C333" s="15" t="inlineStr">
        <is>
          <t>Điểm chưa làm / mô phỏng đợt 2</t>
        </is>
      </c>
      <c r="D333" s="15" t="inlineStr">
        <is>
          <t>Nút 'Tạo tranh chấp giả lập' trên giao diện (chỉ có API POST /payments/chargebacks)</t>
        </is>
      </c>
      <c r="E333" s="15" t="inlineStr">
        <is>
          <t>Chức năng</t>
        </is>
      </c>
      <c r="F333" s="17" t="inlineStr">
        <is>
          <t>Thấp</t>
        </is>
      </c>
      <c r="G333" s="20" t="inlineStr">
        <is>
          <t>Kế hoạch</t>
        </is>
      </c>
      <c r="H333" s="16" t="inlineStr">
        <is>
          <t>Không</t>
        </is>
      </c>
      <c r="I333" s="15" t="inlineStr">
        <is>
          <t>Thiết kế không có nút; chỉ tester dùng API.</t>
        </is>
      </c>
      <c r="J333" s="15" t="inlineStr">
        <is>
          <t>1. Mở /admin/payments/chargebacks, tìm nút tạo</t>
        </is>
      </c>
      <c r="K333" s="15" t="inlineStr">
        <is>
          <t>-</t>
        </is>
      </c>
      <c r="L333" s="15" t="inlineStr">
        <is>
          <t>KỲ VỌNG SAU KHI LÀM (nếu cần cho QA): nút tạo tranh chấp mô phỏng. HIỆN TẠI: không có nút; tạo bằng API.</t>
        </is>
      </c>
      <c r="M333" s="15" t="inlineStr"/>
      <c r="N333" s="18" t="inlineStr">
        <is>
          <t>Chưa test</t>
        </is>
      </c>
      <c r="O333" s="15" t="inlineStr"/>
      <c r="P333" s="15" t="inlineStr"/>
      <c r="Q333" s="18" t="inlineStr">
        <is>
          <t>Chưa test</t>
        </is>
      </c>
      <c r="R333" s="15" t="inlineStr"/>
    </row>
    <row r="334" ht="45" customHeight="1">
      <c r="A334" s="14" t="inlineStr">
        <is>
          <t>TC-ADM2-333</t>
        </is>
      </c>
      <c r="B334" s="15" t="inlineStr">
        <is>
          <t>Admin Console (đợt 2: Nội dung, Thanh toán, Khám phá)</t>
        </is>
      </c>
      <c r="C334" s="15" t="inlineStr">
        <is>
          <t>Điểm chưa làm / mô phỏng đợt 2</t>
        </is>
      </c>
      <c r="D334" s="15" t="inlineStr">
        <is>
          <t>Kéo-thả xếp hạng ở trang Nổi bật; xóa/sửa khóa danh mục; ghim/boost thủ công trong Xếp hạng</t>
        </is>
      </c>
      <c r="E334" s="15" t="inlineStr">
        <is>
          <t>Chức năng</t>
        </is>
      </c>
      <c r="F334" s="17" t="inlineStr">
        <is>
          <t>Thấp</t>
        </is>
      </c>
      <c r="G334" s="20" t="inlineStr">
        <is>
          <t>Kế hoạch</t>
        </is>
      </c>
      <c r="H334" s="16" t="inlineStr">
        <is>
          <t>Không</t>
        </is>
      </c>
      <c r="I334" s="15" t="inlineStr">
        <is>
          <t>FE chỉ có mũi tên; BE không có xóa danh mục, đổi key/slug, pin/boost.</t>
        </is>
      </c>
      <c r="J334" s="15" t="inlineStr">
        <is>
          <t>1. Thử kéo-thả một mục Nổi bật
2. Tìm nút xóa danh mục
3. Tìm ô boost trong Xếp hạng</t>
        </is>
      </c>
      <c r="K334" s="15" t="inlineStr">
        <is>
          <t>-</t>
        </is>
      </c>
      <c r="L334" s="15" t="inlineStr">
        <is>
          <t>KỲ VỌNG SAU KHI LÀM: kéo-thả, xóa danh mục, boost. HIỆN TẠI: chỉ mũi tên; danh mục chỉ Thêm/Sửa tên-mô tả/Lên-xuống/Bật-Tắt; không boost.</t>
        </is>
      </c>
      <c r="M334" s="15" t="inlineStr"/>
      <c r="N334" s="18" t="inlineStr">
        <is>
          <t>Chưa test</t>
        </is>
      </c>
      <c r="O334" s="15" t="inlineStr"/>
      <c r="P334" s="15" t="inlineStr"/>
      <c r="Q334" s="18" t="inlineStr">
        <is>
          <t>Chưa test</t>
        </is>
      </c>
      <c r="R334" s="15" t="inlineStr"/>
    </row>
    <row r="335" ht="30" customHeight="1">
      <c r="A335" s="14" t="inlineStr">
        <is>
          <t>TC-ADM2-334</t>
        </is>
      </c>
      <c r="B335" s="15" t="inlineStr">
        <is>
          <t>Admin Console (đợt 2: Nội dung, Thanh toán, Khám phá)</t>
        </is>
      </c>
      <c r="C335" s="15" t="inlineStr">
        <is>
          <t>Điểm chưa làm / mô phỏng đợt 2</t>
        </is>
      </c>
      <c r="D335" s="15" t="inlineStr">
        <is>
          <t>Danh mục marketing/design không tự có: phải bấm 'Thêm'</t>
        </is>
      </c>
      <c r="E335" s="15" t="inlineStr">
        <is>
          <t>Chức năng</t>
        </is>
      </c>
      <c r="F335" s="17" t="inlineStr">
        <is>
          <t>Thấp</t>
        </is>
      </c>
      <c r="G335" s="20" t="inlineStr">
        <is>
          <t>Kế hoạch</t>
        </is>
      </c>
      <c r="H335" s="16" t="inlineStr">
        <is>
          <t>Không</t>
        </is>
      </c>
      <c r="I335" s="15" t="inlineStr">
        <is>
          <t>Enum CourseCategory có 10 giá trị nhưng seed chỉ tạo 8 dòng DiscoveryCategory.</t>
        </is>
      </c>
      <c r="J335" s="15" t="inlineStr">
        <is>
          <t>1. Mở /admin/discovery/categories
2. Tìm marketing/design</t>
        </is>
      </c>
      <c r="K335" s="15" t="inlineStr">
        <is>
          <t>-</t>
        </is>
      </c>
      <c r="L335" s="15" t="inlineStr">
        <is>
          <t>KỲ VỌNG (nếu chốt): đủ 10 danh mục mặc định. HIỆN TẠI: chỉ 8 danh mục; marketing/design chỉ xuất hiện sau khi admin 'Thêm' (xem case Thêm danh mục).</t>
        </is>
      </c>
      <c r="M335" s="15" t="inlineStr"/>
      <c r="N335" s="18" t="inlineStr">
        <is>
          <t>Chưa test</t>
        </is>
      </c>
      <c r="O335" s="15" t="inlineStr"/>
      <c r="P335" s="15" t="inlineStr"/>
      <c r="Q335" s="18" t="inlineStr">
        <is>
          <t>Chưa test</t>
        </is>
      </c>
      <c r="R335" s="15" t="inlineStr"/>
    </row>
    <row r="336" ht="30" customHeight="1">
      <c r="A336" s="14" t="inlineStr">
        <is>
          <t>TC-ADM2-335</t>
        </is>
      </c>
      <c r="B336" s="15" t="inlineStr">
        <is>
          <t>Admin Console (đợt 2: Nội dung, Thanh toán, Khám phá)</t>
        </is>
      </c>
      <c r="C336" s="15" t="inlineStr">
        <is>
          <t>Điểm chưa làm / mô phỏng đợt 2</t>
        </is>
      </c>
      <c r="D336" s="15" t="inlineStr">
        <is>
          <t>Tổng hợp trong bộ nhớ (Cộng đồng hiển thị, Hiển thị tìm kiếm, Doanh thu creator) có giới hạn quy mô</t>
        </is>
      </c>
      <c r="E336" s="15" t="inlineStr">
        <is>
          <t>Hiệu năng</t>
        </is>
      </c>
      <c r="F336" s="17" t="inlineStr">
        <is>
          <t>Thấp</t>
        </is>
      </c>
      <c r="G336" s="20" t="inlineStr">
        <is>
          <t>Kế hoạch</t>
        </is>
      </c>
      <c r="H336" s="16" t="inlineStr">
        <is>
          <t>Không</t>
        </is>
      </c>
      <c r="I336" s="15" t="inlineStr">
        <is>
          <t>BE sắp xếp/phân trang trong bộ nhớ sau khi tính tín hiệu của mọi cộng đồng/creator (mục 4 'Khác biệt').</t>
        </is>
      </c>
      <c r="J336" s="15" t="inlineStr">
        <is>
          <t>1. Nạp hàng nghìn cộng đồng và creator
2. Đo thời gian /discovery/communities và /payments/creators</t>
        </is>
      </c>
      <c r="K336" s="15" t="inlineStr">
        <is>
          <t>-</t>
        </is>
      </c>
      <c r="L336" s="15" t="inlineStr">
        <is>
          <t>KỲ VỌNG SAU KHI TỐI ƯU: tính ở SQL/phân trang thật, thời gian ổn định. HIỆN TẠI: ổn với vài nghìn bản ghi; chưa tối ưu cho quy mô lớn.</t>
        </is>
      </c>
      <c r="M336" s="15" t="inlineStr"/>
      <c r="N336" s="18" t="inlineStr">
        <is>
          <t>Chưa test</t>
        </is>
      </c>
      <c r="O336" s="15" t="inlineStr"/>
      <c r="P336" s="15" t="inlineStr"/>
      <c r="Q336" s="18" t="inlineStr">
        <is>
          <t>Chưa test</t>
        </is>
      </c>
      <c r="R336" s="15" t="inlineStr"/>
    </row>
    <row r="337" ht="30" customHeight="1">
      <c r="A337" s="14" t="inlineStr">
        <is>
          <t>TC-ADM2-336</t>
        </is>
      </c>
      <c r="B337" s="15" t="inlineStr">
        <is>
          <t>Admin Console (đợt 2: Nội dung, Thanh toán, Khám phá)</t>
        </is>
      </c>
      <c r="C337" s="15" t="inlineStr">
        <is>
          <t>Điểm chưa làm / mô phỏng đợt 2</t>
        </is>
      </c>
      <c r="D337" s="15" t="inlineStr">
        <is>
          <t>Hoa hồng, phí cổng, cửa sổ hoàn tiền, ngưỡng rút tối thiểu và trọng số xếp hạng mặc định đang là giá trị tạm</t>
        </is>
      </c>
      <c r="E337" s="15" t="inlineStr">
        <is>
          <t>Chức năng</t>
        </is>
      </c>
      <c r="F337" s="16" t="inlineStr">
        <is>
          <t>Cao</t>
        </is>
      </c>
      <c r="G337" s="20" t="inlineStr">
        <is>
          <t>Kế hoạch</t>
        </is>
      </c>
      <c r="H337" s="16" t="inlineStr">
        <is>
          <t>Không</t>
        </is>
      </c>
      <c r="I337" s="15" t="inlineStr">
        <is>
          <t>Giá trị tạm trong env: PLATFORM_COMMISSION_PCT=10, GATEWAY_FEE_PCT=2.9, GATEWAY_FEE_FIXED_CENTS=30, REFUND_WINDOW_DAYS=7, PAYOUT_MIN_USD=50; trọng số mặc định 25/25/20/15/10/5; MRR 100 điểm = $450; qualityScore theo công thức tạm; quy tắc hidden/unlisted. [PHỤ THUỘC QUYẾT ĐỊNH CHƯA CHỐT]</t>
        </is>
      </c>
      <c r="J337" s="15" t="inlineStr">
        <is>
          <t>1. Đổi từng giá trị env, restart BE, kiểm tra Giao dịch/Doanh thu creator/Chi trả/Hoàn tiền/Xếp hạng</t>
        </is>
      </c>
      <c r="K337" s="15" t="inlineStr">
        <is>
          <t>-</t>
        </is>
      </c>
      <c r="L337" s="15" t="inlineStr">
        <is>
          <t>KỲ VỌNG SAU KHI CHỐT: cập nhật các case có tag [PHỤ THUỘC QUYẾT ĐỊNH CHƯA CHỐT] theo giá trị cuối. HIỆN TẠI: số liệu đổi theo env, case ghi theo giá trị tạm.</t>
        </is>
      </c>
      <c r="M337" s="15" t="inlineStr"/>
      <c r="N337" s="18" t="inlineStr">
        <is>
          <t>Chưa test</t>
        </is>
      </c>
      <c r="O337" s="15" t="inlineStr"/>
      <c r="P337" s="15" t="inlineStr"/>
      <c r="Q337" s="18" t="inlineStr">
        <is>
          <t>Chưa test</t>
        </is>
      </c>
      <c r="R337" s="15" t="inlineStr"/>
    </row>
    <row r="338" ht="30" customHeight="1">
      <c r="A338" s="14" t="inlineStr">
        <is>
          <t>TC-ADM2-337</t>
        </is>
      </c>
      <c r="B338" s="15" t="inlineStr">
        <is>
          <t>Admin Console (đợt 2: Nội dung, Thanh toán, Khám phá)</t>
        </is>
      </c>
      <c r="C338" s="15" t="inlineStr">
        <is>
          <t>Điểm chưa làm / mô phỏng đợt 2</t>
        </is>
      </c>
      <c r="D338" s="15" t="inlineStr">
        <is>
          <t>Kick/ban thành viên trả phí không tự hủy gói; admin phải tự Tạm dừng/Hủy gói (đợt 1 điểm đã biết)</t>
        </is>
      </c>
      <c r="E338" s="15" t="inlineStr">
        <is>
          <t>Chức năng</t>
        </is>
      </c>
      <c r="F338" s="20" t="inlineStr">
        <is>
          <t>Trung bình</t>
        </is>
      </c>
      <c r="G338" s="20" t="inlineStr">
        <is>
          <t>Kế hoạch</t>
        </is>
      </c>
      <c r="H338" s="16" t="inlineStr">
        <is>
          <t>Không</t>
        </is>
      </c>
      <c r="I338" s="15" t="inlineStr">
        <is>
          <t>Đã ghi ở mục F #1 của 'Nhật ký thay đổi': chưa chốt hoàn tiền/hủy gói khi kick/ban.</t>
        </is>
      </c>
      <c r="J338" s="15" t="inlineStr">
        <is>
          <t>1. Ban một thành viên trả phí khỏi cộng đồng
2. Mở /admin/payments/subs tìm gói của người đó</t>
        </is>
      </c>
      <c r="K338" s="15" t="inlineStr">
        <is>
          <t>-</t>
        </is>
      </c>
      <c r="L338" s="15" t="inlineStr">
        <is>
          <t>KỲ VỌNG SAU KHI CHỐT: gói tự dừng/hoàn tiền theo chính sách. HIỆN TẠI: gói vẫn 'Hoạt động'; admin có thể dùng 'Tạm dừng'/'Hủy' ở trang Gói đăng ký; 'Tiếp tục' bị 409 nếu người dùng đang bị cấm khỏi cộng đồng.</t>
        </is>
      </c>
      <c r="M338" s="15" t="inlineStr"/>
      <c r="N338" s="18" t="inlineStr">
        <is>
          <t>Chưa test</t>
        </is>
      </c>
      <c r="O338" s="15" t="inlineStr"/>
      <c r="P338" s="15" t="inlineStr"/>
      <c r="Q338" s="18" t="inlineStr">
        <is>
          <t>Chưa test</t>
        </is>
      </c>
      <c r="R338" s="15" t="inlineStr"/>
    </row>
  </sheetData>
  <autoFilter ref="A1:R338"/>
  <conditionalFormatting sqref="N2:N3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8" showDropDown="0" showInputMessage="0" showErrorMessage="0" allowBlank="1" type="list">
      <formula1>"Chưa test,Pass,Fail,Blocked,N/A"</formula1>
    </dataValidation>
    <dataValidation sqref="Q2:Q338" showDropDown="0" showInputMessage="0" showErrorMessage="0" allowBlank="1" type="list">
      <formula1>"Chưa test,Pass,Fail,Blocked,N/A"</formula1>
    </dataValidation>
    <dataValidation sqref="F2:F338" showDropDown="0" showInputMessage="0" showErrorMessage="0" allowBlank="1" type="list">
      <formula1>"Cao,Trung bình,Thấp"</formula1>
    </dataValidation>
    <dataValidation sqref="G2:G338" showDropDown="0" showInputMessage="0" showErrorMessage="0" allowBlank="1" type="list">
      <formula1>"Đã hoàn thiện,Kế hoạch"</formula1>
    </dataValidation>
    <dataValidation sqref="H2:H338"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41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TC-ADM3-007</t>
        </is>
      </c>
      <c r="B8" s="15" t="inlineStr">
        <is>
          <t>Admin Console (đợt 3: Phân tích, Hỗ trợ, Hệ thống)</t>
        </is>
      </c>
      <c r="C8" s="15" t="inlineStr">
        <is>
          <t>Khung admin theo quyền (UI)</t>
        </is>
      </c>
      <c r="D8" s="15" t="inlineStr">
        <is>
          <t>Support gõ thẳng URL trang không có quyền hiển thị 'Không đủ quyền' trong khung admin</t>
        </is>
      </c>
      <c r="E8" s="15" t="inlineStr">
        <is>
          <t>Bảo mật</t>
        </is>
      </c>
      <c r="F8" s="16" t="inlineStr">
        <is>
          <t>Cao</t>
        </is>
      </c>
      <c r="G8" s="17" t="inlineStr">
        <is>
          <t>Đã hoàn thiện</t>
        </is>
      </c>
      <c r="H8" s="17" t="inlineStr">
        <is>
          <t>Có</t>
        </is>
      </c>
      <c r="I8" s="15" t="inlineStr">
        <is>
          <t>DB sạch sau npm run db:reset (có seed/admin-batch3.ts, chạy sau seed admin đợt 1-2; mật khẩu mọi tài khoản seed Passw0rd!x; xem sheet 'Tài khoản &amp; dữ liệu test' mục A5-A6). Đăng nhập support@sofinhub.test / Passw0rd!x.</t>
        </is>
      </c>
      <c r="J8" s="15" t="inlineStr">
        <is>
          <t>1. Gõ thẳng http://localhost:5173/admin/communities (nhóm 'Cộng đồng', cần quyền community.manage)
2. Đọc nội dung trang
3. Bấm 'Về tổng quan'
4. Gõ thẳng http://localhost:5173/admin/system/admins</t>
        </is>
      </c>
      <c r="K8" s="15" t="inlineStr">
        <is>
          <t>/admin/communities</t>
        </is>
      </c>
      <c r="L8" s="15" t="inlineStr">
        <is>
          <t>Khung admin (sidebar + topbar) vẫn hiện; vùng nội dung có biểu tượng khóa, tiêu đề 'Không đủ quyền', mô tả 'Vai trò Hỗ trợ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8" s="15" t="inlineStr"/>
      <c r="N8" s="18" t="inlineStr">
        <is>
          <t>Chưa test</t>
        </is>
      </c>
      <c r="O8" s="15" t="inlineStr"/>
      <c r="P8" s="15" t="inlineStr"/>
      <c r="Q8" s="18" t="inlineStr">
        <is>
          <t>Chưa test</t>
        </is>
      </c>
      <c r="R8" s="15" t="inlineStr"/>
    </row>
    <row r="9" ht="60" customHeight="1">
      <c r="A9" s="14" t="inlineStr">
        <is>
          <t>TC-ADM3-008</t>
        </is>
      </c>
      <c r="B9" s="15" t="inlineStr">
        <is>
          <t>Admin Console (đợt 3: Phân tích, Hỗ trợ, Hệ thống)</t>
        </is>
      </c>
      <c r="C9" s="15" t="inlineStr">
        <is>
          <t>Khung admin theo quyền (UI)</t>
        </is>
      </c>
      <c r="D9" s="15" t="inlineStr">
        <is>
          <t>Finance gõ thẳng URL trang không có quyền hiển thị 'Không đủ quyền' trong khung admin</t>
        </is>
      </c>
      <c r="E9" s="15" t="inlineStr">
        <is>
          <t>Bảo mật</t>
        </is>
      </c>
      <c r="F9" s="16" t="inlineStr">
        <is>
          <t>Cao</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finance@sofinhub.test / Passw0rd!x.</t>
        </is>
      </c>
      <c r="J9" s="15" t="inlineStr">
        <is>
          <t>1. Gõ thẳng http://localhost:5173/admin/communities (nhóm 'Cộng đồng', cần quyền community.manage)
2. Đọc nội dung trang
3. Bấm 'Về tổng quan'
4. Gõ thẳng http://localhost:5173/admin/system/admins</t>
        </is>
      </c>
      <c r="K9" s="15" t="inlineStr">
        <is>
          <t>/admin/communities</t>
        </is>
      </c>
      <c r="L9" s="15" t="inlineStr">
        <is>
          <t>Khung admin (sidebar + topbar) vẫn hiện; vùng nội dung có biểu tượng khóa, tiêu đề 'Không đủ quyền', mô tả 'Vai trò Tài chính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9" s="15" t="inlineStr"/>
      <c r="N9" s="18" t="inlineStr">
        <is>
          <t>Chưa test</t>
        </is>
      </c>
      <c r="O9" s="15" t="inlineStr"/>
      <c r="P9" s="15" t="inlineStr"/>
      <c r="Q9" s="18" t="inlineStr">
        <is>
          <t>Chưa test</t>
        </is>
      </c>
      <c r="R9" s="15" t="inlineStr"/>
    </row>
    <row r="10" ht="60" customHeight="1">
      <c r="A10" s="14" t="inlineStr">
        <is>
          <t>TC-ADM3-009</t>
        </is>
      </c>
      <c r="B10" s="15" t="inlineStr">
        <is>
          <t>Admin Console (đợt 3: Phân tích, Hỗ trợ, Hệ thống)</t>
        </is>
      </c>
      <c r="C10" s="15" t="inlineStr">
        <is>
          <t>Khung admin theo quyền (UI)</t>
        </is>
      </c>
      <c r="D10" s="15" t="inlineStr">
        <is>
          <t>Content Reviewer gõ thẳng URL trang không có quyền hiển thị 'Không đủ quyền' trong khung admin</t>
        </is>
      </c>
      <c r="E10" s="15" t="inlineStr">
        <is>
          <t>Bảo mật</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Đăng nhập tài khoản đã gán vai trò Content Reviewer (xem case Sidebar Content Reviewer). Case làm thay đổi dữ liệu seed (MUTATE) - khôi phục bằng npm run db:reset (db:seed là idempotent chỉ-tạo nên KHÔNG hoàn tác thao tác admin); hoặc chạy trên bản ghi do chính case tạo ra.</t>
        </is>
      </c>
      <c r="J10" s="15" t="inlineStr">
        <is>
          <t>1. Gõ thẳng http://localhost:5173/admin/communities (nhóm 'Cộng đồng', cần quyền community.manage)
2. Đọc nội dung trang
3. Bấm 'Về tổng quan'
4. Gõ thẳng http://localhost:5173/admin/system/admins</t>
        </is>
      </c>
      <c r="K10" s="15" t="inlineStr">
        <is>
          <t>/admin/communities</t>
        </is>
      </c>
      <c r="L10" s="15" t="inlineStr">
        <is>
          <t>Khung admin (sidebar + topbar) vẫn hiện; vùng nội dung có biểu tượng khóa, tiêu đề 'Không đủ quyền', mô tả 'Vai trò Content Reviewer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10" s="15" t="inlineStr"/>
      <c r="N10" s="18" t="inlineStr">
        <is>
          <t>Chưa test</t>
        </is>
      </c>
      <c r="O10" s="15" t="inlineStr"/>
      <c r="P10" s="15" t="inlineStr"/>
      <c r="Q10" s="18" t="inlineStr">
        <is>
          <t>Chưa test</t>
        </is>
      </c>
      <c r="R10" s="15" t="inlineStr"/>
    </row>
    <row r="11" ht="60" customHeight="1">
      <c r="A11" s="14" t="inlineStr">
        <is>
          <t>TC-ADM3-010</t>
        </is>
      </c>
      <c r="B11" s="15" t="inlineStr">
        <is>
          <t>Admin Console (đợt 3: Phân tích, Hỗ trợ, Hệ thống)</t>
        </is>
      </c>
      <c r="C11" s="15" t="inlineStr">
        <is>
          <t>Khung admin theo quyền (UI)</t>
        </is>
      </c>
      <c r="D11" s="15" t="inlineStr">
        <is>
          <t>Thao tác nhanh và ô tìm kiếm chung ở Tổng quan chỉ hiện mục mà vai trò có quyền</t>
        </is>
      </c>
      <c r="E11" s="15" t="inlineStr">
        <is>
          <t>Giao diện</t>
        </is>
      </c>
      <c r="F11" s="20" t="inlineStr">
        <is>
          <t>Trung bình</t>
        </is>
      </c>
      <c r="G11" s="17" t="inlineStr">
        <is>
          <t>Đã hoàn thiện</t>
        </is>
      </c>
      <c r="H11" s="20" t="inlineStr">
        <is>
          <t>Một phần</t>
        </is>
      </c>
      <c r="I11" s="15" t="inlineStr">
        <is>
          <t>DB sạch sau npm run db:reset (có seed/admin-batch3.ts, chạy sau seed admin đợt 1-2; mật khẩu mọi tài khoản seed Passw0rd!x; xem sheet 'Tài khoản &amp; dữ liệu test' mục A5-A6). Đăng nhập finance@sofinhub.test / Passw0rd!x.</t>
        </is>
      </c>
      <c r="J11" s="15" t="inlineStr">
        <is>
          <t>1. Mở /admin
2. Xem khối 'Thao tác nhanh'
3. Gõ từ khóa vào ô tìm kiếm chung trên Topbar (vd 'sarah')
4. Mở Network, đối chiếu các yêu cầu /api/admin/* được gửi</t>
        </is>
      </c>
      <c r="K11" s="15" t="inlineStr">
        <is>
          <t>finance@sofinhub.test</t>
        </is>
      </c>
      <c r="L11"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11" s="15" t="inlineStr"/>
      <c r="N11" s="18" t="inlineStr">
        <is>
          <t>Chưa test</t>
        </is>
      </c>
      <c r="O11" s="15" t="inlineStr"/>
      <c r="P11" s="15" t="inlineStr"/>
      <c r="Q11" s="18" t="inlineStr">
        <is>
          <t>Chưa test</t>
        </is>
      </c>
      <c r="R11" s="15" t="inlineStr"/>
    </row>
    <row r="12" ht="45" customHeight="1">
      <c r="A12" s="14" t="inlineStr">
        <is>
          <t>TC-ADM3-011</t>
        </is>
      </c>
      <c r="B12" s="15" t="inlineStr">
        <is>
          <t>Admin Console (đợt 3: Phân tích, Hỗ trợ, Hệ thống)</t>
        </is>
      </c>
      <c r="C12" s="15" t="inlineStr">
        <is>
          <t>Khung admin theo quyền (UI)</t>
        </is>
      </c>
      <c r="D12" s="15" t="inlineStr">
        <is>
          <t>Topbar hiển thị tên vai trò theo adminRole từ GET /admin/me</t>
        </is>
      </c>
      <c r="E12" s="15" t="inlineStr">
        <is>
          <t>Giao diện</t>
        </is>
      </c>
      <c r="F12" s="17" t="inlineStr">
        <is>
          <t>Thấp</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Đăng nhập support@sofinhub.test / Passw0rd!x.</t>
        </is>
      </c>
      <c r="J12" s="15" t="inlineStr">
        <is>
          <t>1. Mở /admin
2. Bấm vào khu vực tài khoản ở Topbar
3. Mở Network xem GET /api/admin/me</t>
        </is>
      </c>
      <c r="K12" s="15" t="inlineStr">
        <is>
          <t>support@sofinhub.test</t>
        </is>
      </c>
      <c r="L12" s="15" t="inlineStr">
        <is>
          <t>Topbar hiện tên 'Ryan Cho' kèm vai trò 'Hỗ trợ' (nhãn FE; BE trả tên 'Support'). /admin/me: role='platform_admin', adminRole={key:'support',name:'Support'}, permissions gồm support.manage và KHÔNG có system.flags, source='staff'.</t>
        </is>
      </c>
      <c r="M12" s="15" t="inlineStr"/>
      <c r="N12" s="18" t="inlineStr">
        <is>
          <t>Chưa test</t>
        </is>
      </c>
      <c r="O12" s="15" t="inlineStr"/>
      <c r="P12" s="15" t="inlineStr"/>
      <c r="Q12" s="18" t="inlineStr">
        <is>
          <t>Chưa test</t>
        </is>
      </c>
      <c r="R12" s="15" t="inlineStr"/>
    </row>
    <row r="13" ht="30" customHeight="1">
      <c r="A13" s="14" t="inlineStr">
        <is>
          <t>TC-ADM3-012</t>
        </is>
      </c>
      <c r="B13" s="15" t="inlineStr">
        <is>
          <t>Admin Console (đợt 3: Phân tích, Hỗ trợ, Hệ thống)</t>
        </is>
      </c>
      <c r="C13" s="15" t="inlineStr">
        <is>
          <t>Khung admin theo quyền (UI)</t>
        </is>
      </c>
      <c r="D13" s="15" t="inlineStr">
        <is>
          <t>GET /admin/me: Super Admin env có đủ 16 khóa quyền và source=env</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3" s="15" t="inlineStr">
        <is>
          <t>1. GET /api/admin/me bằng token admin@</t>
        </is>
      </c>
      <c r="K13" s="15" t="inlineStr">
        <is>
          <t>admin@sofinhub.test</t>
        </is>
      </c>
      <c r="L13"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3" s="15" t="inlineStr"/>
      <c r="N13" s="18" t="inlineStr">
        <is>
          <t>Chưa test</t>
        </is>
      </c>
      <c r="O13" s="15" t="inlineStr"/>
      <c r="P13" s="15" t="inlineStr"/>
      <c r="Q13" s="18" t="inlineStr">
        <is>
          <t>Chưa test</t>
        </is>
      </c>
      <c r="R13" s="15" t="inlineStr"/>
    </row>
    <row r="14" ht="30" customHeight="1">
      <c r="A14" s="14" t="inlineStr">
        <is>
          <t>TC-ADM3-013</t>
        </is>
      </c>
      <c r="B14" s="15" t="inlineStr">
        <is>
          <t>Admin Console (đợt 3: Phân tích, Hỗ trợ, Hệ thống)</t>
        </is>
      </c>
      <c r="C14" s="15" t="inlineStr">
        <is>
          <t>Khung admin theo quyền (UI)</t>
        </is>
      </c>
      <c r="D14" s="15" t="inlineStr">
        <is>
          <t>GET /admin/me của Moderator trả đúng tập quyền theo ma trận</t>
        </is>
      </c>
      <c r="E14" s="15" t="inlineStr">
        <is>
          <t>Chức năng</t>
        </is>
      </c>
      <c r="F14" s="16" t="inlineStr">
        <is>
          <t>Cao</t>
        </is>
      </c>
      <c r="G14" s="17" t="inlineStr">
        <is>
          <t>Đã hoàn thiện</t>
        </is>
      </c>
      <c r="H14" s="17" t="inlineStr">
        <is>
          <t>Có</t>
        </is>
      </c>
      <c r="I14"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4" s="15" t="inlineStr">
        <is>
          <t>1. GET /api/admin/me</t>
        </is>
      </c>
      <c r="K14" s="15" t="inlineStr">
        <is>
          <t>moderator@sofinhub.test</t>
        </is>
      </c>
      <c r="L14" s="15" t="inlineStr">
        <is>
          <t>200 adminRole.key='moderator', source='staff', permissions = đúng 7 khóa: dashboard.view, community.manage, report.resolve, user.ban, users.view, content.manage, analytics.view; role luôn là 'platform_admin' (tương thích FE cũ).</t>
        </is>
      </c>
      <c r="M14" s="15" t="inlineStr"/>
      <c r="N14" s="18" t="inlineStr">
        <is>
          <t>Chưa test</t>
        </is>
      </c>
      <c r="O14" s="15" t="inlineStr"/>
      <c r="P14" s="15" t="inlineStr"/>
      <c r="Q14" s="18" t="inlineStr">
        <is>
          <t>Chưa test</t>
        </is>
      </c>
      <c r="R14" s="15" t="inlineStr"/>
    </row>
    <row r="15" ht="30" customHeight="1">
      <c r="A15" s="14" t="inlineStr">
        <is>
          <t>TC-ADM3-014</t>
        </is>
      </c>
      <c r="B15" s="15" t="inlineStr">
        <is>
          <t>Admin Console (đợt 3: Phân tích, Hỗ trợ, Hệ thống)</t>
        </is>
      </c>
      <c r="C15" s="15" t="inlineStr">
        <is>
          <t>Khung admin theo quyền (UI)</t>
        </is>
      </c>
      <c r="D15" s="15" t="inlineStr">
        <is>
          <t>GET /admin/me của Support trả đúng tập quyền theo ma trận</t>
        </is>
      </c>
      <c r="E15" s="15" t="inlineStr">
        <is>
          <t>Chức năng</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5" s="15" t="inlineStr">
        <is>
          <t>1. GET /api/admin/me</t>
        </is>
      </c>
      <c r="K15" s="15" t="inlineStr">
        <is>
          <t>support@sofinhub.test</t>
        </is>
      </c>
      <c r="L15" s="15" t="inlineStr">
        <is>
          <t>200 adminRole.key='support', source='staff', permissions = đúng 6 khóa: dashboard.view, report.resolve, payment.refund, users.view, payment.view, support.manage; role luôn là 'platform_admin' (tương thích FE cũ).</t>
        </is>
      </c>
      <c r="M15" s="15" t="inlineStr"/>
      <c r="N15" s="18" t="inlineStr">
        <is>
          <t>Chưa test</t>
        </is>
      </c>
      <c r="O15" s="15" t="inlineStr"/>
      <c r="P15" s="15" t="inlineStr"/>
      <c r="Q15" s="18" t="inlineStr">
        <is>
          <t>Chưa test</t>
        </is>
      </c>
      <c r="R15" s="15" t="inlineStr"/>
    </row>
    <row r="16" ht="30" customHeight="1">
      <c r="A16" s="14" t="inlineStr">
        <is>
          <t>TC-ADM3-015</t>
        </is>
      </c>
      <c r="B16" s="15" t="inlineStr">
        <is>
          <t>Admin Console (đợt 3: Phân tích, Hỗ trợ, Hệ thống)</t>
        </is>
      </c>
      <c r="C16" s="15" t="inlineStr">
        <is>
          <t>Khung admin theo quyền (UI)</t>
        </is>
      </c>
      <c r="D16" s="15" t="inlineStr">
        <is>
          <t>GET /admin/me của Finance trả đúng tập quyền theo ma trận</t>
        </is>
      </c>
      <c r="E16" s="15" t="inlineStr">
        <is>
          <t>Chức năng</t>
        </is>
      </c>
      <c r="F16" s="16" t="inlineStr">
        <is>
          <t>Cao</t>
        </is>
      </c>
      <c r="G16" s="17" t="inlineStr">
        <is>
          <t>Đã hoàn thiện</t>
        </is>
      </c>
      <c r="H16" s="17" t="inlineStr">
        <is>
          <t>Có</t>
        </is>
      </c>
      <c r="I16"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6" s="15" t="inlineStr">
        <is>
          <t>1. GET /api/admin/me</t>
        </is>
      </c>
      <c r="K16" s="15" t="inlineStr">
        <is>
          <t>finance@sofinhub.test</t>
        </is>
      </c>
      <c r="L16" s="15" t="inlineStr">
        <is>
          <t>200 adminRole.key='finance', source='staff', permissions = đúng 6 khóa: dashboard.view, payment.refund, payout.approve, payment.view, payment.manage, analytics.view; role luôn là 'platform_admin' (tương thích FE cũ).</t>
        </is>
      </c>
      <c r="M16" s="15" t="inlineStr"/>
      <c r="N16" s="18" t="inlineStr">
        <is>
          <t>Chưa test</t>
        </is>
      </c>
      <c r="O16" s="15" t="inlineStr"/>
      <c r="P16" s="15" t="inlineStr"/>
      <c r="Q16" s="18" t="inlineStr">
        <is>
          <t>Chưa test</t>
        </is>
      </c>
      <c r="R16" s="15" t="inlineStr"/>
    </row>
    <row r="17" ht="45" customHeight="1">
      <c r="A17" s="14" t="inlineStr">
        <is>
          <t>TC-ADM3-016</t>
        </is>
      </c>
      <c r="B17" s="15" t="inlineStr">
        <is>
          <t>Admin Console (đợt 3: Phân tích, Hỗ trợ, Hệ thống)</t>
        </is>
      </c>
      <c r="C17" s="15" t="inlineStr">
        <is>
          <t>Khung admin theo quyền (UI)</t>
        </is>
      </c>
      <c r="D17" s="15" t="inlineStr">
        <is>
          <t>Nhân viên bị tạm khóa (nina@) đăng nhập được vào trang web nhưng /admin trả 403 'đã bị tạm khóa'</t>
        </is>
      </c>
      <c r="E17" s="15" t="inlineStr">
        <is>
          <t>Bảo mật</t>
        </is>
      </c>
      <c r="F17" s="16" t="inlineStr">
        <is>
          <t>Cao</t>
        </is>
      </c>
      <c r="G17" s="17" t="inlineStr">
        <is>
          <t>Đã hoàn thiện</t>
        </is>
      </c>
      <c r="H17" s="20" t="inlineStr">
        <is>
          <t>Một phần</t>
        </is>
      </c>
      <c r="I17"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7" s="15" t="inlineStr">
        <is>
          <t>1. Đăng nhập nina@sofinhub.test / Passw0rd!x ở trang chủ
2. Mở http://localhost:5173/admin
3. GET /api/admin/me bằng token của nina@</t>
        </is>
      </c>
      <c r="K17" s="15" t="inlineStr">
        <is>
          <t>nina@sofinhub.test</t>
        </is>
      </c>
      <c r="L17"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7" s="15" t="inlineStr"/>
      <c r="N17" s="18" t="inlineStr">
        <is>
          <t>Chưa test</t>
        </is>
      </c>
      <c r="O17" s="15" t="inlineStr"/>
      <c r="P17" s="15" t="inlineStr"/>
      <c r="Q17" s="18" t="inlineStr">
        <is>
          <t>Chưa test</t>
        </is>
      </c>
      <c r="R17" s="15" t="inlineStr"/>
    </row>
    <row r="18" ht="45" customHeight="1">
      <c r="A18" s="14" t="inlineStr">
        <is>
          <t>TC-ADM3-017</t>
        </is>
      </c>
      <c r="B18" s="15" t="inlineStr">
        <is>
          <t>Admin Console (đợt 3: Phân tích, Hỗ trợ, Hệ thống)</t>
        </is>
      </c>
      <c r="C18" s="15" t="inlineStr">
        <is>
          <t>Khung admin theo quyền (UI)</t>
        </is>
      </c>
      <c r="D18" s="15" t="inlineStr">
        <is>
          <t>Người dùng thường (member1@) và chủ cộng đồng bị chặn khỏi /admin</t>
        </is>
      </c>
      <c r="E18" s="15" t="inlineStr">
        <is>
          <t>Bảo mật</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member1@sofinhub.test / Passw0rd!x.</t>
        </is>
      </c>
      <c r="J18" s="15" t="inlineStr">
        <is>
          <t>1. Mở http://localhost:5173/admin
2. Mở /admin/system/flags
3. Lặp lại với owner@sofinhub.test và cadmin@sofinhub.test</t>
        </is>
      </c>
      <c r="K18" s="15" t="inlineStr">
        <is>
          <t>member1 / owner / cadmin</t>
        </is>
      </c>
      <c r="L18" s="15" t="inlineStr">
        <is>
          <t>Guard chặn: GET /admin/me -&gt; 403 FORBIDDEN 'Chỉ nhân viên admin mới có quyền này'; không thấy khung hay dữ liệu admin. Chủ/quản trị cộng đồng KHÁC nhân viên nền tảng.</t>
        </is>
      </c>
      <c r="M18" s="15" t="inlineStr"/>
      <c r="N18" s="18" t="inlineStr">
        <is>
          <t>Chưa test</t>
        </is>
      </c>
      <c r="O18" s="15" t="inlineStr"/>
      <c r="P18" s="15" t="inlineStr"/>
      <c r="Q18" s="18" t="inlineStr">
        <is>
          <t>Chưa test</t>
        </is>
      </c>
      <c r="R18" s="15" t="inlineStr"/>
    </row>
    <row r="19" ht="30" customHeight="1">
      <c r="A19" s="14" t="inlineStr">
        <is>
          <t>TC-ADM3-018</t>
        </is>
      </c>
      <c r="B19" s="15" t="inlineStr">
        <is>
          <t>Admin Console (đợt 3: Phân tích, Hỗ trợ, Hệ thống)</t>
        </is>
      </c>
      <c r="C19" s="15" t="inlineStr">
        <is>
          <t>Khung admin theo quyền (UI)</t>
        </is>
      </c>
      <c r="D19" s="15" t="inlineStr">
        <is>
          <t>Khách chưa đăng nhập mở /admin/analytics/users bị chuyển về /login</t>
        </is>
      </c>
      <c r="E19" s="15" t="inlineStr">
        <is>
          <t>Bảo mật</t>
        </is>
      </c>
      <c r="F19" s="16" t="inlineStr">
        <is>
          <t>Cao</t>
        </is>
      </c>
      <c r="G19" s="17" t="inlineStr">
        <is>
          <t>Đã hoàn thiện</t>
        </is>
      </c>
      <c r="H19" s="17" t="inlineStr">
        <is>
          <t>Có</t>
        </is>
      </c>
      <c r="I19" s="15" t="inlineStr">
        <is>
          <t>Chưa đăng nhập (xóa localStorage/cookie).</t>
        </is>
      </c>
      <c r="J19" s="15" t="inlineStr">
        <is>
          <t>1. Mở http://localhost:5173/admin/analytics/users</t>
        </is>
      </c>
      <c r="K19" s="15" t="inlineStr">
        <is>
          <t>-</t>
        </is>
      </c>
      <c r="L19" s="15" t="inlineStr">
        <is>
          <t>Chuyển tới /login (hoặc yêu cầu đăng nhập); không thấy số liệu; GET /api/admin/analytics/users không token -&gt; 401 UNAUTHORIZED.</t>
        </is>
      </c>
      <c r="M19" s="15" t="inlineStr"/>
      <c r="N19" s="18" t="inlineStr">
        <is>
          <t>Chưa test</t>
        </is>
      </c>
      <c r="O19" s="15" t="inlineStr"/>
      <c r="P19" s="15" t="inlineStr"/>
      <c r="Q19" s="18" t="inlineStr">
        <is>
          <t>Chưa test</t>
        </is>
      </c>
      <c r="R19" s="15" t="inlineStr"/>
    </row>
    <row r="20" ht="30" customHeight="1">
      <c r="A20" s="14" t="inlineStr">
        <is>
          <t>TC-ADM3-019</t>
        </is>
      </c>
      <c r="B20" s="15" t="inlineStr">
        <is>
          <t>Admin Console (đợt 3: Phân tích, Hỗ trợ, Hệ thống)</t>
        </is>
      </c>
      <c r="C20" s="15" t="inlineStr">
        <is>
          <t>Khung admin theo quyền (UI)</t>
        </is>
      </c>
      <c r="D20" s="15" t="inlineStr">
        <is>
          <t>Không còn nhãn 'Sắp có': đường dẫn admin lạ quay về /admin</t>
        </is>
      </c>
      <c r="E20" s="15" t="inlineStr">
        <is>
          <t>Giao diện</t>
        </is>
      </c>
      <c r="F20" s="17" t="inlineStr">
        <is>
          <t>Thấp</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20" s="15" t="inlineStr">
        <is>
          <t>1. Gõ http://localhost:5173/admin/khong-co-trang
2. Quan sát sidebar toàn bộ</t>
        </is>
      </c>
      <c r="K20" s="15" t="inlineStr">
        <is>
          <t>/admin/khong-co-trang</t>
        </is>
      </c>
      <c r="L20" s="15" t="inlineStr">
        <is>
          <t>Chuyển về /admin (Tổng quan); sidebar không có mục nào ghi 'Sắp có'; mọi mục sidebar bấm được.</t>
        </is>
      </c>
      <c r="M20" s="15" t="inlineStr"/>
      <c r="N20" s="18" t="inlineStr">
        <is>
          <t>Chưa test</t>
        </is>
      </c>
      <c r="O20" s="15" t="inlineStr"/>
      <c r="P20" s="15" t="inlineStr"/>
      <c r="Q20" s="18" t="inlineStr">
        <is>
          <t>Chưa test</t>
        </is>
      </c>
      <c r="R20" s="15" t="inlineStr"/>
    </row>
    <row r="21" ht="45" customHeight="1">
      <c r="A21" s="14" t="inlineStr">
        <is>
          <t>TC-ADM3-020</t>
        </is>
      </c>
      <c r="B21" s="15" t="inlineStr">
        <is>
          <t>Admin Console (đợt 3: Phân tích, Hỗ trợ, Hệ thống)</t>
        </is>
      </c>
      <c r="C21" s="15" t="inlineStr">
        <is>
          <t>Khung admin theo quyền (UI)</t>
        </is>
      </c>
      <c r="D21" s="15" t="inlineStr">
        <is>
          <t>Mở trực tiếp /admin/analytics/users hiển thị trang 'Phân tích · Người dùng' (tải lazy, mục sidebar được tô sáng)</t>
        </is>
      </c>
      <c r="E21" s="15" t="inlineStr">
        <is>
          <t>Chức năng</t>
        </is>
      </c>
      <c r="F21" s="16" t="inlineStr">
        <is>
          <t>Cao</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21" s="15" t="inlineStr">
        <is>
          <t>1. Gõ thẳng http://localhost:5173/admin/analytics/users
2. Chờ trang tải (route admin tải lazy)
3. Mở DevTools &gt; Console</t>
        </is>
      </c>
      <c r="K21" s="15" t="inlineStr">
        <is>
          <t>/admin/analytics/users</t>
        </is>
      </c>
      <c r="L21"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21" s="15" t="inlineStr"/>
      <c r="N21" s="18" t="inlineStr">
        <is>
          <t>Chưa test</t>
        </is>
      </c>
      <c r="O21" s="15" t="inlineStr"/>
      <c r="P21" s="15" t="inlineStr"/>
      <c r="Q21" s="18" t="inlineStr">
        <is>
          <t>Chưa test</t>
        </is>
      </c>
      <c r="R21" s="15" t="inlineStr"/>
    </row>
    <row r="22" ht="45" customHeight="1">
      <c r="A22" s="14" t="inlineStr">
        <is>
          <t>TC-ADM3-021</t>
        </is>
      </c>
      <c r="B22" s="15" t="inlineStr">
        <is>
          <t>Admin Console (đợt 3: Phân tích, Hỗ trợ, Hệ thống)</t>
        </is>
      </c>
      <c r="C22" s="15" t="inlineStr">
        <is>
          <t>Khung admin theo quyền (UI)</t>
        </is>
      </c>
      <c r="D22" s="15" t="inlineStr">
        <is>
          <t>Mở trực tiếp /admin/analytics/communities hiển thị trang 'Phân tích · Cộng đồng' (tải lazy, mục sidebar được tô sáng)</t>
        </is>
      </c>
      <c r="E22" s="15" t="inlineStr">
        <is>
          <t>Chức năng</t>
        </is>
      </c>
      <c r="F22" s="16" t="inlineStr">
        <is>
          <t>Cao</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22" s="15" t="inlineStr">
        <is>
          <t>1. Gõ thẳng http://localhost:5173/admin/analytics/communities
2. Chờ trang tải (route admin tải lazy)
3. Mở DevTools &gt; Console</t>
        </is>
      </c>
      <c r="K22" s="15" t="inlineStr">
        <is>
          <t>/admin/analytics/communities</t>
        </is>
      </c>
      <c r="L22" s="15" t="inlineStr">
        <is>
          <t>Hiện khung admin với tiêu đề chứa 'Phân tích · Cộng đồng', mục sidebar tương ứng được tô sáng, breadcrumb đúng; không màn trắng, không lỗi console; có trạng thái 'Đang tải…' rồi dữ liệu (hoặc 'Không có ... ' nếu rỗng).</t>
        </is>
      </c>
      <c r="M22" s="15" t="inlineStr"/>
      <c r="N22" s="18" t="inlineStr">
        <is>
          <t>Chưa test</t>
        </is>
      </c>
      <c r="O22" s="15" t="inlineStr"/>
      <c r="P22" s="15" t="inlineStr"/>
      <c r="Q22" s="18" t="inlineStr">
        <is>
          <t>Chưa test</t>
        </is>
      </c>
      <c r="R22" s="15" t="inlineStr"/>
    </row>
    <row r="23" ht="45" customHeight="1">
      <c r="A23" s="14" t="inlineStr">
        <is>
          <t>TC-ADM3-022</t>
        </is>
      </c>
      <c r="B23" s="15" t="inlineStr">
        <is>
          <t>Admin Console (đợt 3: Phân tích, Hỗ trợ, Hệ thống)</t>
        </is>
      </c>
      <c r="C23" s="15" t="inlineStr">
        <is>
          <t>Khung admin theo quyền (UI)</t>
        </is>
      </c>
      <c r="D23" s="15" t="inlineStr">
        <is>
          <t>Mở trực tiếp /admin/analytics/engagement hiển thị trang 'Phân tích · Tương tác' (tải lazy, mục sidebar được tô sáng)</t>
        </is>
      </c>
      <c r="E23" s="15" t="inlineStr">
        <is>
          <t>Chức năng</t>
        </is>
      </c>
      <c r="F23" s="16" t="inlineStr">
        <is>
          <t>Cao</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23" s="15" t="inlineStr">
        <is>
          <t>1. Gõ thẳng http://localhost:5173/admin/analytics/engagement
2. Chờ trang tải (route admin tải lazy)
3. Mở DevTools &gt; Console</t>
        </is>
      </c>
      <c r="K23" s="15" t="inlineStr">
        <is>
          <t>/admin/analytics/engagement</t>
        </is>
      </c>
      <c r="L23" s="15" t="inlineStr">
        <is>
          <t>Hiện khung admin với tiêu đề chứa 'Phân tích · Tương tác', mục sidebar tương ứng được tô sáng, breadcrumb đúng; không màn trắng, không lỗi console; có trạng thái 'Đang tải…' rồi dữ liệu (hoặc 'Không có ... ' nếu rỗng).</t>
        </is>
      </c>
      <c r="M23" s="15" t="inlineStr"/>
      <c r="N23" s="18" t="inlineStr">
        <is>
          <t>Chưa test</t>
        </is>
      </c>
      <c r="O23" s="15" t="inlineStr"/>
      <c r="P23" s="15" t="inlineStr"/>
      <c r="Q23" s="18" t="inlineStr">
        <is>
          <t>Chưa test</t>
        </is>
      </c>
      <c r="R23" s="15" t="inlineStr"/>
    </row>
    <row r="24" ht="45" customHeight="1">
      <c r="A24" s="14" t="inlineStr">
        <is>
          <t>TC-ADM3-023</t>
        </is>
      </c>
      <c r="B24" s="15" t="inlineStr">
        <is>
          <t>Admin Console (đợt 3: Phân tích, Hỗ trợ, Hệ thống)</t>
        </is>
      </c>
      <c r="C24" s="15" t="inlineStr">
        <is>
          <t>Khung admin theo quyền (UI)</t>
        </is>
      </c>
      <c r="D24" s="15" t="inlineStr">
        <is>
          <t>Mở trực tiếp /admin/analytics/retention hiển thị trang 'Phân tích · Giữ chân' (tải lazy, mục sidebar được tô sáng)</t>
        </is>
      </c>
      <c r="E24" s="15" t="inlineStr">
        <is>
          <t>Chức năng</t>
        </is>
      </c>
      <c r="F24" s="16" t="inlineStr">
        <is>
          <t>Cao</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24" s="15" t="inlineStr">
        <is>
          <t>1. Gõ thẳng http://localhost:5173/admin/analytics/retention
2. Chờ trang tải (route admin tải lazy)
3. Mở DevTools &gt; Console</t>
        </is>
      </c>
      <c r="K24" s="15" t="inlineStr">
        <is>
          <t>/admin/analytics/retention</t>
        </is>
      </c>
      <c r="L24" s="15" t="inlineStr">
        <is>
          <t>Hiện khung admin với tiêu đề chứa 'Phân tích · Giữ chân', mục sidebar tương ứng được tô sáng, breadcrumb đúng; không màn trắng, không lỗi console; có trạng thái 'Đang tải…' rồi dữ liệu (hoặc 'Không có ... ' nếu rỗng).</t>
        </is>
      </c>
      <c r="M24" s="15" t="inlineStr"/>
      <c r="N24" s="18" t="inlineStr">
        <is>
          <t>Chưa test</t>
        </is>
      </c>
      <c r="O24" s="15" t="inlineStr"/>
      <c r="P24" s="15" t="inlineStr"/>
      <c r="Q24" s="18" t="inlineStr">
        <is>
          <t>Chưa test</t>
        </is>
      </c>
      <c r="R24" s="15" t="inlineStr"/>
    </row>
    <row r="25" ht="45" customHeight="1">
      <c r="A25" s="14" t="inlineStr">
        <is>
          <t>TC-ADM3-024</t>
        </is>
      </c>
      <c r="B25" s="15" t="inlineStr">
        <is>
          <t>Admin Console (đợt 3: Phân tích, Hỗ trợ, Hệ thống)</t>
        </is>
      </c>
      <c r="C25" s="15" t="inlineStr">
        <is>
          <t>Khung admin theo quyền (UI)</t>
        </is>
      </c>
      <c r="D25" s="15" t="inlineStr">
        <is>
          <t>Mở trực tiếp /admin/analytics/revenue hiển thị trang 'Phân tích · Doanh thu' (tải lazy, mục sidebar được tô sáng)</t>
        </is>
      </c>
      <c r="E25" s="15" t="inlineStr">
        <is>
          <t>Chức năng</t>
        </is>
      </c>
      <c r="F25" s="16" t="inlineStr">
        <is>
          <t>Cao</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25" s="15" t="inlineStr">
        <is>
          <t>1. Gõ thẳng http://localhost:5173/admin/analytics/revenue
2. Chờ trang tải (route admin tải lazy)
3. Mở DevTools &gt; Console</t>
        </is>
      </c>
      <c r="K25" s="15" t="inlineStr">
        <is>
          <t>/admin/analytics/revenue</t>
        </is>
      </c>
      <c r="L25" s="15" t="inlineStr">
        <is>
          <t>Hiện khung admin với tiêu đề chứa 'Phân tích · Doanh thu', mục sidebar tương ứng được tô sáng, breadcrumb đúng; không màn trắng, không lỗi console; có trạng thái 'Đang tải…' rồi dữ liệu (hoặc 'Không có ... ' nếu rỗng).</t>
        </is>
      </c>
      <c r="M25" s="15" t="inlineStr"/>
      <c r="N25" s="18" t="inlineStr">
        <is>
          <t>Chưa test</t>
        </is>
      </c>
      <c r="O25" s="15" t="inlineStr"/>
      <c r="P25" s="15" t="inlineStr"/>
      <c r="Q25" s="18" t="inlineStr">
        <is>
          <t>Chưa test</t>
        </is>
      </c>
      <c r="R25" s="15" t="inlineStr"/>
    </row>
    <row r="26" ht="45" customHeight="1">
      <c r="A26" s="14" t="inlineStr">
        <is>
          <t>TC-ADM3-025</t>
        </is>
      </c>
      <c r="B26" s="15" t="inlineStr">
        <is>
          <t>Admin Console (đợt 3: Phân tích, Hỗ trợ, Hệ thống)</t>
        </is>
      </c>
      <c r="C26" s="15" t="inlineStr">
        <is>
          <t>Khung admin theo quyền (UI)</t>
        </is>
      </c>
      <c r="D26" s="15" t="inlineStr">
        <is>
          <t>Mở trực tiếp /admin/analytics/conversion hiển thị trang 'Phân tích · Chuyển đổi' (tải lazy, mục sidebar được tô sáng)</t>
        </is>
      </c>
      <c r="E26" s="15" t="inlineStr">
        <is>
          <t>Chức năng</t>
        </is>
      </c>
      <c r="F26" s="16" t="inlineStr">
        <is>
          <t>Cao</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26" s="15" t="inlineStr">
        <is>
          <t>1. Gõ thẳng http://localhost:5173/admin/analytics/conversion
2. Chờ trang tải (route admin tải lazy)
3. Mở DevTools &gt; Console</t>
        </is>
      </c>
      <c r="K26" s="15" t="inlineStr">
        <is>
          <t>/admin/analytics/conversion</t>
        </is>
      </c>
      <c r="L26" s="15" t="inlineStr">
        <is>
          <t>Hiện khung admin với tiêu đề chứa 'Phân tích · Chuyển đổi', mục sidebar tương ứng được tô sáng, breadcrumb đúng; không màn trắng, không lỗi console; có trạng thái 'Đang tải…' rồi dữ liệu (hoặc 'Không có ... ' nếu rỗng).</t>
        </is>
      </c>
      <c r="M26" s="15" t="inlineStr"/>
      <c r="N26" s="18" t="inlineStr">
        <is>
          <t>Chưa test</t>
        </is>
      </c>
      <c r="O26" s="15" t="inlineStr"/>
      <c r="P26" s="15" t="inlineStr"/>
      <c r="Q26" s="18" t="inlineStr">
        <is>
          <t>Chưa test</t>
        </is>
      </c>
      <c r="R26" s="15" t="inlineStr"/>
    </row>
    <row r="27" ht="45" customHeight="1">
      <c r="A27" s="14" t="inlineStr">
        <is>
          <t>TC-ADM3-026</t>
        </is>
      </c>
      <c r="B27" s="15" t="inlineStr">
        <is>
          <t>Admin Console (đợt 3: Phân tích, Hỗ trợ, Hệ thống)</t>
        </is>
      </c>
      <c r="C27" s="15" t="inlineStr">
        <is>
          <t>Khung admin theo quyền (UI)</t>
        </is>
      </c>
      <c r="D27" s="15" t="inlineStr">
        <is>
          <t>Mở trực tiếp /admin/support/tickets hiển thị trang 'Ticket hỗ trợ' (tải lazy, mục sidebar được tô sáng)</t>
        </is>
      </c>
      <c r="E27" s="15" t="inlineStr">
        <is>
          <t>Chức năng</t>
        </is>
      </c>
      <c r="F27" s="16" t="inlineStr">
        <is>
          <t>Cao</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27" s="15" t="inlineStr">
        <is>
          <t>1. Gõ thẳng http://localhost:5173/admin/support/tickets
2. Chờ trang tải (route admin tải lazy)
3. Mở DevTools &gt; Console</t>
        </is>
      </c>
      <c r="K27" s="15" t="inlineStr">
        <is>
          <t>/admin/support/tickets</t>
        </is>
      </c>
      <c r="L27" s="15" t="inlineStr">
        <is>
          <t>Hiện khung admin với tiêu đề chứa 'Ticket hỗ trợ', mục sidebar tương ứng được tô sáng, breadcrumb đúng; không màn trắng, không lỗi console; có trạng thái 'Đang tải…' rồi dữ liệu (hoặc 'Không có ... ' nếu rỗng).</t>
        </is>
      </c>
      <c r="M27" s="15" t="inlineStr"/>
      <c r="N27" s="18" t="inlineStr">
        <is>
          <t>Chưa test</t>
        </is>
      </c>
      <c r="O27" s="15" t="inlineStr"/>
      <c r="P27" s="15" t="inlineStr"/>
      <c r="Q27" s="18" t="inlineStr">
        <is>
          <t>Chưa test</t>
        </is>
      </c>
      <c r="R27" s="15" t="inlineStr"/>
    </row>
    <row r="28" ht="45" customHeight="1">
      <c r="A28" s="14" t="inlineStr">
        <is>
          <t>TC-ADM3-027</t>
        </is>
      </c>
      <c r="B28" s="15" t="inlineStr">
        <is>
          <t>Admin Console (đợt 3: Phân tích, Hỗ trợ, Hệ thống)</t>
        </is>
      </c>
      <c r="C28" s="15" t="inlineStr">
        <is>
          <t>Khung admin theo quyền (UI)</t>
        </is>
      </c>
      <c r="D28" s="15" t="inlineStr">
        <is>
          <t>Mở trực tiếp /admin/support/user hiển thị trang 'Vấn đề người dùng' (tải lazy, mục sidebar được tô sáng)</t>
        </is>
      </c>
      <c r="E28" s="15" t="inlineStr">
        <is>
          <t>Chức năng</t>
        </is>
      </c>
      <c r="F28" s="16" t="inlineStr">
        <is>
          <t>Cao</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28" s="15" t="inlineStr">
        <is>
          <t>1. Gõ thẳng http://localhost:5173/admin/support/user
2. Chờ trang tải (route admin tải lazy)
3. Mở DevTools &gt; Console</t>
        </is>
      </c>
      <c r="K28" s="15" t="inlineStr">
        <is>
          <t>/admin/support/user</t>
        </is>
      </c>
      <c r="L28" s="15" t="inlineStr">
        <is>
          <t>Hiện khung admin với tiêu đề chứa 'Vấn đề người dùng', mục sidebar tương ứng được tô sáng, breadcrumb đúng; không màn trắng, không lỗi console; có trạng thái 'Đang tải…' rồi dữ liệu (hoặc 'Không có ... ' nếu rỗng).</t>
        </is>
      </c>
      <c r="M28" s="15" t="inlineStr"/>
      <c r="N28" s="18" t="inlineStr">
        <is>
          <t>Chưa test</t>
        </is>
      </c>
      <c r="O28" s="15" t="inlineStr"/>
      <c r="P28" s="15" t="inlineStr"/>
      <c r="Q28" s="18" t="inlineStr">
        <is>
          <t>Chưa test</t>
        </is>
      </c>
      <c r="R28" s="15" t="inlineStr"/>
    </row>
    <row r="29" ht="45" customHeight="1">
      <c r="A29" s="14" t="inlineStr">
        <is>
          <t>TC-ADM3-028</t>
        </is>
      </c>
      <c r="B29" s="15" t="inlineStr">
        <is>
          <t>Admin Console (đợt 3: Phân tích, Hỗ trợ, Hệ thống)</t>
        </is>
      </c>
      <c r="C29" s="15" t="inlineStr">
        <is>
          <t>Khung admin theo quyền (UI)</t>
        </is>
      </c>
      <c r="D29" s="15" t="inlineStr">
        <is>
          <t>Mở trực tiếp /admin/support/creator hiển thị trang 'Vấn đề creator' (tải lazy, mục sidebar được tô sáng)</t>
        </is>
      </c>
      <c r="E29" s="15" t="inlineStr">
        <is>
          <t>Chức năng</t>
        </is>
      </c>
      <c r="F29" s="16" t="inlineStr">
        <is>
          <t>Cao</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29" s="15" t="inlineStr">
        <is>
          <t>1. Gõ thẳng http://localhost:5173/admin/support/creator
2. Chờ trang tải (route admin tải lazy)
3. Mở DevTools &gt; Console</t>
        </is>
      </c>
      <c r="K29" s="15" t="inlineStr">
        <is>
          <t>/admin/support/creator</t>
        </is>
      </c>
      <c r="L29" s="15" t="inlineStr">
        <is>
          <t>Hiện khung admin với tiêu đề chứa 'Vấn đề creator', mục sidebar tương ứng được tô sáng, breadcrumb đúng; không màn trắng, không lỗi console; có trạng thái 'Đang tải…' rồi dữ liệu (hoặc 'Không có ... ' nếu rỗng).</t>
        </is>
      </c>
      <c r="M29" s="15" t="inlineStr"/>
      <c r="N29" s="18" t="inlineStr">
        <is>
          <t>Chưa test</t>
        </is>
      </c>
      <c r="O29" s="15" t="inlineStr"/>
      <c r="P29" s="15" t="inlineStr"/>
      <c r="Q29" s="18" t="inlineStr">
        <is>
          <t>Chưa test</t>
        </is>
      </c>
      <c r="R29" s="15" t="inlineStr"/>
    </row>
    <row r="30" ht="45" customHeight="1">
      <c r="A30" s="14" t="inlineStr">
        <is>
          <t>TC-ADM3-029</t>
        </is>
      </c>
      <c r="B30" s="15" t="inlineStr">
        <is>
          <t>Admin Console (đợt 3: Phân tích, Hỗ trợ, Hệ thống)</t>
        </is>
      </c>
      <c r="C30" s="15" t="inlineStr">
        <is>
          <t>Khung admin theo quyền (UI)</t>
        </is>
      </c>
      <c r="D30" s="15" t="inlineStr">
        <is>
          <t>Mở trực tiếp /admin/support/payment hiển thị trang 'Vấn đề thanh toán' (tải lazy, mục sidebar được tô sáng)</t>
        </is>
      </c>
      <c r="E30" s="15" t="inlineStr">
        <is>
          <t>Chức năng</t>
        </is>
      </c>
      <c r="F30" s="16" t="inlineStr">
        <is>
          <t>Cao</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0" s="15" t="inlineStr">
        <is>
          <t>1. Gõ thẳng http://localhost:5173/admin/support/payment
2. Chờ trang tải (route admin tải lazy)
3. Mở DevTools &gt; Console</t>
        </is>
      </c>
      <c r="K30" s="15" t="inlineStr">
        <is>
          <t>/admin/support/payment</t>
        </is>
      </c>
      <c r="L30" s="15" t="inlineStr">
        <is>
          <t>Hiện khung admin với tiêu đề chứa 'Vấn đề thanh toán', mục sidebar tương ứng được tô sáng, breadcrumb đúng; không màn trắng, không lỗi console; có trạng thái 'Đang tải…' rồi dữ liệu (hoặc 'Không có ... ' nếu rỗng).</t>
        </is>
      </c>
      <c r="M30" s="15" t="inlineStr"/>
      <c r="N30" s="18" t="inlineStr">
        <is>
          <t>Chưa test</t>
        </is>
      </c>
      <c r="O30" s="15" t="inlineStr"/>
      <c r="P30" s="15" t="inlineStr"/>
      <c r="Q30" s="18" t="inlineStr">
        <is>
          <t>Chưa test</t>
        </is>
      </c>
      <c r="R30" s="15" t="inlineStr"/>
    </row>
    <row r="31" ht="45" customHeight="1">
      <c r="A31" s="14" t="inlineStr">
        <is>
          <t>TC-ADM3-030</t>
        </is>
      </c>
      <c r="B31" s="15" t="inlineStr">
        <is>
          <t>Admin Console (đợt 3: Phân tích, Hỗ trợ, Hệ thống)</t>
        </is>
      </c>
      <c r="C31" s="15" t="inlineStr">
        <is>
          <t>Khung admin theo quyền (UI)</t>
        </is>
      </c>
      <c r="D31" s="15" t="inlineStr">
        <is>
          <t>Mở trực tiếp /admin/system/admins hiển thị trang 'Tài khoản quản trị' (tải lazy, mục sidebar được tô sáng)</t>
        </is>
      </c>
      <c r="E31" s="15" t="inlineStr">
        <is>
          <t>Chức năng</t>
        </is>
      </c>
      <c r="F31" s="16" t="inlineStr">
        <is>
          <t>Cao</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1" s="15" t="inlineStr">
        <is>
          <t>1. Gõ thẳng http://localhost:5173/admin/system/admins
2. Chờ trang tải (route admin tải lazy)
3. Mở DevTools &gt; Console</t>
        </is>
      </c>
      <c r="K31" s="15" t="inlineStr">
        <is>
          <t>/admin/system/admins</t>
        </is>
      </c>
      <c r="L31" s="15" t="inlineStr">
        <is>
          <t>Hiện khung admin với tiêu đề chứa 'Tài khoản quản trị', mục sidebar tương ứng được tô sáng, breadcrumb đúng; không màn trắng, không lỗi console; có trạng thái 'Đang tải…' rồi dữ liệu (hoặc 'Không có ... ' nếu rỗng).</t>
        </is>
      </c>
      <c r="M31" s="15" t="inlineStr"/>
      <c r="N31" s="18" t="inlineStr">
        <is>
          <t>Chưa test</t>
        </is>
      </c>
      <c r="O31" s="15" t="inlineStr"/>
      <c r="P31" s="15" t="inlineStr"/>
      <c r="Q31" s="18" t="inlineStr">
        <is>
          <t>Chưa test</t>
        </is>
      </c>
      <c r="R31" s="15" t="inlineStr"/>
    </row>
    <row r="32" ht="45" customHeight="1">
      <c r="A32" s="14" t="inlineStr">
        <is>
          <t>TC-ADM3-031</t>
        </is>
      </c>
      <c r="B32" s="15" t="inlineStr">
        <is>
          <t>Admin Console (đợt 3: Phân tích, Hỗ trợ, Hệ thống)</t>
        </is>
      </c>
      <c r="C32" s="15" t="inlineStr">
        <is>
          <t>Khung admin theo quyền (UI)</t>
        </is>
      </c>
      <c r="D32" s="15" t="inlineStr">
        <is>
          <t>Mở trực tiếp /admin/system/roles hiển thị trang 'Vai trò &amp; Quyền' (tải lazy, mục sidebar được tô sáng)</t>
        </is>
      </c>
      <c r="E32" s="15" t="inlineStr">
        <is>
          <t>Chức năng</t>
        </is>
      </c>
      <c r="F32" s="16" t="inlineStr">
        <is>
          <t>Cao</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 s="15" t="inlineStr">
        <is>
          <t>1. Gõ thẳng http://localhost:5173/admin/system/roles
2. Chờ trang tải (route admin tải lazy)
3. Mở DevTools &gt; Console</t>
        </is>
      </c>
      <c r="K32" s="15" t="inlineStr">
        <is>
          <t>/admin/system/roles</t>
        </is>
      </c>
      <c r="L32" s="15" t="inlineStr">
        <is>
          <t>Hiện khung admin với tiêu đề chứa 'Vai trò &amp; Quyền', mục sidebar tương ứng được tô sáng, breadcrumb đúng; không màn trắng, không lỗi console; có trạng thái 'Đang tải…' rồi dữ liệu (hoặc 'Không có ... ' nếu rỗng).</t>
        </is>
      </c>
      <c r="M32" s="15" t="inlineStr"/>
      <c r="N32" s="18" t="inlineStr">
        <is>
          <t>Chưa test</t>
        </is>
      </c>
      <c r="O32" s="15" t="inlineStr"/>
      <c r="P32" s="15" t="inlineStr"/>
      <c r="Q32" s="18" t="inlineStr">
        <is>
          <t>Chưa test</t>
        </is>
      </c>
      <c r="R32" s="15" t="inlineStr"/>
    </row>
    <row r="33" ht="45" customHeight="1">
      <c r="A33" s="14" t="inlineStr">
        <is>
          <t>TC-ADM3-032</t>
        </is>
      </c>
      <c r="B33" s="15" t="inlineStr">
        <is>
          <t>Admin Console (đợt 3: Phân tích, Hỗ trợ, Hệ thống)</t>
        </is>
      </c>
      <c r="C33" s="15" t="inlineStr">
        <is>
          <t>Khung admin theo quyền (UI)</t>
        </is>
      </c>
      <c r="D33" s="15" t="inlineStr">
        <is>
          <t>Mở trực tiếp /admin/system/categories hiển thị trang 'Danh mục' (tải lazy, mục sidebar được tô sáng)</t>
        </is>
      </c>
      <c r="E33" s="15" t="inlineStr">
        <is>
          <t>Chức năng</t>
        </is>
      </c>
      <c r="F33" s="16" t="inlineStr">
        <is>
          <t>Cao</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3" s="15" t="inlineStr">
        <is>
          <t>1. Gõ thẳng http://localhost:5173/admin/system/categories
2. Chờ trang tải (route admin tải lazy)
3. Mở DevTools &gt; Console</t>
        </is>
      </c>
      <c r="K33" s="15" t="inlineStr">
        <is>
          <t>/admin/system/categories</t>
        </is>
      </c>
      <c r="L33" s="15" t="inlineStr">
        <is>
          <t>Hiện khung admin với tiêu đề chứa 'Danh mục', mục sidebar tương ứng được tô sáng, breadcrumb đúng; không màn trắng, không lỗi console; có trạng thái 'Đang tải…' rồi dữ liệu (hoặc 'Không có ... ' nếu rỗng).</t>
        </is>
      </c>
      <c r="M33" s="15" t="inlineStr"/>
      <c r="N33" s="18" t="inlineStr">
        <is>
          <t>Chưa test</t>
        </is>
      </c>
      <c r="O33" s="15" t="inlineStr"/>
      <c r="P33" s="15" t="inlineStr"/>
      <c r="Q33" s="18" t="inlineStr">
        <is>
          <t>Chưa test</t>
        </is>
      </c>
      <c r="R33" s="15" t="inlineStr"/>
    </row>
    <row r="34" ht="45" customHeight="1">
      <c r="A34" s="14" t="inlineStr">
        <is>
          <t>TC-ADM3-033</t>
        </is>
      </c>
      <c r="B34" s="15" t="inlineStr">
        <is>
          <t>Admin Console (đợt 3: Phân tích, Hỗ trợ, Hệ thống)</t>
        </is>
      </c>
      <c r="C34" s="15" t="inlineStr">
        <is>
          <t>Khung admin theo quyền (UI)</t>
        </is>
      </c>
      <c r="D34" s="15" t="inlineStr">
        <is>
          <t>Mở trực tiếp /admin/system/flags hiển thị trang 'Tính năng thử nghiệm' (tải lazy, mục sidebar được tô sáng)</t>
        </is>
      </c>
      <c r="E34" s="15" t="inlineStr">
        <is>
          <t>Chức năng</t>
        </is>
      </c>
      <c r="F34" s="16" t="inlineStr">
        <is>
          <t>Cao</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4" s="15" t="inlineStr">
        <is>
          <t>1. Gõ thẳng http://localhost:5173/admin/system/flags
2. Chờ trang tải (route admin tải lazy)
3. Mở DevTools &gt; Console</t>
        </is>
      </c>
      <c r="K34" s="15" t="inlineStr">
        <is>
          <t>/admin/system/flags</t>
        </is>
      </c>
      <c r="L34" s="15" t="inlineStr">
        <is>
          <t>Hiện khung admin với tiêu đề chứa 'Tính năng thử nghiệm', mục sidebar tương ứng được tô sáng, breadcrumb đúng; không màn trắng, không lỗi console; có trạng thái 'Đang tải…' rồi dữ liệu (hoặc 'Không có ... ' nếu rỗng).</t>
        </is>
      </c>
      <c r="M34" s="15" t="inlineStr"/>
      <c r="N34" s="18" t="inlineStr">
        <is>
          <t>Chưa test</t>
        </is>
      </c>
      <c r="O34" s="15" t="inlineStr"/>
      <c r="P34" s="15" t="inlineStr"/>
      <c r="Q34" s="18" t="inlineStr">
        <is>
          <t>Chưa test</t>
        </is>
      </c>
      <c r="R34" s="15" t="inlineStr"/>
    </row>
    <row r="35" ht="45" customHeight="1">
      <c r="A35" s="14" t="inlineStr">
        <is>
          <t>TC-ADM3-034</t>
        </is>
      </c>
      <c r="B35" s="15" t="inlineStr">
        <is>
          <t>Admin Console (đợt 3: Phân tích, Hỗ trợ, Hệ thống)</t>
        </is>
      </c>
      <c r="C35" s="15" t="inlineStr">
        <is>
          <t>Khung admin theo quyền (UI)</t>
        </is>
      </c>
      <c r="D35" s="15" t="inlineStr">
        <is>
          <t>Mở trực tiếp /admin/system/integrations hiển thị trang 'Tích hợp' (tải lazy, mục sidebar được tô sáng)</t>
        </is>
      </c>
      <c r="E35" s="15" t="inlineStr">
        <is>
          <t>Chức năng</t>
        </is>
      </c>
      <c r="F35" s="16" t="inlineStr">
        <is>
          <t>Cao</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5" s="15" t="inlineStr">
        <is>
          <t>1. Gõ thẳng http://localhost:5173/admin/system/integrations
2. Chờ trang tải (route admin tải lazy)
3. Mở DevTools &gt; Console</t>
        </is>
      </c>
      <c r="K35" s="15" t="inlineStr">
        <is>
          <t>/admin/system/integrations</t>
        </is>
      </c>
      <c r="L35" s="15" t="inlineStr">
        <is>
          <t>Hiện khung admin với tiêu đề chứa 'Tích hợp', mục sidebar tương ứng được tô sáng, breadcrumb đúng; không màn trắng, không lỗi console; có trạng thái 'Đang tải…' rồi dữ liệu (hoặc 'Không có ... ' nếu rỗng).</t>
        </is>
      </c>
      <c r="M35" s="15" t="inlineStr"/>
      <c r="N35" s="18" t="inlineStr">
        <is>
          <t>Chưa test</t>
        </is>
      </c>
      <c r="O35" s="15" t="inlineStr"/>
      <c r="P35" s="15" t="inlineStr"/>
      <c r="Q35" s="18" t="inlineStr">
        <is>
          <t>Chưa test</t>
        </is>
      </c>
      <c r="R35" s="15" t="inlineStr"/>
    </row>
    <row r="36" ht="45" customHeight="1">
      <c r="A36" s="14" t="inlineStr">
        <is>
          <t>TC-ADM3-035</t>
        </is>
      </c>
      <c r="B36" s="15" t="inlineStr">
        <is>
          <t>Admin Console (đợt 3: Phân tích, Hỗ trợ, Hệ thống)</t>
        </is>
      </c>
      <c r="C36" s="15" t="inlineStr">
        <is>
          <t>Khung admin theo quyền (UI)</t>
        </is>
      </c>
      <c r="D36" s="15" t="inlineStr">
        <is>
          <t>Mở trực tiếp /admin/system/notifications hiển thị trang 'Thông báo' (tải lazy, mục sidebar được tô sáng)</t>
        </is>
      </c>
      <c r="E36" s="15" t="inlineStr">
        <is>
          <t>Chức năng</t>
        </is>
      </c>
      <c r="F36" s="16" t="inlineStr">
        <is>
          <t>Cao</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6" s="15" t="inlineStr">
        <is>
          <t>1. Gõ thẳng http://localhost:5173/admin/system/notifications
2. Chờ trang tải (route admin tải lazy)
3. Mở DevTools &gt; Console</t>
        </is>
      </c>
      <c r="K36" s="15" t="inlineStr">
        <is>
          <t>/admin/system/notifications</t>
        </is>
      </c>
      <c r="L36" s="15" t="inlineStr">
        <is>
          <t>Hiện khung admin với tiêu đề chứa 'Thông báo', mục sidebar tương ứng được tô sáng, breadcrumb đúng; không màn trắng, không lỗi console; có trạng thái 'Đang tải…' rồi dữ liệu (hoặc 'Không có ... ' nếu rỗng).</t>
        </is>
      </c>
      <c r="M36" s="15" t="inlineStr"/>
      <c r="N36" s="18" t="inlineStr">
        <is>
          <t>Chưa test</t>
        </is>
      </c>
      <c r="O36" s="15" t="inlineStr"/>
      <c r="P36" s="15" t="inlineStr"/>
      <c r="Q36" s="18" t="inlineStr">
        <is>
          <t>Chưa test</t>
        </is>
      </c>
      <c r="R36" s="15" t="inlineStr"/>
    </row>
    <row r="37" ht="45" customHeight="1">
      <c r="A37" s="14" t="inlineStr">
        <is>
          <t>TC-ADM3-036</t>
        </is>
      </c>
      <c r="B37" s="15" t="inlineStr">
        <is>
          <t>Admin Console (đợt 3: Phân tích, Hỗ trợ, Hệ thống)</t>
        </is>
      </c>
      <c r="C37" s="15" t="inlineStr">
        <is>
          <t>Khung admin theo quyền (UI)</t>
        </is>
      </c>
      <c r="D37" s="15" t="inlineStr">
        <is>
          <t>Mở trực tiếp /admin/system/email hiển thị trang 'Mẫu email' (tải lazy, mục sidebar được tô sáng)</t>
        </is>
      </c>
      <c r="E37" s="15" t="inlineStr">
        <is>
          <t>Chức năng</t>
        </is>
      </c>
      <c r="F37" s="16" t="inlineStr">
        <is>
          <t>Cao</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7" s="15" t="inlineStr">
        <is>
          <t>1. Gõ thẳng http://localhost:5173/admin/system/email
2. Chờ trang tải (route admin tải lazy)
3. Mở DevTools &gt; Console</t>
        </is>
      </c>
      <c r="K37" s="15" t="inlineStr">
        <is>
          <t>/admin/system/email</t>
        </is>
      </c>
      <c r="L37" s="15" t="inlineStr">
        <is>
          <t>Hiện khung admin với tiêu đề chứa 'Mẫu email', mục sidebar tương ứng được tô sáng, breadcrumb đúng; không màn trắng, không lỗi console; có trạng thái 'Đang tải…' rồi dữ liệu (hoặc 'Không có ... ' nếu rỗng).</t>
        </is>
      </c>
      <c r="M37" s="15" t="inlineStr"/>
      <c r="N37" s="18" t="inlineStr">
        <is>
          <t>Chưa test</t>
        </is>
      </c>
      <c r="O37" s="15" t="inlineStr"/>
      <c r="P37" s="15" t="inlineStr"/>
      <c r="Q37" s="18" t="inlineStr">
        <is>
          <t>Chưa test</t>
        </is>
      </c>
      <c r="R37" s="15" t="inlineStr"/>
    </row>
    <row r="38" ht="45" customHeight="1">
      <c r="A38" s="14" t="inlineStr">
        <is>
          <t>TC-ADM3-037</t>
        </is>
      </c>
      <c r="B38" s="15" t="inlineStr">
        <is>
          <t>Admin Console (đợt 3: Phân tích, Hỗ trợ, Hệ thống)</t>
        </is>
      </c>
      <c r="C38" s="15" t="inlineStr">
        <is>
          <t>Khung admin theo quyền (UI)</t>
        </is>
      </c>
      <c r="D38" s="15" t="inlineStr">
        <is>
          <t>Mở trực tiếp /admin/system/audit hiển thị trang 'Nhật ký hoạt động' (tải lazy, mục sidebar được tô sáng)</t>
        </is>
      </c>
      <c r="E38" s="15" t="inlineStr">
        <is>
          <t>Chức năng</t>
        </is>
      </c>
      <c r="F38" s="16" t="inlineStr">
        <is>
          <t>Cao</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8" s="15" t="inlineStr">
        <is>
          <t>1. Gõ thẳng http://localhost:5173/admin/system/audit
2. Chờ trang tải (route admin tải lazy)
3. Mở DevTools &gt; Console</t>
        </is>
      </c>
      <c r="K38" s="15" t="inlineStr">
        <is>
          <t>/admin/system/audit</t>
        </is>
      </c>
      <c r="L38" s="15" t="inlineStr">
        <is>
          <t>Hiện khung admin với tiêu đề chứa 'Nhật ký hoạt động', mục sidebar tương ứng được tô sáng, breadcrumb đúng; không màn trắng, không lỗi console; có trạng thái 'Đang tải…' rồi dữ liệu (hoặc 'Không có ... ' nếu rỗng).</t>
        </is>
      </c>
      <c r="M38" s="15" t="inlineStr"/>
      <c r="N38" s="18" t="inlineStr">
        <is>
          <t>Chưa test</t>
        </is>
      </c>
      <c r="O38" s="15" t="inlineStr"/>
      <c r="P38" s="15" t="inlineStr"/>
      <c r="Q38" s="18" t="inlineStr">
        <is>
          <t>Chưa test</t>
        </is>
      </c>
      <c r="R38" s="15" t="inlineStr"/>
    </row>
    <row r="39" ht="45" customHeight="1">
      <c r="A39" s="14" t="inlineStr">
        <is>
          <t>TC-ADM3-038</t>
        </is>
      </c>
      <c r="B39" s="15" t="inlineStr">
        <is>
          <t>Admin Console (đợt 3: Phân tích, Hỗ trợ, Hệ thống)</t>
        </is>
      </c>
      <c r="C39" s="15" t="inlineStr">
        <is>
          <t>Khung admin theo quyền (UI)</t>
        </is>
      </c>
      <c r="D39" s="15" t="inlineStr">
        <is>
          <t>Mở trực tiếp /admin/system/settings hiển thị trang 'Cài đặt chung' (tải lazy, mục sidebar được tô sáng)</t>
        </is>
      </c>
      <c r="E39" s="15" t="inlineStr">
        <is>
          <t>Chức năng</t>
        </is>
      </c>
      <c r="F39" s="16" t="inlineStr">
        <is>
          <t>Cao</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9" s="15" t="inlineStr">
        <is>
          <t>1. Gõ thẳng http://localhost:5173/admin/system/settings
2. Chờ trang tải (route admin tải lazy)
3. Mở DevTools &gt; Console</t>
        </is>
      </c>
      <c r="K39" s="15" t="inlineStr">
        <is>
          <t>/admin/system/settings</t>
        </is>
      </c>
      <c r="L39" s="15" t="inlineStr">
        <is>
          <t>Hiện khung admin với tiêu đề chứa 'Cài đặt chung', mục sidebar tương ứng được tô sáng, breadcrumb đúng; không màn trắng, không lỗi console; có trạng thái 'Đang tải…' rồi dữ liệu (hoặc 'Không có ... ' nếu rỗng).</t>
        </is>
      </c>
      <c r="M39" s="15" t="inlineStr"/>
      <c r="N39" s="18" t="inlineStr">
        <is>
          <t>Chưa test</t>
        </is>
      </c>
      <c r="O39" s="15" t="inlineStr"/>
      <c r="P39" s="15" t="inlineStr"/>
      <c r="Q39" s="18" t="inlineStr">
        <is>
          <t>Chưa test</t>
        </is>
      </c>
      <c r="R39" s="15" t="inlineStr"/>
    </row>
    <row r="40" ht="150" customHeight="1">
      <c r="A40" s="14" t="inlineStr">
        <is>
          <t>TC-ADM3-039</t>
        </is>
      </c>
      <c r="B40" s="15" t="inlineStr">
        <is>
          <t>Admin Console (đợt 3: Phân tích, Hỗ trợ, Hệ thống)</t>
        </is>
      </c>
      <c r="C40" s="15" t="inlineStr">
        <is>
          <t>Ma trận phân quyền nhân viên (API)</t>
        </is>
      </c>
      <c r="D40" s="15" t="inlineStr">
        <is>
          <t>Vai trò Super Admin gọi các route đợt 1 (tổng quan, cộng đồng, người dùng, kiểm duyệt, nhật ký): đúng route được phép (200) và 403 ngoài ra</t>
        </is>
      </c>
      <c r="E40" s="15" t="inlineStr">
        <is>
          <t>Bảo mật</t>
        </is>
      </c>
      <c r="F40" s="16" t="inlineStr">
        <is>
          <t>Cao</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token bằng POST /api/auth/login của admin@sofinhub.test / Passw0rd!x.</t>
        </is>
      </c>
      <c r="J40" s="15" t="inlineStr">
        <is>
          <t>1. GET /api/admin/me  (cần quyền: chỉ cần là nhân viên)
2. GET /api/admin/dashboard  (cần quyền: dashboard.view)
3. GET /api/admin/communities  (cần quyền: community.manage)
4. POST /api/admin/communities/khong-ton-tai/approve  (cần quyền: community.manage)
5. GET /api/admin/users  (cần quyền: users.view)
6. POST /api/admin/users/khong-ton-tai/warn  (cần quyền: user.ban)
7. GET /api/admin/moderation/cases  (cần quyền: report.resolve)
8. POST /api/admin/moderation/cases/khong-ton-tai/dismiss  (cần quyền: report.resolve)
9. GET /api/admin/audit-logs  (cần quyền: audit.view)
10. Ghi mã trạng thái từng yêu cầu (POST gửi body {} và id giả 'khong-ton-tai')</t>
        </is>
      </c>
      <c r="K40" s="15" t="inlineStr">
        <is>
          <t>admin@sofinhub.test</t>
        </is>
      </c>
      <c r="L40" s="15" t="inlineStr">
        <is>
          <t>9/9 route qua guard; còn lại 403. Chi tiết: GET /admin/me -&gt; 200 | GET /admin/dashboard -&gt; 200 | GET /admin/communities -&gt; 200 | POST /admin/communities/khong-ton-tai/approve -&gt; qua guard (id/body giả -&gt; 404/400, KHÔNG 403) | GET /admin/users -&gt; 200 | POST /admin/users/khong-ton-tai/warn -&gt; qua guard (id/body giả -&gt; 404/400, KHÔNG 403) | GET /admin/moderation/cases -&gt; 200 | POST /admin/moderation/cases/khong-ton-tai/dismiss -&gt; qua guard (id/body giả -&gt; 404/400, KHÔNG 403) | GET /admin/audit-logs -&gt; 200. Quyền kiểm tra TRƯỚC khi validate body/tìm bản ghi nên id giả vẫn ra 403 với route không được phép; không route nào trả 401 (token hợp lệ).</t>
        </is>
      </c>
      <c r="M40" s="15" t="inlineStr"/>
      <c r="N40" s="18" t="inlineStr">
        <is>
          <t>Chưa test</t>
        </is>
      </c>
      <c r="O40" s="15" t="inlineStr"/>
      <c r="P40" s="15" t="inlineStr"/>
      <c r="Q40" s="18" t="inlineStr">
        <is>
          <t>Chưa test</t>
        </is>
      </c>
      <c r="R40" s="15" t="inlineStr"/>
    </row>
    <row r="41" ht="285" customHeight="1">
      <c r="A41" s="14" t="inlineStr">
        <is>
          <t>TC-ADM3-040</t>
        </is>
      </c>
      <c r="B41" s="15" t="inlineStr">
        <is>
          <t>Admin Console (đợt 3: Phân tích, Hỗ trợ, Hệ thống)</t>
        </is>
      </c>
      <c r="C41" s="15" t="inlineStr">
        <is>
          <t>Ma trận phân quyền nhân viên (API)</t>
        </is>
      </c>
      <c r="D41" s="15" t="inlineStr">
        <is>
          <t>Vai trò Super Admin gọi các route đợt 2 (nội dung, thanh toán, khám phá, route cũ refunds/payouts): đúng route được phép (200) và 403 ngoài ra</t>
        </is>
      </c>
      <c r="E41" s="15" t="inlineStr">
        <is>
          <t>Bảo mật</t>
        </is>
      </c>
      <c r="F41" s="16" t="inlineStr">
        <is>
          <t>Cao</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token bằng POST /api/auth/login của admin@sofinhub.test / Passw0rd!x.</t>
        </is>
      </c>
      <c r="J41" s="15" t="inlineStr">
        <is>
          <t>1. GET /api/admin/content/posts  (cần quyền: content.manage)
2. POST /api/admin/content/posts/khong-ton-tai/hide  (cần quyền: content.manage)
3. GET /api/admin/payments/transactions  (cần quyền: payment.view)
4. GET /api/admin/payments/subscriptions  (cần quyền: payment.view)
5. GET /api/admin/payments/creators  (cần quyền: payment.view)
6. GET /api/admin/payments/payouts  (cần quyền: payment.view)
7. POST /api/admin/payments/refunds/khong-ton-tai/approve  (cần quyền: payment.refund)
8. POST /api/admin/payments/transactions/khong-ton-tai/refund  (cần quyền: payment.refund)
9. POST /api/admin/payments/transactions/khong-ton-tai/retry  (cần quyền: payment.manage)
10. POST /api/admin/payments/subscriptions/khong-ton-tai/pause  (cần quyền: payment.manage)
11. POST /api/admin/payments/chargebacks  (cần quyền: payment.manage)
12. POST /api/admin/payments/payouts/khong-ton-tai/hold  (cần quyền: payout.approve)
13. GET /api/admin/discovery/communities  (cần quyền: community.manage)
14. GET /api/admin/discovery/rankings  (cần quyền: community.manage)
15. GET /api/admin/refunds  (cần quyền: payment.view)
16. PATCH /api/admin/refunds/khong-ton-tai  (cần quyền: payment.refund)
17. GET /api/admin/payouts  (cần quyền: payment.view)
18. PATCH /api/admin/payouts/khong-ton-tai  (cần quyền: payout.approve)
19. Ghi mã trạng thái từng yêu cầu (POST gửi body {} và id giả 'khong-ton-tai')</t>
        </is>
      </c>
      <c r="K41" s="15" t="inlineStr">
        <is>
          <t>admin@sofinhub.test</t>
        </is>
      </c>
      <c r="L41" s="15" t="inlineStr">
        <is>
          <t>18/18 route qua guard; còn lại 403. Chi tiết: GET /admin/content/posts -&gt; 200 | POST /admin/content/posts/khong-ton-tai/hide -&gt; qua guard (id/body giả -&gt; 404/400, KHÔNG 403) | GET /admin/payments/transactions -&gt; 200 | GET /admin/payments/subscriptions -&gt; 200 | GET /admin/payments/creators -&gt; 200 | GET /admin/payments/payouts -&gt; 200 | POST /admin/payments/refunds/khong-ton-tai/approve -&gt; qua guard (id/body giả -&gt; 404/400, KHÔNG 403) | POST /admin/payments/transactions/khong-ton-tai/refund -&gt; qua guard (id/body giả -&gt; 404/400, KHÔNG 403) | POST /admin/payments/transactions/khong-ton-tai/retry -&gt; qua guard (id/body giả -&gt; 404/400, KHÔNG 403) | POST /admin/payments/subscriptions/khong-ton-tai/pause -&gt; qua guard (id/body giả -&gt; 404/400, KHÔNG 403) | POST /admin/payments/chargebacks -&gt; qua guard (id/body giả -&gt; 404/400, KHÔNG 403) | POST /admin/payments/payouts/khong-ton-tai/hold -&gt; qua guard (id/body giả -&gt; 404/400, KHÔNG 403) | GET /admin/discovery/communities -&gt; 200 | GET /admin/discovery/rankings -&gt; 200 | GET /admin/refunds -&gt; 200 | PATCH /admin/refunds/khong-ton-tai -&gt; qua guard (id/body giả -&gt; 404/400, KHÔNG 403) | GET /admin/payouts -&gt; 200 | PATCH /admin/payouts/khong-ton-tai -&gt; qua guard (id/body giả -&gt; 404/400, KHÔNG 403). Quyền kiểm tra TRƯỚC khi validate body/tìm bản ghi nên id giả vẫn ra 403 với route không được phép; không route nào trả 401 (token hợp lệ).</t>
        </is>
      </c>
      <c r="M41" s="15" t="inlineStr"/>
      <c r="N41" s="18" t="inlineStr">
        <is>
          <t>Chưa test</t>
        </is>
      </c>
      <c r="O41" s="15" t="inlineStr"/>
      <c r="P41" s="15" t="inlineStr"/>
      <c r="Q41" s="18" t="inlineStr">
        <is>
          <t>Chưa test</t>
        </is>
      </c>
      <c r="R41" s="15" t="inlineStr"/>
    </row>
    <row r="42" ht="225" customHeight="1">
      <c r="A42" s="14" t="inlineStr">
        <is>
          <t>TC-ADM3-041</t>
        </is>
      </c>
      <c r="B42" s="15" t="inlineStr">
        <is>
          <t>Admin Console (đợt 3: Phân tích, Hỗ trợ, Hệ thống)</t>
        </is>
      </c>
      <c r="C42" s="15" t="inlineStr">
        <is>
          <t>Ma trận phân quyền nhân viên (API)</t>
        </is>
      </c>
      <c r="D42" s="15" t="inlineStr">
        <is>
          <t>Vai trò Super Admin gọi các route đợt 3 (phân tích, hỗ trợ, hệ thống): đúng route được phép (200) và 403 ngoài ra</t>
        </is>
      </c>
      <c r="E42" s="15" t="inlineStr">
        <is>
          <t>Bảo mật</t>
        </is>
      </c>
      <c r="F42" s="16" t="inlineStr">
        <is>
          <t>Cao</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token bằng POST /api/auth/login của admin@sofinhub.test / Passw0rd!x.</t>
        </is>
      </c>
      <c r="J42" s="15" t="inlineStr">
        <is>
          <t>1. GET /api/admin/analytics/users  (cần quyền: analytics.view)
2. GET /api/admin/analytics/revenue  (cần quyền: analytics.view)
3. GET /api/admin/support/tickets  (cần quyền: support.manage)
4. POST /api/admin/support/tickets/khong-ton-tai/reply  (cần quyền: support.manage)
5. GET /api/admin/system/categories  (cần quyền: community.manage)
6. GET /api/admin/system/flags  (cần quyền: system.flags)
7. GET /api/admin/system/admins  (cần quyền: admin.manage)
8. GET /api/admin/system/roles  (cần quyền: admin.manage)
9. GET /api/admin/system/integrations  (cần quyền: system.settings)
10. GET /api/admin/system/notifications/settings  (cần quyền: system.settings)
11. GET /api/admin/system/email-templates  (cần quyền: system.settings)
12. GET /api/admin/system/settings  (cần quyền: system.settings)
13. GET /api/admin/audit-logs/export  (cần quyền: audit.view)
14. GET /api/admin/system/khong-co-route  (cần quyền: super)
15. Ghi mã trạng thái từng yêu cầu (POST gửi body {} và id giả 'khong-ton-tai')</t>
        </is>
      </c>
      <c r="K42" s="15" t="inlineStr">
        <is>
          <t>admin@sofinhub.test</t>
        </is>
      </c>
      <c r="L42" s="15" t="inlineStr">
        <is>
          <t>14/14 route qua guard; còn lại 403. Chi tiết: GET /admin/analytics/users -&gt; 200 | GET /admin/analytics/revenue -&gt; 200 | GET /admin/support/tickets -&gt; 200 | POST /admin/support/tickets/khong-ton-tai/reply -&gt; qua guard (id/body giả -&gt; 404/400, KHÔNG 403) | GET /admin/system/categories -&gt; 200 | GET /admin/system/flags -&gt; 200 | GET /admin/system/admins -&gt; 200 | GET /admin/system/roles -&gt; 200 | GET /admin/system/integrations -&gt; 200 | GET /admin/system/notifications/settings -&gt; 200 | GET /admin/system/email-templates -&gt; 200 | GET /admin/system/settings -&gt; 200 | GET /admin/audit-logs/export -&gt; 200 | GET /admin/system/khong-co-route -&gt; qua guard (route không tồn tại -&gt; 404 NOT_FOUND, KHÔNG 403). Quyền kiểm tra TRƯỚC khi validate body/tìm bản ghi nên id giả vẫn ra 403 với route không được phép; không route nào trả 401 (token hợp lệ).</t>
        </is>
      </c>
      <c r="M42" s="15" t="inlineStr"/>
      <c r="N42" s="18" t="inlineStr">
        <is>
          <t>Chưa test</t>
        </is>
      </c>
      <c r="O42" s="15" t="inlineStr"/>
      <c r="P42" s="15" t="inlineStr"/>
      <c r="Q42" s="18" t="inlineStr">
        <is>
          <t>Chưa test</t>
        </is>
      </c>
      <c r="R42" s="15" t="inlineStr"/>
    </row>
    <row r="43" ht="150" customHeight="1">
      <c r="A43" s="14" t="inlineStr">
        <is>
          <t>TC-ADM3-042</t>
        </is>
      </c>
      <c r="B43" s="15" t="inlineStr">
        <is>
          <t>Admin Console (đợt 3: Phân tích, Hỗ trợ, Hệ thống)</t>
        </is>
      </c>
      <c r="C43" s="15" t="inlineStr">
        <is>
          <t>Ma trận phân quyền nhân viên (API)</t>
        </is>
      </c>
      <c r="D43" s="15" t="inlineStr">
        <is>
          <t>Vai trò Moderator gọi các route đợt 1 (tổng quan, cộng đồng, người dùng, kiểm duyệt, nhật ký): đúng route được phép (200) và 403 ngoài ra</t>
        </is>
      </c>
      <c r="E43" s="15" t="inlineStr">
        <is>
          <t>Bảo mật</t>
        </is>
      </c>
      <c r="F43" s="16" t="inlineStr">
        <is>
          <t>Cao</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43" s="15" t="inlineStr">
        <is>
          <t>1. GET /api/admin/me  (cần quyền: chỉ cần là nhân viên)
2. GET /api/admin/dashboard  (cần quyền: dashboard.view)
3. GET /api/admin/communities  (cần quyền: community.manage)
4. POST /api/admin/communities/khong-ton-tai/approve  (cần quyền: community.manage)
5. GET /api/admin/users  (cần quyền: users.view)
6. POST /api/admin/users/khong-ton-tai/warn  (cần quyền: user.ban)
7. GET /api/admin/moderation/cases  (cần quyền: report.resolve)
8. POST /api/admin/moderation/cases/khong-ton-tai/dismiss  (cần quyền: report.resolve)
9. GET /api/admin/audit-logs  (cần quyền: audit.view)
10. Ghi mã trạng thái từng yêu cầu (POST gửi body {} và id giả 'khong-ton-tai')</t>
        </is>
      </c>
      <c r="K43" s="15" t="inlineStr">
        <is>
          <t>moderator@sofinhub.test</t>
        </is>
      </c>
      <c r="L43" s="15" t="inlineStr">
        <is>
          <t>8/9 route qua guard; còn lại 403. Chi tiết: GET /admin/me -&gt; 200 | GET /admin/dashboard -&gt; 200 | GET /admin/communities -&gt; 200 | POST /admin/communities/khong-ton-tai/approve -&gt; qua guard (id/body giả -&gt; 404/400, KHÔNG 403) | GET /admin/users -&gt; 200 | POST /admin/users/khong-ton-tai/warn -&gt; qua guard (id/body giả -&gt; 404/400, KHÔNG 403) | GET /admin/moderation/cases -&gt; 200 | POST /admin/moderation/cases/khong-ton-tai/dismiss -&gt; qua guard (id/body giả -&gt; 404/400, KHÔNG 403) | GET /admin/audit-logs -&gt; 403 FORBIDDEN 'Vai trò Moderator không có quyền "audit.view"'. Quyền kiểm tra TRƯỚC khi validate body/tìm bản ghi nên id giả vẫn ra 403 với route không được phép; không route nào trả 401 (token hợp lệ).</t>
        </is>
      </c>
      <c r="M43" s="15" t="inlineStr"/>
      <c r="N43" s="18" t="inlineStr">
        <is>
          <t>Chưa test</t>
        </is>
      </c>
      <c r="O43" s="15" t="inlineStr"/>
      <c r="P43" s="15" t="inlineStr"/>
      <c r="Q43" s="18" t="inlineStr">
        <is>
          <t>Chưa test</t>
        </is>
      </c>
      <c r="R43" s="15" t="inlineStr"/>
    </row>
    <row r="44" ht="285" customHeight="1">
      <c r="A44" s="14" t="inlineStr">
        <is>
          <t>TC-ADM3-043</t>
        </is>
      </c>
      <c r="B44" s="15" t="inlineStr">
        <is>
          <t>Admin Console (đợt 3: Phân tích, Hỗ trợ, Hệ thống)</t>
        </is>
      </c>
      <c r="C44" s="15" t="inlineStr">
        <is>
          <t>Ma trận phân quyền nhân viên (API)</t>
        </is>
      </c>
      <c r="D44" s="15" t="inlineStr">
        <is>
          <t>Vai trò Moderator gọi các route đợt 2 (nội dung, thanh toán, khám phá, route cũ refunds/payouts): đúng route được phép (200) và 403 ngoài ra</t>
        </is>
      </c>
      <c r="E44" s="15" t="inlineStr">
        <is>
          <t>Bảo mật</t>
        </is>
      </c>
      <c r="F44" s="16" t="inlineStr">
        <is>
          <t>Cao</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44" s="15" t="inlineStr">
        <is>
          <t>1. GET /api/admin/content/posts  (cần quyền: content.manage)
2. POST /api/admin/content/posts/khong-ton-tai/hide  (cần quyền: content.manage)
3. GET /api/admin/payments/transactions  (cần quyền: payment.view)
4. GET /api/admin/payments/subscriptions  (cần quyền: payment.view)
5. GET /api/admin/payments/creators  (cần quyền: payment.view)
6. GET /api/admin/payments/payouts  (cần quyền: payment.view)
7. POST /api/admin/payments/refunds/khong-ton-tai/approve  (cần quyền: payment.refund)
8. POST /api/admin/payments/transactions/khong-ton-tai/refund  (cần quyền: payment.refund)
9. POST /api/admin/payments/transactions/khong-ton-tai/retry  (cần quyền: payment.manage)
10. POST /api/admin/payments/subscriptions/khong-ton-tai/pause  (cần quyền: payment.manage)
11. POST /api/admin/payments/chargebacks  (cần quyền: payment.manage)
12. POST /api/admin/payments/payouts/khong-ton-tai/hold  (cần quyền: payout.approve)
13. GET /api/admin/discovery/communities  (cần quyền: community.manage)
14. GET /api/admin/discovery/rankings  (cần quyền: community.manage)
15. GET /api/admin/refunds  (cần quyền: payment.view)
16. PATCH /api/admin/refunds/khong-ton-tai  (cần quyền: payment.refund)
17. GET /api/admin/payouts  (cần quyền: payment.view)
18. PATCH /api/admin/payouts/khong-ton-tai  (cần quyền: payout.approve)
19. Ghi mã trạng thái từng yêu cầu (POST gửi body {} và id giả 'khong-ton-tai')</t>
        </is>
      </c>
      <c r="K44" s="15" t="inlineStr">
        <is>
          <t>moderator@sofinhub.test</t>
        </is>
      </c>
      <c r="L44" s="15" t="inlineStr">
        <is>
          <t>4/18 route qua guard; còn lại 403. Chi tiết: GET /admin/content/posts -&gt; 200 | POST /admin/content/posts/khong-ton-tai/hide -&gt; qua guard (id/body giả -&gt; 404/400, KHÔNG 403) | GET /admin/payments/transactions -&gt; 403 FORBIDDEN 'Vai trò Moderator không có quyền "payment.view"' | GET /admin/payments/subscriptions -&gt; 403 FORBIDDEN 'Vai trò Moderator không có quyền "payment.view"' | GET /admin/payments/creators -&gt; 403 FORBIDDEN 'Vai trò Moderator không có quyền "payment.view"' | GET /admin/payments/payouts -&gt; 403 FORBIDDEN 'Vai trò Moderator không có quyền "payment.view"' | POST /admin/payments/refunds/khong-ton-tai/approve -&gt; 403 FORBIDDEN 'Vai trò Moderator không có quyền "payment.refund"' | POST /admin/payments/transactions/khong-ton-tai/refund -&gt; 403 FORBIDDEN 'Vai trò Moderator không có quyền "payment.refund"' | POST /admin/payments/transactions/khong-ton-tai/retry -&gt; 403 FORBIDDEN 'Vai trò Moderator không có quyền "payment.manage"' | POST /admin/payments/subscriptions/khong-ton-tai/pause -&gt; 403 FORBIDDEN 'Vai trò Moderator không có quyền "payment.manage"' | POST /admin/payments/chargebacks -&gt; 403 FORBIDDEN 'Vai trò Moderator không có quyền "payment.manage"' | POST /admin/payments/payouts/khong-ton-tai/hold -&gt; 403 FORBIDDEN 'Vai trò Moderator không có quyền "payout.approve"' | GET /admin/discovery/communities -&gt; 200 | GET /admin/discovery/rankings -&gt; 200 | GET /admin/refunds -&gt; 403 FORBIDDEN 'Vai trò Moderator không có quyền "payment.view"' | PATCH /admin/refunds/khong-ton-tai -&gt; 403 FORBIDDEN 'Vai trò Moderator không có quyền "payment.refund"' | GET /admin/payouts -&gt; 403 FORBIDDEN 'Vai trò Moderator không có quyền "payment.view"' | PATCH /admin/payouts/khong-ton-tai -&gt; 403 FORBIDDEN 'Vai trò Moderator không có quyền "payout.approve"'. Quyền kiểm tra TRƯỚC khi validate body/tìm bản ghi nên id giả vẫn ra 403 với route không được phép; không route nào trả 401 (token hợp lệ).</t>
        </is>
      </c>
      <c r="M44" s="15" t="inlineStr"/>
      <c r="N44" s="18" t="inlineStr">
        <is>
          <t>Chưa test</t>
        </is>
      </c>
      <c r="O44" s="15" t="inlineStr"/>
      <c r="P44" s="15" t="inlineStr"/>
      <c r="Q44" s="18" t="inlineStr">
        <is>
          <t>Chưa test</t>
        </is>
      </c>
      <c r="R44" s="15" t="inlineStr"/>
    </row>
    <row r="45" ht="225" customHeight="1">
      <c r="A45" s="14" t="inlineStr">
        <is>
          <t>TC-ADM3-044</t>
        </is>
      </c>
      <c r="B45" s="15" t="inlineStr">
        <is>
          <t>Admin Console (đợt 3: Phân tích, Hỗ trợ, Hệ thống)</t>
        </is>
      </c>
      <c r="C45" s="15" t="inlineStr">
        <is>
          <t>Ma trận phân quyền nhân viên (API)</t>
        </is>
      </c>
      <c r="D45" s="15" t="inlineStr">
        <is>
          <t>Vai trò Moderator gọi các route đợt 3 (phân tích, hỗ trợ, hệ thống): đúng route được phép (200) và 403 ngoài ra</t>
        </is>
      </c>
      <c r="E45" s="15" t="inlineStr">
        <is>
          <t>Bảo mật</t>
        </is>
      </c>
      <c r="F45" s="16" t="inlineStr">
        <is>
          <t>Cao</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45" s="15" t="inlineStr">
        <is>
          <t>1. GET /api/admin/analytics/users  (cần quyền: analytics.view)
2. GET /api/admin/analytics/revenue  (cần quyền: analytics.view)
3. GET /api/admin/support/tickets  (cần quyền: support.manage)
4. POST /api/admin/support/tickets/khong-ton-tai/reply  (cần quyền: support.manage)
5. GET /api/admin/system/categories  (cần quyền: community.manage)
6. GET /api/admin/system/flags  (cần quyền: system.flags)
7. GET /api/admin/system/admins  (cần quyền: admin.manage)
8. GET /api/admin/system/roles  (cần quyền: admin.manage)
9. GET /api/admin/system/integrations  (cần quyền: system.settings)
10. GET /api/admin/system/notifications/settings  (cần quyền: system.settings)
11. GET /api/admin/system/email-templates  (cần quyền: system.settings)
12. GET /api/admin/system/settings  (cần quyền: system.settings)
13. GET /api/admin/audit-logs/export  (cần quyền: audit.view)
14. GET /api/admin/system/khong-co-route  (cần quyền: super)
15. Ghi mã trạng thái từng yêu cầu (POST gửi body {} và id giả 'khong-ton-tai')</t>
        </is>
      </c>
      <c r="K45" s="15" t="inlineStr">
        <is>
          <t>moderator@sofinhub.test</t>
        </is>
      </c>
      <c r="L45" s="15" t="inlineStr">
        <is>
          <t>3/14 route qua guard; còn lại 403. Chi tiết: GET /admin/analytics/users -&gt; 200 | GET /admin/analytics/revenue -&gt; 200 | GET /admin/support/tickets -&gt; 403 FORBIDDEN 'Vai trò Moderator không có quyền "support.manage"' | POST /admin/support/tickets/khong-ton-tai/reply -&gt; 403 FORBIDDEN 'Vai trò Moderator không có quyền "support.manage"' | GET /admin/system/categories -&gt; 200 | GET /admin/system/flags -&gt; 403 FORBIDDEN 'Vai trò Moderator không có quyền "system.flags"' | GET /admin/system/admins -&gt; 403 FORBIDDEN 'Vai trò Moderator không có quyền "admin.manage"' | GET /admin/system/roles -&gt; 403 FORBIDDEN 'Vai trò Moderator không có quyền "admin.manage"' | GET /admin/system/integrations -&gt; 403 FORBIDDEN 'Vai trò Moderator không có quyền "system.settings"' | GET /admin/system/notifications/settings -&gt; 403 FORBIDDEN 'Vai trò Moderator không có quyền "system.settings"' | GET /admin/system/email-templates -&gt; 403 FORBIDDEN 'Vai trò Moderator không có quyền "system.settings"' | GET /admin/system/settings -&gt; 403 FORBIDDEN 'Vai trò Moderator không có quyền "system.settings"' | GET /admin/audit-logs/export -&gt; 403 FORBIDDEN 'Vai trò Moderator không có quyền "audit.view"' | GET /admin/system/khong-co-route -&gt; 403 FORBIDDEN 'Chỉ Super Admin mới có quyền này'. Quyền kiểm tra TRƯỚC khi validate body/tìm bản ghi nên id giả vẫn ra 403 với route không được phép; không route nào trả 401 (token hợp lệ).</t>
        </is>
      </c>
      <c r="M45" s="15" t="inlineStr"/>
      <c r="N45" s="18" t="inlineStr">
        <is>
          <t>Chưa test</t>
        </is>
      </c>
      <c r="O45" s="15" t="inlineStr"/>
      <c r="P45" s="15" t="inlineStr"/>
      <c r="Q45" s="18" t="inlineStr">
        <is>
          <t>Chưa test</t>
        </is>
      </c>
      <c r="R45" s="15" t="inlineStr"/>
    </row>
    <row r="46" ht="150" customHeight="1">
      <c r="A46" s="14" t="inlineStr">
        <is>
          <t>TC-ADM3-045</t>
        </is>
      </c>
      <c r="B46" s="15" t="inlineStr">
        <is>
          <t>Admin Console (đợt 3: Phân tích, Hỗ trợ, Hệ thống)</t>
        </is>
      </c>
      <c r="C46" s="15" t="inlineStr">
        <is>
          <t>Ma trận phân quyền nhân viên (API)</t>
        </is>
      </c>
      <c r="D46" s="15" t="inlineStr">
        <is>
          <t>Vai trò Support gọi các route đợt 1 (tổng quan, cộng đồng, người dùng, kiểm duyệt, nhật ký): đúng route được phép (200) và 403 ngoài ra</t>
        </is>
      </c>
      <c r="E46" s="15" t="inlineStr">
        <is>
          <t>Bảo mật</t>
        </is>
      </c>
      <c r="F46" s="16" t="inlineStr">
        <is>
          <t>Cao</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46" s="15" t="inlineStr">
        <is>
          <t>1. GET /api/admin/me  (cần quyền: chỉ cần là nhân viên)
2. GET /api/admin/dashboard  (cần quyền: dashboard.view)
3. GET /api/admin/communities  (cần quyền: community.manage)
4. POST /api/admin/communities/khong-ton-tai/approve  (cần quyền: community.manage)
5. GET /api/admin/users  (cần quyền: users.view)
6. POST /api/admin/users/khong-ton-tai/warn  (cần quyền: user.ban)
7. GET /api/admin/moderation/cases  (cần quyền: report.resolve)
8. POST /api/admin/moderation/cases/khong-ton-tai/dismiss  (cần quyền: report.resolve)
9. GET /api/admin/audit-logs  (cần quyền: audit.view)
10. Ghi mã trạng thái từng yêu cầu (POST gửi body {} và id giả 'khong-ton-tai')</t>
        </is>
      </c>
      <c r="K46" s="15" t="inlineStr">
        <is>
          <t>support@sofinhub.test</t>
        </is>
      </c>
      <c r="L46" s="15" t="inlineStr">
        <is>
          <t>5/9 route qua guard; còn lại 403. Chi tiết: GET /admin/me -&gt; 200 | GET /admin/dashboard -&gt; 200 | GET /admin/communities -&gt; 403 FORBIDDEN 'Vai trò Support không có quyền "community.manage"' | POST /admin/communities/khong-ton-tai/approve -&gt; 403 FORBIDDEN 'Vai trò Support không có quyền "community.manage"' | GET /admin/users -&gt; 200 | POST /admin/users/khong-ton-tai/warn -&gt; 403 FORBIDDEN 'Vai trò Support không có quyền "user.ban"' | GET /admin/moderation/cases -&gt; 200 | POST /admin/moderation/cases/khong-ton-tai/dismiss -&gt; qua guard (id/body giả -&gt; 404/400, KHÔNG 403) | GET /admin/audit-logs -&gt; 403 FORBIDDEN 'Vai trò Support không có quyền "audit.view"'. Quyền kiểm tra TRƯỚC khi validate body/tìm bản ghi nên id giả vẫn ra 403 với route không được phép; không route nào trả 401 (token hợp lệ).</t>
        </is>
      </c>
      <c r="M46" s="15" t="inlineStr"/>
      <c r="N46" s="18" t="inlineStr">
        <is>
          <t>Chưa test</t>
        </is>
      </c>
      <c r="O46" s="15" t="inlineStr"/>
      <c r="P46" s="15" t="inlineStr"/>
      <c r="Q46" s="18" t="inlineStr">
        <is>
          <t>Chưa test</t>
        </is>
      </c>
      <c r="R46" s="15" t="inlineStr"/>
    </row>
    <row r="47" ht="285" customHeight="1">
      <c r="A47" s="14" t="inlineStr">
        <is>
          <t>TC-ADM3-046</t>
        </is>
      </c>
      <c r="B47" s="15" t="inlineStr">
        <is>
          <t>Admin Console (đợt 3: Phân tích, Hỗ trợ, Hệ thống)</t>
        </is>
      </c>
      <c r="C47" s="15" t="inlineStr">
        <is>
          <t>Ma trận phân quyền nhân viên (API)</t>
        </is>
      </c>
      <c r="D47" s="15" t="inlineStr">
        <is>
          <t>Vai trò Support gọi các route đợt 2 (nội dung, thanh toán, khám phá, route cũ refunds/payouts): đúng route được phép (200) và 403 ngoài ra</t>
        </is>
      </c>
      <c r="E47" s="15" t="inlineStr">
        <is>
          <t>Bảo mật</t>
        </is>
      </c>
      <c r="F47" s="16" t="inlineStr">
        <is>
          <t>Cao</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47" s="15" t="inlineStr">
        <is>
          <t>1. GET /api/admin/content/posts  (cần quyền: content.manage)
2. POST /api/admin/content/posts/khong-ton-tai/hide  (cần quyền: content.manage)
3. GET /api/admin/payments/transactions  (cần quyền: payment.view)
4. GET /api/admin/payments/subscriptions  (cần quyền: payment.view)
5. GET /api/admin/payments/creators  (cần quyền: payment.view)
6. GET /api/admin/payments/payouts  (cần quyền: payment.view)
7. POST /api/admin/payments/refunds/khong-ton-tai/approve  (cần quyền: payment.refund)
8. POST /api/admin/payments/transactions/khong-ton-tai/refund  (cần quyền: payment.refund)
9. POST /api/admin/payments/transactions/khong-ton-tai/retry  (cần quyền: payment.manage)
10. POST /api/admin/payments/subscriptions/khong-ton-tai/pause  (cần quyền: payment.manage)
11. POST /api/admin/payments/chargebacks  (cần quyền: payment.manage)
12. POST /api/admin/payments/payouts/khong-ton-tai/hold  (cần quyền: payout.approve)
13. GET /api/admin/discovery/communities  (cần quyền: community.manage)
14. GET /api/admin/discovery/rankings  (cần quyền: community.manage)
15. GET /api/admin/refunds  (cần quyền: payment.view)
16. PATCH /api/admin/refunds/khong-ton-tai  (cần quyền: payment.refund)
17. GET /api/admin/payouts  (cần quyền: payment.view)
18. PATCH /api/admin/payouts/khong-ton-tai  (cần quyền: payout.approve)
19. Ghi mã trạng thái từng yêu cầu (POST gửi body {} và id giả 'khong-ton-tai')</t>
        </is>
      </c>
      <c r="K47" s="15" t="inlineStr">
        <is>
          <t>support@sofinhub.test</t>
        </is>
      </c>
      <c r="L47" s="15" t="inlineStr">
        <is>
          <t>9/18 route qua guard; còn lại 403. Chi tiết: GET /admin/content/posts -&gt; 403 FORBIDDEN 'Vai trò Support không có quyền "content.manage"' | POST /admin/content/posts/khong-ton-tai/hide -&gt; 403 FORBIDDEN 'Vai trò Support không có quyền "content.manage"' | GET /admin/payments/transactions -&gt; 200 | GET /admin/payments/subscriptions -&gt; 200 | GET /admin/payments/creators -&gt; 200 | GET /admin/payments/payouts -&gt; 200 | POST /admin/payments/refunds/khong-ton-tai/approve -&gt; qua guard (id/body giả -&gt; 404/400, KHÔNG 403) | POST /admin/payments/transactions/khong-ton-tai/refund -&gt; qua guard (id/body giả -&gt; 404/400, KHÔNG 403) | POST /admin/payments/transactions/khong-ton-tai/retry -&gt; 403 FORBIDDEN 'Vai trò Support không có quyền "payment.manage"' | POST /admin/payments/subscriptions/khong-ton-tai/pause -&gt; 403 FORBIDDEN 'Vai trò Support không có quyền "payment.manage"' | POST /admin/payments/chargebacks -&gt; 403 FORBIDDEN 'Vai trò Support không có quyền "payment.manage"' | POST /admin/payments/payouts/khong-ton-tai/hold -&gt; 403 FORBIDDEN 'Vai trò Support không có quyền "payout.approve"' | GET /admin/discovery/communities -&gt; 403 FORBIDDEN 'Vai trò Support không có quyền "community.manage"' | GET /admin/discovery/rankings -&gt; 403 FORBIDDEN 'Vai trò Support không có quyền "community.manage"' | GET /admin/refunds -&gt; 200 | PATCH /admin/refunds/khong-ton-tai -&gt; qua guard (id/body giả -&gt; 404/400, KHÔNG 403) | GET /admin/payouts -&gt; 200 | PATCH /admin/payouts/khong-ton-tai -&gt; 403 FORBIDDEN 'Vai trò Support không có quyền "payout.approve"'. Quyền kiểm tra TRƯỚC khi validate body/tìm bản ghi nên id giả vẫn ra 403 với route không được phép; không route nào trả 401 (token hợp lệ).</t>
        </is>
      </c>
      <c r="M47" s="15" t="inlineStr"/>
      <c r="N47" s="18" t="inlineStr">
        <is>
          <t>Chưa test</t>
        </is>
      </c>
      <c r="O47" s="15" t="inlineStr"/>
      <c r="P47" s="15" t="inlineStr"/>
      <c r="Q47" s="18" t="inlineStr">
        <is>
          <t>Chưa test</t>
        </is>
      </c>
      <c r="R47" s="15" t="inlineStr"/>
    </row>
    <row r="48" ht="225" customHeight="1">
      <c r="A48" s="14" t="inlineStr">
        <is>
          <t>TC-ADM3-047</t>
        </is>
      </c>
      <c r="B48" s="15" t="inlineStr">
        <is>
          <t>Admin Console (đợt 3: Phân tích, Hỗ trợ, Hệ thống)</t>
        </is>
      </c>
      <c r="C48" s="15" t="inlineStr">
        <is>
          <t>Ma trận phân quyền nhân viên (API)</t>
        </is>
      </c>
      <c r="D48" s="15" t="inlineStr">
        <is>
          <t>Vai trò Support gọi các route đợt 3 (phân tích, hỗ trợ, hệ thống): đúng route được phép (200) và 403 ngoài ra</t>
        </is>
      </c>
      <c r="E48" s="15" t="inlineStr">
        <is>
          <t>Bảo mật</t>
        </is>
      </c>
      <c r="F48" s="16" t="inlineStr">
        <is>
          <t>Cao</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48" s="15" t="inlineStr">
        <is>
          <t>1. GET /api/admin/analytics/users  (cần quyền: analytics.view)
2. GET /api/admin/analytics/revenue  (cần quyền: analytics.view)
3. GET /api/admin/support/tickets  (cần quyền: support.manage)
4. POST /api/admin/support/tickets/khong-ton-tai/reply  (cần quyền: support.manage)
5. GET /api/admin/system/categories  (cần quyền: community.manage)
6. GET /api/admin/system/flags  (cần quyền: system.flags)
7. GET /api/admin/system/admins  (cần quyền: admin.manage)
8. GET /api/admin/system/roles  (cần quyền: admin.manage)
9. GET /api/admin/system/integrations  (cần quyền: system.settings)
10. GET /api/admin/system/notifications/settings  (cần quyền: system.settings)
11. GET /api/admin/system/email-templates  (cần quyền: system.settings)
12. GET /api/admin/system/settings  (cần quyền: system.settings)
13. GET /api/admin/audit-logs/export  (cần quyền: audit.view)
14. GET /api/admin/system/khong-co-route  (cần quyền: super)
15. Ghi mã trạng thái từng yêu cầu (POST gửi body {} và id giả 'khong-ton-tai')</t>
        </is>
      </c>
      <c r="K48" s="15" t="inlineStr">
        <is>
          <t>support@sofinhub.test</t>
        </is>
      </c>
      <c r="L48" s="15" t="inlineStr">
        <is>
          <t>2/14 route qua guard; còn lại 403. Chi tiết: GET /admin/analytics/users -&gt; 403 FORBIDDEN 'Vai trò Support không có quyền "analytics.view"' | GET /admin/analytics/revenue -&gt; 403 FORBIDDEN 'Vai trò Support không có quyền "analytics.view"' | GET /admin/support/tickets -&gt; 200 | POST /admin/support/tickets/khong-ton-tai/reply -&gt; qua guard (id/body giả -&gt; 404/400, KHÔNG 403) | GET /admin/system/categories -&gt; 403 FORBIDDEN 'Vai trò Support không có quyền "community.manage"' | GET /admin/system/flags -&gt; 403 FORBIDDEN 'Vai trò Support không có quyền "system.flags"' | GET /admin/system/admins -&gt; 403 FORBIDDEN 'Vai trò Support không có quyền "admin.manage"' | GET /admin/system/roles -&gt; 403 FORBIDDEN 'Vai trò Support không có quyền "admin.manage"' | GET /admin/system/integrations -&gt; 403 FORBIDDEN 'Vai trò Support không có quyền "system.settings"' | GET /admin/system/notifications/settings -&gt; 403 FORBIDDEN 'Vai trò Support không có quyền "system.settings"' | GET /admin/system/email-templates -&gt; 403 FORBIDDEN 'Vai trò Support không có quyền "system.settings"' | GET /admin/system/settings -&gt; 403 FORBIDDEN 'Vai trò Support không có quyền "system.settings"' | GET /admin/audit-logs/export -&gt; 403 FORBIDDEN 'Vai trò Support không có quyền "audit.view"' | GET /admin/system/khong-co-route -&gt; 403 FORBIDDEN 'Chỉ Super Admin mới có quyền này'. Quyền kiểm tra TRƯỚC khi validate body/tìm bản ghi nên id giả vẫn ra 403 với route không được phép; không route nào trả 401 (token hợp lệ).</t>
        </is>
      </c>
      <c r="M48" s="15" t="inlineStr"/>
      <c r="N48" s="18" t="inlineStr">
        <is>
          <t>Chưa test</t>
        </is>
      </c>
      <c r="O48" s="15" t="inlineStr"/>
      <c r="P48" s="15" t="inlineStr"/>
      <c r="Q48" s="18" t="inlineStr">
        <is>
          <t>Chưa test</t>
        </is>
      </c>
      <c r="R48" s="15" t="inlineStr"/>
    </row>
    <row r="49" ht="150" customHeight="1">
      <c r="A49" s="14" t="inlineStr">
        <is>
          <t>TC-ADM3-048</t>
        </is>
      </c>
      <c r="B49" s="15" t="inlineStr">
        <is>
          <t>Admin Console (đợt 3: Phân tích, Hỗ trợ, Hệ thống)</t>
        </is>
      </c>
      <c r="C49" s="15" t="inlineStr">
        <is>
          <t>Ma trận phân quyền nhân viên (API)</t>
        </is>
      </c>
      <c r="D49" s="15" t="inlineStr">
        <is>
          <t>Vai trò Finance gọi các route đợt 1 (tổng quan, cộng đồng, người dùng, kiểm duyệt, nhật ký): đúng route được phép (200) và 403 ngoài ra</t>
        </is>
      </c>
      <c r="E49" s="15" t="inlineStr">
        <is>
          <t>Bảo mật</t>
        </is>
      </c>
      <c r="F49" s="16" t="inlineStr">
        <is>
          <t>Cao</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49" s="15" t="inlineStr">
        <is>
          <t>1. GET /api/admin/me  (cần quyền: chỉ cần là nhân viên)
2. GET /api/admin/dashboard  (cần quyền: dashboard.view)
3. GET /api/admin/communities  (cần quyền: community.manage)
4. POST /api/admin/communities/khong-ton-tai/approve  (cần quyền: community.manage)
5. GET /api/admin/users  (cần quyền: users.view)
6. POST /api/admin/users/khong-ton-tai/warn  (cần quyền: user.ban)
7. GET /api/admin/moderation/cases  (cần quyền: report.resolve)
8. POST /api/admin/moderation/cases/khong-ton-tai/dismiss  (cần quyền: report.resolve)
9. GET /api/admin/audit-logs  (cần quyền: audit.view)
10. Ghi mã trạng thái từng yêu cầu (POST gửi body {} và id giả 'khong-ton-tai')</t>
        </is>
      </c>
      <c r="K49" s="15" t="inlineStr">
        <is>
          <t>finance@sofinhub.test</t>
        </is>
      </c>
      <c r="L49" s="15" t="inlineStr">
        <is>
          <t>2/9 route qua guard; còn lại 403. Chi tiết: GET /admin/me -&gt; 200 | GET /admin/dashboard -&gt; 200 | GET /admin/communities -&gt; 403 FORBIDDEN 'Vai trò Finance không có quyền "community.manage"' | POST /admin/communities/khong-ton-tai/approve -&gt; 403 FORBIDDEN 'Vai trò Finance không có quyền "community.manage"' | GET /admin/users -&gt; 403 FORBIDDEN 'Vai trò Finance không có quyền "users.view"' | POST /admin/users/khong-ton-tai/warn -&gt; 403 FORBIDDEN 'Vai trò Finance không có quyền "user.ban"' | GET /admin/moderation/cases -&gt; 403 FORBIDDEN 'Vai trò Finance không có quyền "report.resolve"' | POST /admin/moderation/cases/khong-ton-tai/dismiss -&gt; 403 FORBIDDEN 'Vai trò Finance không có quyền "report.resolve"' | GET /admin/audit-logs -&gt; 403 FORBIDDEN 'Vai trò Finance không có quyền "audit.view"'. Quyền kiểm tra TRƯỚC khi validate body/tìm bản ghi nên id giả vẫn ra 403 với route không được phép; không route nào trả 401 (token hợp lệ).</t>
        </is>
      </c>
      <c r="M49" s="15" t="inlineStr"/>
      <c r="N49" s="18" t="inlineStr">
        <is>
          <t>Chưa test</t>
        </is>
      </c>
      <c r="O49" s="15" t="inlineStr"/>
      <c r="P49" s="15" t="inlineStr"/>
      <c r="Q49" s="18" t="inlineStr">
        <is>
          <t>Chưa test</t>
        </is>
      </c>
      <c r="R49" s="15" t="inlineStr"/>
    </row>
    <row r="50" ht="285" customHeight="1">
      <c r="A50" s="14" t="inlineStr">
        <is>
          <t>TC-ADM3-049</t>
        </is>
      </c>
      <c r="B50" s="15" t="inlineStr">
        <is>
          <t>Admin Console (đợt 3: Phân tích, Hỗ trợ, Hệ thống)</t>
        </is>
      </c>
      <c r="C50" s="15" t="inlineStr">
        <is>
          <t>Ma trận phân quyền nhân viên (API)</t>
        </is>
      </c>
      <c r="D50" s="15" t="inlineStr">
        <is>
          <t>Vai trò Finance gọi các route đợt 2 (nội dung, thanh toán, khám phá, route cũ refunds/payouts): đúng route được phép (200) và 403 ngoài ra</t>
        </is>
      </c>
      <c r="E50" s="15" t="inlineStr">
        <is>
          <t>Bảo mật</t>
        </is>
      </c>
      <c r="F50" s="16" t="inlineStr">
        <is>
          <t>Cao</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50" s="15" t="inlineStr">
        <is>
          <t>1. GET /api/admin/content/posts  (cần quyền: content.manage)
2. POST /api/admin/content/posts/khong-ton-tai/hide  (cần quyền: content.manage)
3. GET /api/admin/payments/transactions  (cần quyền: payment.view)
4. GET /api/admin/payments/subscriptions  (cần quyền: payment.view)
5. GET /api/admin/payments/creators  (cần quyền: payment.view)
6. GET /api/admin/payments/payouts  (cần quyền: payment.view)
7. POST /api/admin/payments/refunds/khong-ton-tai/approve  (cần quyền: payment.refund)
8. POST /api/admin/payments/transactions/khong-ton-tai/refund  (cần quyền: payment.refund)
9. POST /api/admin/payments/transactions/khong-ton-tai/retry  (cần quyền: payment.manage)
10. POST /api/admin/payments/subscriptions/khong-ton-tai/pause  (cần quyền: payment.manage)
11. POST /api/admin/payments/chargebacks  (cần quyền: payment.manage)
12. POST /api/admin/payments/payouts/khong-ton-tai/hold  (cần quyền: payout.approve)
13. GET /api/admin/discovery/communities  (cần quyền: community.manage)
14. GET /api/admin/discovery/rankings  (cần quyền: community.manage)
15. GET /api/admin/refunds  (cần quyền: payment.view)
16. PATCH /api/admin/refunds/khong-ton-tai  (cần quyền: payment.refund)
17. GET /api/admin/payouts  (cần quyền: payment.view)
18. PATCH /api/admin/payouts/khong-ton-tai  (cần quyền: payout.approve)
19. Ghi mã trạng thái từng yêu cầu (POST gửi body {} và id giả 'khong-ton-tai')</t>
        </is>
      </c>
      <c r="K50" s="15" t="inlineStr">
        <is>
          <t>finance@sofinhub.test</t>
        </is>
      </c>
      <c r="L50" s="15" t="inlineStr">
        <is>
          <t>14/18 route qua guard; còn lại 403. Chi tiết: GET /admin/content/posts -&gt; 403 FORBIDDEN 'Vai trò Finance không có quyền "content.manage"' | POST /admin/content/posts/khong-ton-tai/hide -&gt; 403 FORBIDDEN 'Vai trò Finance không có quyền "content.manage"' | GET /admin/payments/transactions -&gt; 200 | GET /admin/payments/subscriptions -&gt; 200 | GET /admin/payments/creators -&gt; 200 | GET /admin/payments/payouts -&gt; 200 | POST /admin/payments/refunds/khong-ton-tai/approve -&gt; qua guard (id/body giả -&gt; 404/400, KHÔNG 403) | POST /admin/payments/transactions/khong-ton-tai/refund -&gt; qua guard (id/body giả -&gt; 404/400, KHÔNG 403) | POST /admin/payments/transactions/khong-ton-tai/retry -&gt; qua guard (id/body giả -&gt; 404/400, KHÔNG 403) | POST /admin/payments/subscriptions/khong-ton-tai/pause -&gt; qua guard (id/body giả -&gt; 404/400, KHÔNG 403) | POST /admin/payments/chargebacks -&gt; qua guard (id/body giả -&gt; 404/400, KHÔNG 403) | POST /admin/payments/payouts/khong-ton-tai/hold -&gt; qua guard (id/body giả -&gt; 404/400, KHÔNG 403) | GET /admin/discovery/communities -&gt; 403 FORBIDDEN 'Vai trò Finance không có quyền "community.manage"' | GET /admin/discovery/rankings -&gt; 403 FORBIDDEN 'Vai trò Finance không có quyền "community.manage"' | GET /admin/refunds -&gt; 200 | PATCH /admin/refunds/khong-ton-tai -&gt; qua guard (id/body giả -&gt; 404/400, KHÔNG 403) | GET /admin/payouts -&gt; 200 | PATCH /admin/payouts/khong-ton-tai -&gt; qua guard (id/body giả -&gt; 404/400, KHÔNG 403). Quyền kiểm tra TRƯỚC khi validate body/tìm bản ghi nên id giả vẫn ra 403 với route không được phép; không route nào trả 401 (token hợp lệ).</t>
        </is>
      </c>
      <c r="M50" s="15" t="inlineStr"/>
      <c r="N50" s="18" t="inlineStr">
        <is>
          <t>Chưa test</t>
        </is>
      </c>
      <c r="O50" s="15" t="inlineStr"/>
      <c r="P50" s="15" t="inlineStr"/>
      <c r="Q50" s="18" t="inlineStr">
        <is>
          <t>Chưa test</t>
        </is>
      </c>
      <c r="R50" s="15" t="inlineStr"/>
    </row>
    <row r="51" ht="225" customHeight="1">
      <c r="A51" s="14" t="inlineStr">
        <is>
          <t>TC-ADM3-050</t>
        </is>
      </c>
      <c r="B51" s="15" t="inlineStr">
        <is>
          <t>Admin Console (đợt 3: Phân tích, Hỗ trợ, Hệ thống)</t>
        </is>
      </c>
      <c r="C51" s="15" t="inlineStr">
        <is>
          <t>Ma trận phân quyền nhân viên (API)</t>
        </is>
      </c>
      <c r="D51" s="15" t="inlineStr">
        <is>
          <t>Vai trò Finance gọi các route đợt 3 (phân tích, hỗ trợ, hệ thống): đúng route được phép (200) và 403 ngoài ra</t>
        </is>
      </c>
      <c r="E51" s="15" t="inlineStr">
        <is>
          <t>Bảo mật</t>
        </is>
      </c>
      <c r="F51" s="16" t="inlineStr">
        <is>
          <t>Cao</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51" s="15" t="inlineStr">
        <is>
          <t>1. GET /api/admin/analytics/users  (cần quyền: analytics.view)
2. GET /api/admin/analytics/revenue  (cần quyền: analytics.view)
3. GET /api/admin/support/tickets  (cần quyền: support.manage)
4. POST /api/admin/support/tickets/khong-ton-tai/reply  (cần quyền: support.manage)
5. GET /api/admin/system/categories  (cần quyền: community.manage)
6. GET /api/admin/system/flags  (cần quyền: system.flags)
7. GET /api/admin/system/admins  (cần quyền: admin.manage)
8. GET /api/admin/system/roles  (cần quyền: admin.manage)
9. GET /api/admin/system/integrations  (cần quyền: system.settings)
10. GET /api/admin/system/notifications/settings  (cần quyền: system.settings)
11. GET /api/admin/system/email-templates  (cần quyền: system.settings)
12. GET /api/admin/system/settings  (cần quyền: system.settings)
13. GET /api/admin/audit-logs/export  (cần quyền: audit.view)
14. GET /api/admin/system/khong-co-route  (cần quyền: super)
15. Ghi mã trạng thái từng yêu cầu (POST gửi body {} và id giả 'khong-ton-tai')</t>
        </is>
      </c>
      <c r="K51" s="15" t="inlineStr">
        <is>
          <t>finance@sofinhub.test</t>
        </is>
      </c>
      <c r="L51" s="15" t="inlineStr">
        <is>
          <t>2/14 route qua guard; còn lại 403. Chi tiết: GET /admin/analytics/users -&gt; 200 | GET /admin/analytics/revenue -&gt; 200 | GET /admin/support/tickets -&gt; 403 FORBIDDEN 'Vai trò Finance không có quyền "support.manage"' | POST /admin/support/tickets/khong-ton-tai/reply -&gt; 403 FORBIDDEN 'Vai trò Finance không có quyền "support.manage"' | GET /admin/system/categories -&gt; 403 FORBIDDEN 'Vai trò Finance không có quyền "community.manage"' | GET /admin/system/flags -&gt; 403 FORBIDDEN 'Vai trò Finance không có quyền "system.flags"' | GET /admin/system/admins -&gt; 403 FORBIDDEN 'Vai trò Finance không có quyền "admin.manage"' | GET /admin/system/roles -&gt; 403 FORBIDDEN 'Vai trò Finance không có quyền "admin.manage"' | GET /admin/system/integrations -&gt; 403 FORBIDDEN 'Vai trò Finance không có quyền "system.settings"' | GET /admin/system/notifications/settings -&gt; 403 FORBIDDEN 'Vai trò Finance không có quyền "system.settings"' | GET /admin/system/email-templates -&gt; 403 FORBIDDEN 'Vai trò Finance không có quyền "system.settings"' | GET /admin/system/settings -&gt; 403 FORBIDDEN 'Vai trò Finance không có quyền "system.settings"' | GET /admin/audit-logs/export -&gt; 403 FORBIDDEN 'Vai trò Finance không có quyền "audit.view"' | GET /admin/system/khong-co-route -&gt; 403 FORBIDDEN 'Chỉ Super Admin mới có quyền này'. Quyền kiểm tra TRƯỚC khi validate body/tìm bản ghi nên id giả vẫn ra 403 với route không được phép; không route nào trả 401 (token hợp lệ).</t>
        </is>
      </c>
      <c r="M51" s="15" t="inlineStr"/>
      <c r="N51" s="18" t="inlineStr">
        <is>
          <t>Chưa test</t>
        </is>
      </c>
      <c r="O51" s="15" t="inlineStr"/>
      <c r="P51" s="15" t="inlineStr"/>
      <c r="Q51" s="18" t="inlineStr">
        <is>
          <t>Chưa test</t>
        </is>
      </c>
      <c r="R51" s="15" t="inlineStr"/>
    </row>
    <row r="52" ht="150" customHeight="1">
      <c r="A52" s="14" t="inlineStr">
        <is>
          <t>TC-ADM3-051</t>
        </is>
      </c>
      <c r="B52" s="15" t="inlineStr">
        <is>
          <t>Admin Console (đợt 3: Phân tích, Hỗ trợ, Hệ thống)</t>
        </is>
      </c>
      <c r="C52" s="15" t="inlineStr">
        <is>
          <t>Ma trận phân quyền nhân viên (API)</t>
        </is>
      </c>
      <c r="D52" s="15" t="inlineStr">
        <is>
          <t>Vai trò Content Reviewer gọi các route đợt 1 (tổng quan, cộng đồng, người dùng, kiểm duyệt, nhật ký): đúng route được phép (200) và 403 ngoài ra</t>
        </is>
      </c>
      <c r="E52" s="15" t="inlineStr">
        <is>
          <t>Bảo mật</t>
        </is>
      </c>
      <c r="F52" s="16" t="inlineStr">
        <is>
          <t>Cao</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Super Admin tạo nhân viên Content Reviewer (POST /admin/system/admins {email:'member1@sofinhub.test', roleKey:'content_reviewer'}) rồi lấy token member1@ / Passw0rd!x. Case làm thay đổi dữ liệu seed (MUTATE) - khôi phục bằng npm run db:reset (db:seed là idempotent chỉ-tạo nên KHÔNG hoàn tác thao tác admin); hoặc chạy trên bản ghi do chính case tạo ra.</t>
        </is>
      </c>
      <c r="J52" s="15" t="inlineStr">
        <is>
          <t>1. GET /api/admin/me  (cần quyền: chỉ cần là nhân viên)
2. GET /api/admin/dashboard  (cần quyền: dashboard.view)
3. GET /api/admin/communities  (cần quyền: community.manage)
4. POST /api/admin/communities/khong-ton-tai/approve  (cần quyền: community.manage)
5. GET /api/admin/users  (cần quyền: users.view)
6. POST /api/admin/users/khong-ton-tai/warn  (cần quyền: user.ban)
7. GET /api/admin/moderation/cases  (cần quyền: report.resolve)
8. POST /api/admin/moderation/cases/khong-ton-tai/dismiss  (cần quyền: report.resolve)
9. GET /api/admin/audit-logs  (cần quyền: audit.view)
10. Ghi mã trạng thái từng yêu cầu (POST gửi body {} và id giả 'khong-ton-tai')</t>
        </is>
      </c>
      <c r="K52" s="15" t="inlineStr">
        <is>
          <t>tài khoản được gán vai trò Content Reviewer (xem tiền điều kiện)</t>
        </is>
      </c>
      <c r="L52" s="15" t="inlineStr">
        <is>
          <t>3/9 route qua guard; còn lại 403. Chi tiết: GET /admin/me -&gt; 200 | GET /admin/dashboard -&gt; 200 | GET /admin/communities -&gt; 403 FORBIDDEN 'Vai trò Content Reviewer không có quyền "community.manage"' | POST /admin/communities/khong-ton-tai/approve -&gt; 403 FORBIDDEN 'Vai trò Content Reviewer không có quyền "community.manage"' | GET /admin/users -&gt; 200 | POST /admin/users/khong-ton-tai/warn -&gt; 403 FORBIDDEN 'Vai trò Content Reviewer không có quyền "user.ban"' | GET /admin/moderation/cases -&gt; 403 FORBIDDEN 'Vai trò Content Reviewer không có quyền "report.resolve"' | POST /admin/moderation/cases/khong-ton-tai/dismiss -&gt; 403 FORBIDDEN 'Vai trò Content Reviewer không có quyền "report.resolve"' | GET /admin/audit-logs -&gt; 403 FORBIDDEN 'Vai trò Content Reviewer không có quyền "audit.view"'. Quyền kiểm tra TRƯỚC khi validate body/tìm bản ghi nên id giả vẫn ra 403 với route không được phép; không route nào trả 401 (token hợp lệ).</t>
        </is>
      </c>
      <c r="M52" s="15" t="inlineStr"/>
      <c r="N52" s="18" t="inlineStr">
        <is>
          <t>Chưa test</t>
        </is>
      </c>
      <c r="O52" s="15" t="inlineStr"/>
      <c r="P52" s="15" t="inlineStr"/>
      <c r="Q52" s="18" t="inlineStr">
        <is>
          <t>Chưa test</t>
        </is>
      </c>
      <c r="R52" s="15" t="inlineStr"/>
    </row>
    <row r="53" ht="285" customHeight="1">
      <c r="A53" s="14" t="inlineStr">
        <is>
          <t>TC-ADM3-052</t>
        </is>
      </c>
      <c r="B53" s="15" t="inlineStr">
        <is>
          <t>Admin Console (đợt 3: Phân tích, Hỗ trợ, Hệ thống)</t>
        </is>
      </c>
      <c r="C53" s="15" t="inlineStr">
        <is>
          <t>Ma trận phân quyền nhân viên (API)</t>
        </is>
      </c>
      <c r="D53" s="15" t="inlineStr">
        <is>
          <t>Vai trò Content Reviewer gọi các route đợt 2 (nội dung, thanh toán, khám phá, route cũ refunds/payouts): đúng route được phép (200) và 403 ngoài ra</t>
        </is>
      </c>
      <c r="E53" s="15" t="inlineStr">
        <is>
          <t>Bảo mật</t>
        </is>
      </c>
      <c r="F53" s="16" t="inlineStr">
        <is>
          <t>Cao</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Super Admin tạo nhân viên Content Reviewer (POST /admin/system/admins {email:'member1@sofinhub.test', roleKey:'content_reviewer'}) rồi lấy token member1@ / Passw0rd!x. Case làm thay đổi dữ liệu seed (MUTATE) - khôi phục bằng npm run db:reset (db:seed là idempotent chỉ-tạo nên KHÔNG hoàn tác thao tác admin); hoặc chạy trên bản ghi do chính case tạo ra.</t>
        </is>
      </c>
      <c r="J53" s="15" t="inlineStr">
        <is>
          <t>1. GET /api/admin/content/posts  (cần quyền: content.manage)
2. POST /api/admin/content/posts/khong-ton-tai/hide  (cần quyền: content.manage)
3. GET /api/admin/payments/transactions  (cần quyền: payment.view)
4. GET /api/admin/payments/subscriptions  (cần quyền: payment.view)
5. GET /api/admin/payments/creators  (cần quyền: payment.view)
6. GET /api/admin/payments/payouts  (cần quyền: payment.view)
7. POST /api/admin/payments/refunds/khong-ton-tai/approve  (cần quyền: payment.refund)
8. POST /api/admin/payments/transactions/khong-ton-tai/refund  (cần quyền: payment.refund)
9. POST /api/admin/payments/transactions/khong-ton-tai/retry  (cần quyền: payment.manage)
10. POST /api/admin/payments/subscriptions/khong-ton-tai/pause  (cần quyền: payment.manage)
11. POST /api/admin/payments/chargebacks  (cần quyền: payment.manage)
12. POST /api/admin/payments/payouts/khong-ton-tai/hold  (cần quyền: payout.approve)
13. GET /api/admin/discovery/communities  (cần quyền: community.manage)
14. GET /api/admin/discovery/rankings  (cần quyền: community.manage)
15. GET /api/admin/refunds  (cần quyền: payment.view)
16. PATCH /api/admin/refunds/khong-ton-tai  (cần quyền: payment.refund)
17. GET /api/admin/payouts  (cần quyền: payment.view)
18. PATCH /api/admin/payouts/khong-ton-tai  (cần quyền: payout.approve)
19. Ghi mã trạng thái từng yêu cầu (POST gửi body {} và id giả 'khong-ton-tai')</t>
        </is>
      </c>
      <c r="K53" s="15" t="inlineStr">
        <is>
          <t>tài khoản được gán vai trò Content Reviewer (xem tiền điều kiện)</t>
        </is>
      </c>
      <c r="L53" s="15" t="inlineStr">
        <is>
          <t>2/18 route qua guard; còn lại 403. Chi tiết: GET /admin/content/posts -&gt; 200 | POST /admin/content/posts/khong-ton-tai/hide -&gt; qua guard (id/body giả -&gt; 404/400, KHÔNG 403) | GET /admin/payments/transactions -&gt; 403 FORBIDDEN 'Vai trò Content Reviewer không có quyền "payment.view"' | GET /admin/payments/subscriptions -&gt; 403 FORBIDDEN 'Vai trò Content Reviewer không có quyền "payment.view"' | GET /admin/payments/creators -&gt; 403 FORBIDDEN 'Vai trò Content Reviewer không có quyền "payment.view"' | GET /admin/payments/payouts -&gt; 403 FORBIDDEN 'Vai trò Content Reviewer không có quyền "payment.view"' | POST /admin/payments/refunds/khong-ton-tai/approve -&gt; 403 FORBIDDEN 'Vai trò Content Reviewer không có quyền "payment.refund"' | POST /admin/payments/transactions/khong-ton-tai/refund -&gt; 403 FORBIDDEN 'Vai trò Content Reviewer không có quyền "payment.refund"' | POST /admin/payments/transactions/khong-ton-tai/retry -&gt; 403 FORBIDDEN 'Vai trò Content Reviewer không có quyền "payment.manage"' | POST /admin/payments/subscriptions/khong-ton-tai/pause -&gt; 403 FORBIDDEN 'Vai trò Content Reviewer không có quyền "payment.manage"' | POST /admin/payments/chargebacks -&gt; 403 FORBIDDEN 'Vai trò Content Reviewer không có quyền "payment.manage"' | POST /admin/payments/payouts/khong-ton-tai/hold -&gt; 403 FORBIDDEN 'Vai trò Content Reviewer không có quyền "payout.approve"' | GET /admin/discovery/communities -&gt; 403 FORBIDDEN 'Vai trò Content Reviewer không có quyền "community.manage"' | GET /admin/discovery/rankings -&gt; 403 FORBIDDEN 'Vai trò Content Reviewer không có quyền "community.manage"' | GET /admin/refunds -&gt; 403 FORBIDDEN 'Vai trò Content Reviewer không có quyền "payment.view"' | PATCH /admin/refunds/khong-ton-tai -&gt; 403 FORBIDDEN 'Vai trò Content Reviewer không có quyền "payment.refund"' | GET /admin/payouts -&gt; 403 FORBIDDEN 'Vai trò Content Reviewer không có quyền "payment.view"' | PATCH /admin/payouts/khong-ton-tai -&gt; 403 FORBIDDEN 'Vai trò Content Reviewer không có quyền "payout.approve"'. Quyền kiểm tra TRƯỚC khi validate body/tìm bản ghi nên id giả vẫn ra 403 với route không được phép; không route nào trả 401 (token hợp lệ).</t>
        </is>
      </c>
      <c r="M53" s="15" t="inlineStr"/>
      <c r="N53" s="18" t="inlineStr">
        <is>
          <t>Chưa test</t>
        </is>
      </c>
      <c r="O53" s="15" t="inlineStr"/>
      <c r="P53" s="15" t="inlineStr"/>
      <c r="Q53" s="18" t="inlineStr">
        <is>
          <t>Chưa test</t>
        </is>
      </c>
      <c r="R53" s="15" t="inlineStr"/>
    </row>
    <row r="54" ht="225" customHeight="1">
      <c r="A54" s="14" t="inlineStr">
        <is>
          <t>TC-ADM3-053</t>
        </is>
      </c>
      <c r="B54" s="15" t="inlineStr">
        <is>
          <t>Admin Console (đợt 3: Phân tích, Hỗ trợ, Hệ thống)</t>
        </is>
      </c>
      <c r="C54" s="15" t="inlineStr">
        <is>
          <t>Ma trận phân quyền nhân viên (API)</t>
        </is>
      </c>
      <c r="D54" s="15" t="inlineStr">
        <is>
          <t>Vai trò Content Reviewer gọi các route đợt 3 (phân tích, hỗ trợ, hệ thống): đúng route được phép (200) và 403 ngoài ra</t>
        </is>
      </c>
      <c r="E54" s="15" t="inlineStr">
        <is>
          <t>Bảo mật</t>
        </is>
      </c>
      <c r="F54" s="16" t="inlineStr">
        <is>
          <t>Cao</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Super Admin tạo nhân viên Content Reviewer (POST /admin/system/admins {email:'member1@sofinhub.test', roleKey:'content_reviewer'}) rồi lấy token member1@ / Passw0rd!x. Case làm thay đổi dữ liệu seed (MUTATE) - khôi phục bằng npm run db:reset (db:seed là idempotent chỉ-tạo nên KHÔNG hoàn tác thao tác admin); hoặc chạy trên bản ghi do chính case tạo ra.</t>
        </is>
      </c>
      <c r="J54" s="15" t="inlineStr">
        <is>
          <t>1. GET /api/admin/analytics/users  (cần quyền: analytics.view)
2. GET /api/admin/analytics/revenue  (cần quyền: analytics.view)
3. GET /api/admin/support/tickets  (cần quyền: support.manage)
4. POST /api/admin/support/tickets/khong-ton-tai/reply  (cần quyền: support.manage)
5. GET /api/admin/system/categories  (cần quyền: community.manage)
6. GET /api/admin/system/flags  (cần quyền: system.flags)
7. GET /api/admin/system/admins  (cần quyền: admin.manage)
8. GET /api/admin/system/roles  (cần quyền: admin.manage)
9. GET /api/admin/system/integrations  (cần quyền: system.settings)
10. GET /api/admin/system/notifications/settings  (cần quyền: system.settings)
11. GET /api/admin/system/email-templates  (cần quyền: system.settings)
12. GET /api/admin/system/settings  (cần quyền: system.settings)
13. GET /api/admin/audit-logs/export  (cần quyền: audit.view)
14. GET /api/admin/system/khong-co-route  (cần quyền: super)
15. Ghi mã trạng thái từng yêu cầu (POST gửi body {} và id giả 'khong-ton-tai')</t>
        </is>
      </c>
      <c r="K54" s="15" t="inlineStr">
        <is>
          <t>tài khoản được gán vai trò Content Reviewer (xem tiền điều kiện)</t>
        </is>
      </c>
      <c r="L54" s="15" t="inlineStr">
        <is>
          <t>0/14 route qua guard; còn lại 403. Chi tiết: GET /admin/analytics/users -&gt; 403 FORBIDDEN 'Vai trò Content Reviewer không có quyền "analytics.view"' | GET /admin/analytics/revenue -&gt; 403 FORBIDDEN 'Vai trò Content Reviewer không có quyền "analytics.view"' | GET /admin/support/tickets -&gt; 403 FORBIDDEN 'Vai trò Content Reviewer không có quyền "support.manage"' | POST /admin/support/tickets/khong-ton-tai/reply -&gt; 403 FORBIDDEN 'Vai trò Content Reviewer không có quyền "support.manage"' | GET /admin/system/categories -&gt; 403 FORBIDDEN 'Vai trò Content Reviewer không có quyền "community.manage"' | GET /admin/system/flags -&gt; 403 FORBIDDEN 'Vai trò Content Reviewer không có quyền "system.flags"' | GET /admin/system/admins -&gt; 403 FORBIDDEN 'Vai trò Content Reviewer không có quyền "admin.manage"' | GET /admin/system/roles -&gt; 403 FORBIDDEN 'Vai trò Content Reviewer không có quyền "admin.manage"' | GET /admin/system/integrations -&gt; 403 FORBIDDEN 'Vai trò Content Reviewer không có quyền "system.settings"' | GET /admin/system/notifications/settings -&gt; 403 FORBIDDEN 'Vai trò Content Reviewer không có quyền "system.settings"' | GET /admin/system/email-templates -&gt; 403 FORBIDDEN 'Vai trò Content Reviewer không có quyền "system.settings"' | GET /admin/system/settings -&gt; 403 FORBIDDEN 'Vai trò Content Reviewer không có quyền "system.settings"' | GET /admin/audit-logs/export -&gt; 403 FORBIDDEN 'Vai trò Content Reviewer không có quyền "audit.view"' | GET /admin/system/khong-co-route -&gt; 403 FORBIDDEN 'Chỉ Super Admin mới có quyền này'. Quyền kiểm tra TRƯỚC khi validate body/tìm bản ghi nên id giả vẫn ra 403 với route không được phép; không route nào trả 401 (token hợp lệ).</t>
        </is>
      </c>
      <c r="M54" s="15" t="inlineStr"/>
      <c r="N54" s="18" t="inlineStr">
        <is>
          <t>Chưa test</t>
        </is>
      </c>
      <c r="O54" s="15" t="inlineStr"/>
      <c r="P54" s="15" t="inlineStr"/>
      <c r="Q54" s="18" t="inlineStr">
        <is>
          <t>Chưa test</t>
        </is>
      </c>
      <c r="R54" s="15" t="inlineStr"/>
    </row>
    <row r="55" ht="30" customHeight="1">
      <c r="A55" s="14" t="inlineStr">
        <is>
          <t>TC-ADM3-054</t>
        </is>
      </c>
      <c r="B55" s="15" t="inlineStr">
        <is>
          <t>Admin Console (đợt 3: Phân tích, Hỗ trợ, Hệ thống)</t>
        </is>
      </c>
      <c r="C55" s="15" t="inlineStr">
        <is>
          <t>Ma trận phân quyền nhân viên (API)</t>
        </is>
      </c>
      <c r="D55" s="15" t="inlineStr">
        <is>
          <t>Route 'Hồ sơ nhân viên' (GET /admin/me): chỉ Super Admin/Moderator/Support/Finance/Content Reviewer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/api/admin/me lần lượt bằng token admin@, moderator@, support@, finance@, member1@ (người dùng thường) và không token</t>
        </is>
      </c>
      <c r="K55" s="15" t="inlineStr">
        <is>
          <t>quyền cần: nhân viên bất kỳ</t>
        </is>
      </c>
      <c r="L55" s="15" t="inlineStr">
        <is>
          <t>Qua guard: Super Admin, Moderator, Support, Finance, Content Reviewer. 403: (không vai trò nào)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TC-ADM3-055</t>
        </is>
      </c>
      <c r="B56" s="15" t="inlineStr">
        <is>
          <t>Admin Console (đợt 3: Phân tích, Hỗ trợ, Hệ thống)</t>
        </is>
      </c>
      <c r="C56" s="15" t="inlineStr">
        <is>
          <t>Ma trận phân quyền nhân viên (API)</t>
        </is>
      </c>
      <c r="D56" s="15" t="inlineStr">
        <is>
          <t>Route 'Dashboard' (GET /admin/dashboard): chỉ Super Admin/Moderator/Support/Finance/Content Reviewer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/api/admin/dashboard lần lượt bằng token admin@, moderator@, support@, finance@, member1@ (người dùng thường) và không token</t>
        </is>
      </c>
      <c r="K56" s="15" t="inlineStr">
        <is>
          <t>quyền cần: dashboard.view</t>
        </is>
      </c>
      <c r="L56" s="15" t="inlineStr">
        <is>
          <t>Qua guard: Super Admin, Moderator, Support, Finance, Content Reviewer. 403: (không vai trò nào)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TC-ADM3-056</t>
        </is>
      </c>
      <c r="B57" s="15" t="inlineStr">
        <is>
          <t>Admin Console (đợt 3: Phân tích, Hỗ trợ, Hệ thống)</t>
        </is>
      </c>
      <c r="C57" s="15" t="inlineStr">
        <is>
          <t>Ma trận phân quyền nhân viên (API)</t>
        </is>
      </c>
      <c r="D57" s="15" t="inlineStr">
        <is>
          <t>Route 'Danh sách cộng đồng' (GET /admin/communities): chỉ Super Admin/Moderator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/api/admin/communities lần lượt bằng token admin@, moderator@, support@, finance@, member1@ (người dùng thường) và không token</t>
        </is>
      </c>
      <c r="K57" s="15" t="inlineStr">
        <is>
          <t>quyền cần: community.manage</t>
        </is>
      </c>
      <c r="L57" s="15" t="inlineStr">
        <is>
          <t>Qua guard: Super Admin, Moderator. 403: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TC-ADM3-057</t>
        </is>
      </c>
      <c r="B58" s="15" t="inlineStr">
        <is>
          <t>Admin Console (đợt 3: Phân tích, Hỗ trợ, Hệ thống)</t>
        </is>
      </c>
      <c r="C58" s="15" t="inlineStr">
        <is>
          <t>Ma trận phân quyền nhân viên (API)</t>
        </is>
      </c>
      <c r="D58" s="15" t="inlineStr">
        <is>
          <t>Route 'Duyệt cộng đồng' (POST /admin/communities/khong-ton-tai/approve): chỉ Super Admin/Moderator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POST /api/admin/communities/khong-ton-tai/approve lần lượt bằng token admin@, moderator@, support@, finance@, member1@ (người dùng thường) và không token</t>
        </is>
      </c>
      <c r="K58" s="15" t="inlineStr">
        <is>
          <t>quyền cần: community.manage</t>
        </is>
      </c>
      <c r="L58" s="15" t="inlineStr">
        <is>
          <t>Qua guard: Super Admin, Moderator. 403: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TC-ADM3-058</t>
        </is>
      </c>
      <c r="B59" s="15" t="inlineStr">
        <is>
          <t>Admin Console (đợt 3: Phân tích, Hỗ trợ, Hệ thống)</t>
        </is>
      </c>
      <c r="C59" s="15" t="inlineStr">
        <is>
          <t>Ma trận phân quyền nhân viên (API)</t>
        </is>
      </c>
      <c r="D59" s="15" t="inlineStr">
        <is>
          <t>Route 'Danh sách người dùng' (GET /admin/users): chỉ Super Admin/Moderator/Support/Content Reviewer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/api/admin/users lần lượt bằng token admin@, moderator@, support@, finance@, member1@ (người dùng thường) và không token</t>
        </is>
      </c>
      <c r="K59" s="15" t="inlineStr">
        <is>
          <t>quyền cần: users.view</t>
        </is>
      </c>
      <c r="L59" s="15" t="inlineStr">
        <is>
          <t>Qua guard: Super Admin, Moderator, Support, Content Reviewer. 403: Finance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30" customHeight="1">
      <c r="A60" s="14" t="inlineStr">
        <is>
          <t>TC-ADM3-059</t>
        </is>
      </c>
      <c r="B60" s="15" t="inlineStr">
        <is>
          <t>Admin Console (đợt 3: Phân tích, Hỗ trợ, Hệ thống)</t>
        </is>
      </c>
      <c r="C60" s="15" t="inlineStr">
        <is>
          <t>Ma trận phân quyền nhân viên (API)</t>
        </is>
      </c>
      <c r="D60" s="15" t="inlineStr">
        <is>
          <t>Route 'Cảnh cáo người dùng' (POST /admin/users/khong-ton-tai/warn): chỉ Super Admin/Moderator qua guard</t>
        </is>
      </c>
      <c r="E60" s="15" t="inlineStr">
        <is>
          <t>Bảo mật</t>
        </is>
      </c>
      <c r="F60" s="20" t="inlineStr">
        <is>
          <t>Trung bình</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60" s="15" t="inlineStr">
        <is>
          <t>1. Gọi POST /api/admin/users/khong-ton-tai/warn lần lượt bằng token admin@, moderator@, support@, finance@, member1@ (người dùng thường) và không token</t>
        </is>
      </c>
      <c r="K60" s="15" t="inlineStr">
        <is>
          <t>quyền cần: user.ban</t>
        </is>
      </c>
      <c r="L60" s="15" t="inlineStr">
        <is>
          <t>Qua guard: Super Admin, Moderator. 403: Support, Finance, Content Reviewer và member1@ ('Chỉ nhân viên admin mới có quyền này'). Không token -&gt; 401 UNAUTHORIZED.</t>
        </is>
      </c>
      <c r="M60" s="15" t="inlineStr"/>
      <c r="N60" s="18" t="inlineStr">
        <is>
          <t>Chưa test</t>
        </is>
      </c>
      <c r="O60" s="15" t="inlineStr"/>
      <c r="P60" s="15" t="inlineStr"/>
      <c r="Q60" s="18" t="inlineStr">
        <is>
          <t>Chưa test</t>
        </is>
      </c>
      <c r="R60" s="15" t="inlineStr"/>
    </row>
    <row r="61" ht="30" customHeight="1">
      <c r="A61" s="14" t="inlineStr">
        <is>
          <t>TC-ADM3-060</t>
        </is>
      </c>
      <c r="B61" s="15" t="inlineStr">
        <is>
          <t>Admin Console (đợt 3: Phân tích, Hỗ trợ, Hệ thống)</t>
        </is>
      </c>
      <c r="C61" s="15" t="inlineStr">
        <is>
          <t>Ma trận phân quyền nhân viên (API)</t>
        </is>
      </c>
      <c r="D61" s="15" t="inlineStr">
        <is>
          <t>Route 'Hàng đợi kiểm duyệt' (GET /admin/moderation/cases): chỉ Super Admin/Moderator/Support qua guard</t>
        </is>
      </c>
      <c r="E61" s="15" t="inlineStr">
        <is>
          <t>Bảo mật</t>
        </is>
      </c>
      <c r="F61" s="20" t="inlineStr">
        <is>
          <t>Trung bình</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61" s="15" t="inlineStr">
        <is>
          <t>1. Gọi GET /api/admin/moderation/cases lần lượt bằng token admin@, moderator@, support@, finance@, member1@ (người dùng thường) và không token</t>
        </is>
      </c>
      <c r="K61" s="15" t="inlineStr">
        <is>
          <t>quyền cần: report.resolve</t>
        </is>
      </c>
      <c r="L61" s="15" t="inlineStr">
        <is>
          <t>Qua guard: Super Admin, Moderator, Support. 403: Finance, Content Reviewer và member1@ ('Chỉ nhân viên admin mới có quyền này'). Không token -&gt; 401 UNAUTHORIZED.</t>
        </is>
      </c>
      <c r="M61" s="15" t="inlineStr"/>
      <c r="N61" s="18" t="inlineStr">
        <is>
          <t>Chưa test</t>
        </is>
      </c>
      <c r="O61" s="15" t="inlineStr"/>
      <c r="P61" s="15" t="inlineStr"/>
      <c r="Q61" s="18" t="inlineStr">
        <is>
          <t>Chưa test</t>
        </is>
      </c>
      <c r="R61" s="15" t="inlineStr"/>
    </row>
    <row r="62" ht="30" customHeight="1">
      <c r="A62" s="14" t="inlineStr">
        <is>
          <t>TC-ADM3-061</t>
        </is>
      </c>
      <c r="B62" s="15" t="inlineStr">
        <is>
          <t>Admin Console (đợt 3: Phân tích, Hỗ trợ, Hệ thống)</t>
        </is>
      </c>
      <c r="C62" s="15" t="inlineStr">
        <is>
          <t>Ma trận phân quyền nhân viên (API)</t>
        </is>
      </c>
      <c r="D62" s="15" t="inlineStr">
        <is>
          <t>Route 'Xử lý vụ việc (bỏ qua)' (POST /admin/moderation/cases/khong-ton-tai/dismiss): chỉ Super Admin/Moderator/Support qua guard</t>
        </is>
      </c>
      <c r="E62" s="15" t="inlineStr">
        <is>
          <t>Bảo mật</t>
        </is>
      </c>
      <c r="F62" s="20" t="inlineStr">
        <is>
          <t>Trung bình</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62" s="15" t="inlineStr">
        <is>
          <t>1. Gọi POST /api/admin/moderation/cases/khong-ton-tai/dismiss lần lượt bằng token admin@, moderator@, support@, finance@, member1@ (người dùng thường) và không token</t>
        </is>
      </c>
      <c r="K62" s="15" t="inlineStr">
        <is>
          <t>quyền cần: report.resolve</t>
        </is>
      </c>
      <c r="L62" s="15" t="inlineStr">
        <is>
          <t>Qua guard: Super Admin, Moderator, Support. 403: Finance, Content Reviewer và member1@ ('Chỉ nhân viên admin mới có quyền này'). Không token -&gt; 401 UNAUTHORIZED.</t>
        </is>
      </c>
      <c r="M62" s="15" t="inlineStr"/>
      <c r="N62" s="18" t="inlineStr">
        <is>
          <t>Chưa test</t>
        </is>
      </c>
      <c r="O62" s="15" t="inlineStr"/>
      <c r="P62" s="15" t="inlineStr"/>
      <c r="Q62" s="18" t="inlineStr">
        <is>
          <t>Chưa test</t>
        </is>
      </c>
      <c r="R62" s="15" t="inlineStr"/>
    </row>
    <row r="63" ht="30" customHeight="1">
      <c r="A63" s="14" t="inlineStr">
        <is>
          <t>TC-ADM3-062</t>
        </is>
      </c>
      <c r="B63" s="15" t="inlineStr">
        <is>
          <t>Admin Console (đợt 3: Phân tích, Hỗ trợ, Hệ thống)</t>
        </is>
      </c>
      <c r="C63" s="15" t="inlineStr">
        <is>
          <t>Ma trận phân quyền nhân viên (API)</t>
        </is>
      </c>
      <c r="D63" s="15" t="inlineStr">
        <is>
          <t>Route 'Nhật ký audit' (GET /admin/audit-logs): chỉ Super Admin qua guard</t>
        </is>
      </c>
      <c r="E63" s="15" t="inlineStr">
        <is>
          <t>Bảo mật</t>
        </is>
      </c>
      <c r="F63" s="20" t="inlineStr">
        <is>
          <t>Trung bình</t>
        </is>
      </c>
      <c r="G63" s="17" t="inlineStr">
        <is>
          <t>Đã hoàn thiện</t>
        </is>
      </c>
      <c r="H63" s="17" t="inlineStr">
        <is>
          <t>Có</t>
        </is>
      </c>
      <c r="I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63" s="15" t="inlineStr">
        <is>
          <t>1. Gọi GET /api/admin/audit-logs lần lượt bằng token admin@, moderator@, support@, finance@, member1@ (người dùng thường) và không token</t>
        </is>
      </c>
      <c r="K63" s="15" t="inlineStr">
        <is>
          <t>quyền cần: audit.view</t>
        </is>
      </c>
      <c r="L63" s="15" t="inlineStr">
        <is>
          <t>Qua guard: Super Admin. 403: Moderator, Support, Finance, Content Reviewer và member1@ ('Chỉ nhân viên admin mới có quyền này'). Không token -&gt; 401 UNAUTHORIZED.</t>
        </is>
      </c>
      <c r="M63" s="15" t="inlineStr"/>
      <c r="N63" s="18" t="inlineStr">
        <is>
          <t>Chưa test</t>
        </is>
      </c>
      <c r="O63" s="15" t="inlineStr"/>
      <c r="P63" s="15" t="inlineStr"/>
      <c r="Q63" s="18" t="inlineStr">
        <is>
          <t>Chưa test</t>
        </is>
      </c>
      <c r="R63" s="15" t="inlineStr"/>
    </row>
    <row r="64" ht="30" customHeight="1">
      <c r="A64" s="14" t="inlineStr">
        <is>
          <t>TC-ADM3-063</t>
        </is>
      </c>
      <c r="B64" s="15" t="inlineStr">
        <is>
          <t>Admin Console (đợt 3: Phân tích, Hỗ trợ, Hệ thống)</t>
        </is>
      </c>
      <c r="C64" s="15" t="inlineStr">
        <is>
          <t>Ma trận phân quyền nhân viên (API)</t>
        </is>
      </c>
      <c r="D64" s="15" t="inlineStr">
        <is>
          <t>Route 'Bài viết (xem)' (GET /admin/content/posts): chỉ Super Admin/Moderator/Content Reviewer qua guard</t>
        </is>
      </c>
      <c r="E64" s="15" t="inlineStr">
        <is>
          <t>Bảo mật</t>
        </is>
      </c>
      <c r="F64" s="20" t="inlineStr">
        <is>
          <t>Trung bình</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64" s="15" t="inlineStr">
        <is>
          <t>1. Gọi GET /api/admin/content/posts lần lượt bằng token admin@, moderator@, support@, finance@, member1@ (người dùng thường) và không token</t>
        </is>
      </c>
      <c r="K64" s="15" t="inlineStr">
        <is>
          <t>quyền cần: content.manage</t>
        </is>
      </c>
      <c r="L64" s="15" t="inlineStr">
        <is>
          <t>Qua guard: Super Admin, Moderator, Content Reviewer. 403: Support, Finance và member1@ ('Chỉ nhân viên admin mới có quyền này'). Không token -&gt; 401 UNAUTHORIZED.</t>
        </is>
      </c>
      <c r="M64" s="15" t="inlineStr"/>
      <c r="N64" s="18" t="inlineStr">
        <is>
          <t>Chưa test</t>
        </is>
      </c>
      <c r="O64" s="15" t="inlineStr"/>
      <c r="P64" s="15" t="inlineStr"/>
      <c r="Q64" s="18" t="inlineStr">
        <is>
          <t>Chưa test</t>
        </is>
      </c>
      <c r="R64" s="15" t="inlineStr"/>
    </row>
    <row r="65" ht="30" customHeight="1">
      <c r="A65" s="14" t="inlineStr">
        <is>
          <t>TC-ADM3-064</t>
        </is>
      </c>
      <c r="B65" s="15" t="inlineStr">
        <is>
          <t>Admin Console (đợt 3: Phân tích, Hỗ trợ, Hệ thống)</t>
        </is>
      </c>
      <c r="C65" s="15" t="inlineStr">
        <is>
          <t>Ma trận phân quyền nhân viên (API)</t>
        </is>
      </c>
      <c r="D65" s="15" t="inlineStr">
        <is>
          <t>Route 'Ẩn bài viết' (POST /admin/content/posts/khong-ton-tai/hide): chỉ Super Admin/Moderator/Content Reviewer qua guard</t>
        </is>
      </c>
      <c r="E65" s="15" t="inlineStr">
        <is>
          <t>Bảo mật</t>
        </is>
      </c>
      <c r="F65" s="20" t="inlineStr">
        <is>
          <t>Trung bình</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65" s="15" t="inlineStr">
        <is>
          <t>1. Gọi POST /api/admin/content/posts/khong-ton-tai/hide lần lượt bằng token admin@, moderator@, support@, finance@, member1@ (người dùng thường) và không token</t>
        </is>
      </c>
      <c r="K65" s="15" t="inlineStr">
        <is>
          <t>quyền cần: content.manage</t>
        </is>
      </c>
      <c r="L65" s="15" t="inlineStr">
        <is>
          <t>Qua guard: Super Admin, Moderator, Content Reviewer. 403: Support, Finance và member1@ ('Chỉ nhân viên admin mới có quyền này'). Không token -&gt; 401 UNAUTHORIZED.</t>
        </is>
      </c>
      <c r="M65" s="15" t="inlineStr"/>
      <c r="N65" s="18" t="inlineStr">
        <is>
          <t>Chưa test</t>
        </is>
      </c>
      <c r="O65" s="15" t="inlineStr"/>
      <c r="P65" s="15" t="inlineStr"/>
      <c r="Q65" s="18" t="inlineStr">
        <is>
          <t>Chưa test</t>
        </is>
      </c>
      <c r="R65" s="15" t="inlineStr"/>
    </row>
    <row r="66" ht="30" customHeight="1">
      <c r="A66" s="14" t="inlineStr">
        <is>
          <t>TC-ADM3-065</t>
        </is>
      </c>
      <c r="B66" s="15" t="inlineStr">
        <is>
          <t>Admin Console (đợt 3: Phân tích, Hỗ trợ, Hệ thống)</t>
        </is>
      </c>
      <c r="C66" s="15" t="inlineStr">
        <is>
          <t>Ma trận phân quyền nhân viên (API)</t>
        </is>
      </c>
      <c r="D66" s="15" t="inlineStr">
        <is>
          <t>Route 'Giao dịch (xem)' (GET /admin/payments/transactions): chỉ Super Admin/Support/Finance qua guard</t>
        </is>
      </c>
      <c r="E66" s="15" t="inlineStr">
        <is>
          <t>Bảo mật</t>
        </is>
      </c>
      <c r="F66" s="20" t="inlineStr">
        <is>
          <t>Trung bình</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66" s="15" t="inlineStr">
        <is>
          <t>1. Gọi GET /api/admin/payments/transactions lần lượt bằng token admin@, moderator@, support@, finance@, member1@ (người dùng thường) và không token</t>
        </is>
      </c>
      <c r="K66" s="15" t="inlineStr">
        <is>
          <t>quyền cần: payment.view</t>
        </is>
      </c>
      <c r="L66" s="15" t="inlineStr">
        <is>
          <t>Qua guard: Super Admin, Support, Finance. 403: Moderator, Content Reviewer và member1@ ('Chỉ nhân viên admin mới có quyền này'). Không token -&gt; 401 UNAUTHORIZED.</t>
        </is>
      </c>
      <c r="M66" s="15" t="inlineStr"/>
      <c r="N66" s="18" t="inlineStr">
        <is>
          <t>Chưa test</t>
        </is>
      </c>
      <c r="O66" s="15" t="inlineStr"/>
      <c r="P66" s="15" t="inlineStr"/>
      <c r="Q66" s="18" t="inlineStr">
        <is>
          <t>Chưa test</t>
        </is>
      </c>
      <c r="R66" s="15" t="inlineStr"/>
    </row>
    <row r="67" ht="30" customHeight="1">
      <c r="A67" s="14" t="inlineStr">
        <is>
          <t>TC-ADM3-066</t>
        </is>
      </c>
      <c r="B67" s="15" t="inlineStr">
        <is>
          <t>Admin Console (đợt 3: Phân tích, Hỗ trợ, Hệ thống)</t>
        </is>
      </c>
      <c r="C67" s="15" t="inlineStr">
        <is>
          <t>Ma trận phân quyền nhân viên (API)</t>
        </is>
      </c>
      <c r="D67" s="15" t="inlineStr">
        <is>
          <t>Route 'Gói đăng ký (xem)' (GET /admin/payments/subscriptions): chỉ Super Admin/Support/Finance qua guard</t>
        </is>
      </c>
      <c r="E67" s="15" t="inlineStr">
        <is>
          <t>Bảo mật</t>
        </is>
      </c>
      <c r="F67" s="20" t="inlineStr">
        <is>
          <t>Trung bình</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67" s="15" t="inlineStr">
        <is>
          <t>1. Gọi GET /api/admin/payments/subscriptions lần lượt bằng token admin@, moderator@, support@, finance@, member1@ (người dùng thường) và không token</t>
        </is>
      </c>
      <c r="K67" s="15" t="inlineStr">
        <is>
          <t>quyền cần: payment.view</t>
        </is>
      </c>
      <c r="L67" s="15" t="inlineStr">
        <is>
          <t>Qua guard: Super Admin, Support, Finance. 403: Moderator, Content Reviewer và member1@ ('Chỉ nhân viên admin mới có quyền này'). Không token -&gt; 401 UNAUTHORIZED.</t>
        </is>
      </c>
      <c r="M67" s="15" t="inlineStr"/>
      <c r="N67" s="18" t="inlineStr">
        <is>
          <t>Chưa test</t>
        </is>
      </c>
      <c r="O67" s="15" t="inlineStr"/>
      <c r="P67" s="15" t="inlineStr"/>
      <c r="Q67" s="18" t="inlineStr">
        <is>
          <t>Chưa test</t>
        </is>
      </c>
      <c r="R67" s="15" t="inlineStr"/>
    </row>
    <row r="68" ht="30" customHeight="1">
      <c r="A68" s="14" t="inlineStr">
        <is>
          <t>TC-ADM3-067</t>
        </is>
      </c>
      <c r="B68" s="15" t="inlineStr">
        <is>
          <t>Admin Console (đợt 3: Phân tích, Hỗ trợ, Hệ thống)</t>
        </is>
      </c>
      <c r="C68" s="15" t="inlineStr">
        <is>
          <t>Ma trận phân quyền nhân viên (API)</t>
        </is>
      </c>
      <c r="D68" s="15" t="inlineStr">
        <is>
          <t>Route 'Doanh thu creator (xem)' (GET /admin/payments/creators): chỉ Super Admin/Support/Finance qua guard</t>
        </is>
      </c>
      <c r="E68" s="15" t="inlineStr">
        <is>
          <t>Bảo mật</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68" s="15" t="inlineStr">
        <is>
          <t>1. Gọi GET /api/admin/payments/creators lần lượt bằng token admin@, moderator@, support@, finance@, member1@ (người dùng thường) và không token</t>
        </is>
      </c>
      <c r="K68" s="15" t="inlineStr">
        <is>
          <t>quyền cần: payment.view</t>
        </is>
      </c>
      <c r="L68" s="15" t="inlineStr">
        <is>
          <t>Qua guard: Super Admin, Support, Finance. 403: Moderator, Content Reviewer và member1@ ('Chỉ nhân viên admin mới có quyền này'). Không token -&gt; 401 UNAUTHORIZED.</t>
        </is>
      </c>
      <c r="M68" s="15" t="inlineStr"/>
      <c r="N68" s="18" t="inlineStr">
        <is>
          <t>Chưa test</t>
        </is>
      </c>
      <c r="O68" s="15" t="inlineStr"/>
      <c r="P68" s="15" t="inlineStr"/>
      <c r="Q68" s="18" t="inlineStr">
        <is>
          <t>Chưa test</t>
        </is>
      </c>
      <c r="R68" s="15" t="inlineStr"/>
    </row>
    <row r="69" ht="30" customHeight="1">
      <c r="A69" s="14" t="inlineStr">
        <is>
          <t>TC-ADM3-068</t>
        </is>
      </c>
      <c r="B69" s="15" t="inlineStr">
        <is>
          <t>Admin Console (đợt 3: Phân tích, Hỗ trợ, Hệ thống)</t>
        </is>
      </c>
      <c r="C69" s="15" t="inlineStr">
        <is>
          <t>Ma trận phân quyền nhân viên (API)</t>
        </is>
      </c>
      <c r="D69" s="15" t="inlineStr">
        <is>
          <t>Route 'Chi trả (xem)' (GET /admin/payments/payouts): chỉ Super Admin/Support/Finance qua guard</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69" s="15" t="inlineStr">
        <is>
          <t>1. Gọi GET /api/admin/payments/payouts lần lượt bằng token admin@, moderator@, support@, finance@, member1@ (người dùng thường) và không token</t>
        </is>
      </c>
      <c r="K69" s="15" t="inlineStr">
        <is>
          <t>quyền cần: payment.view</t>
        </is>
      </c>
      <c r="L69" s="15" t="inlineStr">
        <is>
          <t>Qua guard: Super Admin, Support, Finance. 403: Moderator, Content Reviewer và member1@ ('Chỉ nhân viên admin mới có quyền này'). Không token -&gt; 401 UNAUTHORIZED.</t>
        </is>
      </c>
      <c r="M69" s="15" t="inlineStr"/>
      <c r="N69" s="18" t="inlineStr">
        <is>
          <t>Chưa test</t>
        </is>
      </c>
      <c r="O69" s="15" t="inlineStr"/>
      <c r="P69" s="15" t="inlineStr"/>
      <c r="Q69" s="18" t="inlineStr">
        <is>
          <t>Chưa test</t>
        </is>
      </c>
      <c r="R69" s="15" t="inlineStr"/>
    </row>
    <row r="70" ht="30" customHeight="1">
      <c r="A70" s="14" t="inlineStr">
        <is>
          <t>TC-ADM3-069</t>
        </is>
      </c>
      <c r="B70" s="15" t="inlineStr">
        <is>
          <t>Admin Console (đợt 3: Phân tích, Hỗ trợ, Hệ thống)</t>
        </is>
      </c>
      <c r="C70" s="15" t="inlineStr">
        <is>
          <t>Ma trận phân quyền nhân viên (API)</t>
        </is>
      </c>
      <c r="D70" s="15" t="inlineStr">
        <is>
          <t>Route 'Duyệt hoàn tiền' (POST /admin/payments/refunds/khong-ton-tai/approve): chỉ Super Admin/Support/Finance qua guard</t>
        </is>
      </c>
      <c r="E70" s="15" t="inlineStr">
        <is>
          <t>Bảo mật</t>
        </is>
      </c>
      <c r="F70" s="20" t="inlineStr">
        <is>
          <t>Trung bình</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0" s="15" t="inlineStr">
        <is>
          <t>1. Gọi POST /api/admin/payments/refunds/khong-ton-tai/approve lần lượt bằng token admin@, moderator@, support@, finance@, member1@ (người dùng thường) và không token</t>
        </is>
      </c>
      <c r="K70" s="15" t="inlineStr">
        <is>
          <t>quyền cần: payment.refund</t>
        </is>
      </c>
      <c r="L70" s="15" t="inlineStr">
        <is>
          <t>Qua guard: Super Admin, Support, Finance. 403: Moderator, Content Reviewer và member1@ ('Chỉ nhân viên admin mới có quyền này'). Không token -&gt; 401 UNAUTHORIZED.</t>
        </is>
      </c>
      <c r="M70" s="15" t="inlineStr"/>
      <c r="N70" s="18" t="inlineStr">
        <is>
          <t>Chưa test</t>
        </is>
      </c>
      <c r="O70" s="15" t="inlineStr"/>
      <c r="P70" s="15" t="inlineStr"/>
      <c r="Q70" s="18" t="inlineStr">
        <is>
          <t>Chưa test</t>
        </is>
      </c>
      <c r="R70" s="15" t="inlineStr"/>
    </row>
    <row r="71" ht="30" customHeight="1">
      <c r="A71" s="14" t="inlineStr">
        <is>
          <t>TC-ADM3-070</t>
        </is>
      </c>
      <c r="B71" s="15" t="inlineStr">
        <is>
          <t>Admin Console (đợt 3: Phân tích, Hỗ trợ, Hệ thống)</t>
        </is>
      </c>
      <c r="C71" s="15" t="inlineStr">
        <is>
          <t>Ma trận phân quyền nhân viên (API)</t>
        </is>
      </c>
      <c r="D71" s="15" t="inlineStr">
        <is>
          <t>Route 'Hoàn tiền trực tiếp giao dịch' (POST /admin/payments/transactions/khong-ton-tai/refund): chỉ Super Admin/Support/Finance qua guard</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1" s="15" t="inlineStr">
        <is>
          <t>1. Gọi POST /api/admin/payments/transactions/khong-ton-tai/refund lần lượt bằng token admin@, moderator@, support@, finance@, member1@ (người dùng thường) và không token</t>
        </is>
      </c>
      <c r="K71" s="15" t="inlineStr">
        <is>
          <t>quyền cần: payment.refund</t>
        </is>
      </c>
      <c r="L71" s="15" t="inlineStr">
        <is>
          <t>Qua guard: Super Admin, Support, Finance. 403: Moderator, Content Reviewer và member1@ ('Chỉ nhân viên admin mới có quyền này'). Không token -&gt; 401 UNAUTHORIZED.</t>
        </is>
      </c>
      <c r="M71" s="15" t="inlineStr"/>
      <c r="N71" s="18" t="inlineStr">
        <is>
          <t>Chưa test</t>
        </is>
      </c>
      <c r="O71" s="15" t="inlineStr"/>
      <c r="P71" s="15" t="inlineStr"/>
      <c r="Q71" s="18" t="inlineStr">
        <is>
          <t>Chưa test</t>
        </is>
      </c>
      <c r="R71" s="15" t="inlineStr"/>
    </row>
    <row r="72" ht="30" customHeight="1">
      <c r="A72" s="14" t="inlineStr">
        <is>
          <t>TC-ADM3-071</t>
        </is>
      </c>
      <c r="B72" s="15" t="inlineStr">
        <is>
          <t>Admin Console (đợt 3: Phân tích, Hỗ trợ, Hệ thống)</t>
        </is>
      </c>
      <c r="C72" s="15" t="inlineStr">
        <is>
          <t>Ma trận phân quyền nhân viên (API)</t>
        </is>
      </c>
      <c r="D72" s="15" t="inlineStr">
        <is>
          <t>Route 'Thử lại thanh toán' (POST /admin/payments/transactions/khong-ton-tai/retry): chỉ Super Admin/Finance qua guard</t>
        </is>
      </c>
      <c r="E72" s="15" t="inlineStr">
        <is>
          <t>Bảo mật</t>
        </is>
      </c>
      <c r="F72" s="20" t="inlineStr">
        <is>
          <t>Trung bình</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2" s="15" t="inlineStr">
        <is>
          <t>1. Gọi POST /api/admin/payments/transactions/khong-ton-tai/retry lần lượt bằng token admin@, moderator@, support@, finance@, member1@ (người dùng thường) và không token</t>
        </is>
      </c>
      <c r="K72" s="15" t="inlineStr">
        <is>
          <t>quyền cần: payment.manage</t>
        </is>
      </c>
      <c r="L72" s="15" t="inlineStr">
        <is>
          <t>Qua guard: Super Admin, Finance. 403: Moderator, Support, Content Reviewer và member1@ ('Chỉ nhân viên admin mới có quyền này'). Không token -&gt; 401 UNAUTHORIZED.</t>
        </is>
      </c>
      <c r="M72" s="15" t="inlineStr"/>
      <c r="N72" s="18" t="inlineStr">
        <is>
          <t>Chưa test</t>
        </is>
      </c>
      <c r="O72" s="15" t="inlineStr"/>
      <c r="P72" s="15" t="inlineStr"/>
      <c r="Q72" s="18" t="inlineStr">
        <is>
          <t>Chưa test</t>
        </is>
      </c>
      <c r="R72" s="15" t="inlineStr"/>
    </row>
    <row r="73" ht="30" customHeight="1">
      <c r="A73" s="14" t="inlineStr">
        <is>
          <t>TC-ADM3-072</t>
        </is>
      </c>
      <c r="B73" s="15" t="inlineStr">
        <is>
          <t>Admin Console (đợt 3: Phân tích, Hỗ trợ, Hệ thống)</t>
        </is>
      </c>
      <c r="C73" s="15" t="inlineStr">
        <is>
          <t>Ma trận phân quyền nhân viên (API)</t>
        </is>
      </c>
      <c r="D73" s="15" t="inlineStr">
        <is>
          <t>Route 'Tạm dừng gói đăng ký' (POST /admin/payments/subscriptions/khong-ton-tai/pause): chỉ Super Admin/Finance qua guard</t>
        </is>
      </c>
      <c r="E73" s="15" t="inlineStr">
        <is>
          <t>Bảo mật</t>
        </is>
      </c>
      <c r="F73" s="20" t="inlineStr">
        <is>
          <t>Trung bình</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3" s="15" t="inlineStr">
        <is>
          <t>1. Gọi POST /api/admin/payments/subscriptions/khong-ton-tai/pause lần lượt bằng token admin@, moderator@, support@, finance@, member1@ (người dùng thường) và không token</t>
        </is>
      </c>
      <c r="K73" s="15" t="inlineStr">
        <is>
          <t>quyền cần: payment.manage</t>
        </is>
      </c>
      <c r="L73" s="15" t="inlineStr">
        <is>
          <t>Qua guard: Super Admin, Finance. 403: Moderator, Support, Content Reviewer và member1@ ('Chỉ nhân viên admin mới có quyền này'). Không token -&gt; 401 UNAUTHORIZED.</t>
        </is>
      </c>
      <c r="M73" s="15" t="inlineStr"/>
      <c r="N73" s="18" t="inlineStr">
        <is>
          <t>Chưa test</t>
        </is>
      </c>
      <c r="O73" s="15" t="inlineStr"/>
      <c r="P73" s="15" t="inlineStr"/>
      <c r="Q73" s="18" t="inlineStr">
        <is>
          <t>Chưa test</t>
        </is>
      </c>
      <c r="R73" s="15" t="inlineStr"/>
    </row>
    <row r="74" ht="30" customHeight="1">
      <c r="A74" s="14" t="inlineStr">
        <is>
          <t>TC-ADM3-073</t>
        </is>
      </c>
      <c r="B74" s="15" t="inlineStr">
        <is>
          <t>Admin Console (đợt 3: Phân tích, Hỗ trợ, Hệ thống)</t>
        </is>
      </c>
      <c r="C74" s="15" t="inlineStr">
        <is>
          <t>Ma trận phân quyền nhân viên (API)</t>
        </is>
      </c>
      <c r="D74" s="15" t="inlineStr">
        <is>
          <t>Route 'Tạo tranh chấp (mô phỏng)' (POST /admin/payments/chargebacks): chỉ Super Admin/Finance qua guard</t>
        </is>
      </c>
      <c r="E74" s="15" t="inlineStr">
        <is>
          <t>Bảo mật</t>
        </is>
      </c>
      <c r="F74" s="20" t="inlineStr">
        <is>
          <t>Trung bình</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Gọi POST /api/admin/payments/chargebacks lần lượt bằng token admin@, moderator@, support@, finance@, member1@ (người dùng thường) và không token</t>
        </is>
      </c>
      <c r="K74" s="15" t="inlineStr">
        <is>
          <t>quyền cần: payment.manage</t>
        </is>
      </c>
      <c r="L74" s="15" t="inlineStr">
        <is>
          <t>Qua guard: Super Admin, Finance. 403: Moderator, Support, Content Reviewer và member1@ ('Chỉ nhân viên admin mới có quyền này'). Không token -&gt; 401 UNAUTHORIZED.</t>
        </is>
      </c>
      <c r="M74" s="15" t="inlineStr"/>
      <c r="N74" s="18" t="inlineStr">
        <is>
          <t>Chưa test</t>
        </is>
      </c>
      <c r="O74" s="15" t="inlineStr"/>
      <c r="P74" s="15" t="inlineStr"/>
      <c r="Q74" s="18" t="inlineStr">
        <is>
          <t>Chưa test</t>
        </is>
      </c>
      <c r="R74" s="15" t="inlineStr"/>
    </row>
    <row r="75" ht="30" customHeight="1">
      <c r="A75" s="14" t="inlineStr">
        <is>
          <t>TC-ADM3-074</t>
        </is>
      </c>
      <c r="B75" s="15" t="inlineStr">
        <is>
          <t>Admin Console (đợt 3: Phân tích, Hỗ trợ, Hệ thống)</t>
        </is>
      </c>
      <c r="C75" s="15" t="inlineStr">
        <is>
          <t>Ma trận phân quyền nhân viên (API)</t>
        </is>
      </c>
      <c r="D75" s="15" t="inlineStr">
        <is>
          <t>Route 'Giữ chi trả' (POST /admin/payments/payouts/khong-ton-tai/hold): chỉ Super Admin/Finance qua guard</t>
        </is>
      </c>
      <c r="E75" s="15" t="inlineStr">
        <is>
          <t>Bảo mật</t>
        </is>
      </c>
      <c r="F75" s="20" t="inlineStr">
        <is>
          <t>Trung bình</t>
        </is>
      </c>
      <c r="G75" s="17" t="inlineStr">
        <is>
          <t>Đã hoàn thiện</t>
        </is>
      </c>
      <c r="H75" s="17" t="inlineStr">
        <is>
          <t>Có</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5" s="15" t="inlineStr">
        <is>
          <t>1. Gọi POST /api/admin/payments/payouts/khong-ton-tai/hold lần lượt bằng token admin@, moderator@, support@, finance@, member1@ (người dùng thường) và không token</t>
        </is>
      </c>
      <c r="K75" s="15" t="inlineStr">
        <is>
          <t>quyền cần: payout.approve</t>
        </is>
      </c>
      <c r="L75" s="15" t="inlineStr">
        <is>
          <t>Qua guard: Super Admin, Finance. 403: Moderator, Support, Content Reviewer và member1@ ('Chỉ nhân viên admin mới có quyền này'). Không token -&gt; 401 UNAUTHORIZED.</t>
        </is>
      </c>
      <c r="M75" s="15" t="inlineStr"/>
      <c r="N75" s="18" t="inlineStr">
        <is>
          <t>Chưa test</t>
        </is>
      </c>
      <c r="O75" s="15" t="inlineStr"/>
      <c r="P75" s="15" t="inlineStr"/>
      <c r="Q75" s="18" t="inlineStr">
        <is>
          <t>Chưa test</t>
        </is>
      </c>
      <c r="R75" s="15" t="inlineStr"/>
    </row>
    <row r="76" ht="30" customHeight="1">
      <c r="A76" s="14" t="inlineStr">
        <is>
          <t>TC-ADM3-075</t>
        </is>
      </c>
      <c r="B76" s="15" t="inlineStr">
        <is>
          <t>Admin Console (đợt 3: Phân tích, Hỗ trợ, Hệ thống)</t>
        </is>
      </c>
      <c r="C76" s="15" t="inlineStr">
        <is>
          <t>Ma trận phân quyền nhân viên (API)</t>
        </is>
      </c>
      <c r="D76" s="15" t="inlineStr">
        <is>
          <t>Route 'Cộng đồng hiển thị (Khám phá)' (GET /admin/discovery/communities): chỉ Super Admin/Moderator qua guard</t>
        </is>
      </c>
      <c r="E76" s="15" t="inlineStr">
        <is>
          <t>Bảo mật</t>
        </is>
      </c>
      <c r="F76" s="20" t="inlineStr">
        <is>
          <t>Trung bình</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6" s="15" t="inlineStr">
        <is>
          <t>1. Gọi GET /api/admin/discovery/communities lần lượt bằng token admin@, moderator@, support@, finance@, member1@ (người dùng thường) và không token</t>
        </is>
      </c>
      <c r="K76" s="15" t="inlineStr">
        <is>
          <t>quyền cần: community.manage</t>
        </is>
      </c>
      <c r="L76" s="15" t="inlineStr">
        <is>
          <t>Qua guard: Super Admin, Moderator. 403: Support, Finance, Content Reviewer và member1@ ('Chỉ nhân viên admin mới có quyền này'). Không token -&gt; 401 UNAUTHORIZED.</t>
        </is>
      </c>
      <c r="M76" s="15" t="inlineStr"/>
      <c r="N76" s="18" t="inlineStr">
        <is>
          <t>Chưa test</t>
        </is>
      </c>
      <c r="O76" s="15" t="inlineStr"/>
      <c r="P76" s="15" t="inlineStr"/>
      <c r="Q76" s="18" t="inlineStr">
        <is>
          <t>Chưa test</t>
        </is>
      </c>
      <c r="R76" s="15" t="inlineStr"/>
    </row>
    <row r="77" ht="30" customHeight="1">
      <c r="A77" s="14" t="inlineStr">
        <is>
          <t>TC-ADM3-076</t>
        </is>
      </c>
      <c r="B77" s="15" t="inlineStr">
        <is>
          <t>Admin Console (đợt 3: Phân tích, Hỗ trợ, Hệ thống)</t>
        </is>
      </c>
      <c r="C77" s="15" t="inlineStr">
        <is>
          <t>Ma trận phân quyền nhân viên (API)</t>
        </is>
      </c>
      <c r="D77" s="15" t="inlineStr">
        <is>
          <t>Route 'Xếp hạng (Khám phá)' (GET /admin/discovery/rankings): chỉ Super Admin/Moderator qua guard</t>
        </is>
      </c>
      <c r="E77" s="15" t="inlineStr">
        <is>
          <t>Bảo mật</t>
        </is>
      </c>
      <c r="F77" s="20" t="inlineStr">
        <is>
          <t>Trung bình</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7" s="15" t="inlineStr">
        <is>
          <t>1. Gọi GET /api/admin/discovery/rankings lần lượt bằng token admin@, moderator@, support@, finance@, member1@ (người dùng thường) và không token</t>
        </is>
      </c>
      <c r="K77" s="15" t="inlineStr">
        <is>
          <t>quyền cần: community.manage</t>
        </is>
      </c>
      <c r="L77" s="15" t="inlineStr">
        <is>
          <t>Qua guard: Super Admin, Moderator. 403: Support, Finance, Content Reviewer và member1@ ('Chỉ nhân viên admin mới có quyền này'). Không token -&gt; 401 UNAUTHORIZED.</t>
        </is>
      </c>
      <c r="M77" s="15" t="inlineStr"/>
      <c r="N77" s="18" t="inlineStr">
        <is>
          <t>Chưa test</t>
        </is>
      </c>
      <c r="O77" s="15" t="inlineStr"/>
      <c r="P77" s="15" t="inlineStr"/>
      <c r="Q77" s="18" t="inlineStr">
        <is>
          <t>Chưa test</t>
        </is>
      </c>
      <c r="R77" s="15" t="inlineStr"/>
    </row>
    <row r="78" ht="30" customHeight="1">
      <c r="A78" s="14" t="inlineStr">
        <is>
          <t>TC-ADM3-077</t>
        </is>
      </c>
      <c r="B78" s="15" t="inlineStr">
        <is>
          <t>Admin Console (đợt 3: Phân tích, Hỗ trợ, Hệ thống)</t>
        </is>
      </c>
      <c r="C78" s="15" t="inlineStr">
        <is>
          <t>Ma trận phân quyền nhân viên (API)</t>
        </is>
      </c>
      <c r="D78" s="15" t="inlineStr">
        <is>
          <t>Route 'Route cũ: danh sách hoàn tiền' (GET /admin/refunds): chỉ Super Admin/Support/Finance qua guard</t>
        </is>
      </c>
      <c r="E78" s="15" t="inlineStr">
        <is>
          <t>Bảo mật</t>
        </is>
      </c>
      <c r="F78" s="20" t="inlineStr">
        <is>
          <t>Trung bình</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8" s="15" t="inlineStr">
        <is>
          <t>1. Gọi GET /api/admin/refunds lần lượt bằng token admin@, moderator@, support@, finance@, member1@ (người dùng thường) và không token</t>
        </is>
      </c>
      <c r="K78" s="15" t="inlineStr">
        <is>
          <t>quyền cần: payment.view</t>
        </is>
      </c>
      <c r="L78" s="15" t="inlineStr">
        <is>
          <t>Qua guard: Super Admin, Support, Finance. 403: Moderator, Content Reviewer và member1@ ('Chỉ nhân viên admin mới có quyền này'). Không token -&gt; 401 UNAUTHORIZED.</t>
        </is>
      </c>
      <c r="M78" s="15" t="inlineStr"/>
      <c r="N78" s="18" t="inlineStr">
        <is>
          <t>Chưa test</t>
        </is>
      </c>
      <c r="O78" s="15" t="inlineStr"/>
      <c r="P78" s="15" t="inlineStr"/>
      <c r="Q78" s="18" t="inlineStr">
        <is>
          <t>Chưa test</t>
        </is>
      </c>
      <c r="R78" s="15" t="inlineStr"/>
    </row>
    <row r="79" ht="30" customHeight="1">
      <c r="A79" s="14" t="inlineStr">
        <is>
          <t>TC-ADM3-078</t>
        </is>
      </c>
      <c r="B79" s="15" t="inlineStr">
        <is>
          <t>Admin Console (đợt 3: Phân tích, Hỗ trợ, Hệ thống)</t>
        </is>
      </c>
      <c r="C79" s="15" t="inlineStr">
        <is>
          <t>Ma trận phân quyền nhân viên (API)</t>
        </is>
      </c>
      <c r="D79" s="15" t="inlineStr">
        <is>
          <t>Route 'Route cũ: duyệt/từ chối hoàn tiền' (PATCH /admin/refunds/khong-ton-tai): chỉ Super Admin/Support/Finance qua guard</t>
        </is>
      </c>
      <c r="E79" s="15" t="inlineStr">
        <is>
          <t>Bảo mật</t>
        </is>
      </c>
      <c r="F79" s="20" t="inlineStr">
        <is>
          <t>Trung bình</t>
        </is>
      </c>
      <c r="G79" s="17" t="inlineStr">
        <is>
          <t>Đã hoàn thiện</t>
        </is>
      </c>
      <c r="H79" s="17" t="inlineStr">
        <is>
          <t>Có</t>
        </is>
      </c>
      <c r="I7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9" s="15" t="inlineStr">
        <is>
          <t>1. Gọi PATCH /api/admin/refunds/khong-ton-tai lần lượt bằng token admin@, moderator@, support@, finance@, member1@ (người dùng thường) và không token</t>
        </is>
      </c>
      <c r="K79" s="15" t="inlineStr">
        <is>
          <t>quyền cần: payment.refund</t>
        </is>
      </c>
      <c r="L79" s="15" t="inlineStr">
        <is>
          <t>Qua guard: Super Admin, Support, Finance. 403: Moderator, Content Reviewer và member1@ ('Chỉ nhân viên admin mới có quyền này'). Không token -&gt; 401 UNAUTHORIZED.</t>
        </is>
      </c>
      <c r="M79" s="15" t="inlineStr"/>
      <c r="N79" s="18" t="inlineStr">
        <is>
          <t>Chưa test</t>
        </is>
      </c>
      <c r="O79" s="15" t="inlineStr"/>
      <c r="P79" s="15" t="inlineStr"/>
      <c r="Q79" s="18" t="inlineStr">
        <is>
          <t>Chưa test</t>
        </is>
      </c>
      <c r="R79" s="15" t="inlineStr"/>
    </row>
    <row r="80" ht="30" customHeight="1">
      <c r="A80" s="14" t="inlineStr">
        <is>
          <t>TC-ADM3-079</t>
        </is>
      </c>
      <c r="B80" s="15" t="inlineStr">
        <is>
          <t>Admin Console (đợt 3: Phân tích, Hỗ trợ, Hệ thống)</t>
        </is>
      </c>
      <c r="C80" s="15" t="inlineStr">
        <is>
          <t>Ma trận phân quyền nhân viên (API)</t>
        </is>
      </c>
      <c r="D80" s="15" t="inlineStr">
        <is>
          <t>Route 'Route cũ: danh sách rút tiền' (GET /admin/payouts): chỉ Super Admin/Support/Finance qua guard</t>
        </is>
      </c>
      <c r="E80" s="15" t="inlineStr">
        <is>
          <t>Bảo mật</t>
        </is>
      </c>
      <c r="F80" s="20" t="inlineStr">
        <is>
          <t>Trung bình</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80" s="15" t="inlineStr">
        <is>
          <t>1. Gọi GET /api/admin/payouts lần lượt bằng token admin@, moderator@, support@, finance@, member1@ (người dùng thường) và không token</t>
        </is>
      </c>
      <c r="K80" s="15" t="inlineStr">
        <is>
          <t>quyền cần: payment.view</t>
        </is>
      </c>
      <c r="L80" s="15" t="inlineStr">
        <is>
          <t>Qua guard: Super Admin, Support, Finance. 403: Moderator, Content Reviewer và member1@ ('Chỉ nhân viên admin mới có quyền này'). Không token -&gt; 401 UNAUTHORIZED.</t>
        </is>
      </c>
      <c r="M80" s="15" t="inlineStr"/>
      <c r="N80" s="18" t="inlineStr">
        <is>
          <t>Chưa test</t>
        </is>
      </c>
      <c r="O80" s="15" t="inlineStr"/>
      <c r="P80" s="15" t="inlineStr"/>
      <c r="Q80" s="18" t="inlineStr">
        <is>
          <t>Chưa test</t>
        </is>
      </c>
      <c r="R80" s="15" t="inlineStr"/>
    </row>
    <row r="81" ht="30" customHeight="1">
      <c r="A81" s="14" t="inlineStr">
        <is>
          <t>TC-ADM3-080</t>
        </is>
      </c>
      <c r="B81" s="15" t="inlineStr">
        <is>
          <t>Admin Console (đợt 3: Phân tích, Hỗ trợ, Hệ thống)</t>
        </is>
      </c>
      <c r="C81" s="15" t="inlineStr">
        <is>
          <t>Ma trận phân quyền nhân viên (API)</t>
        </is>
      </c>
      <c r="D81" s="15" t="inlineStr">
        <is>
          <t>Route 'Route cũ: duyệt rút tiền' (PATCH /admin/payouts/khong-ton-tai): chỉ Super Admin/Finance qua guard</t>
        </is>
      </c>
      <c r="E81" s="15" t="inlineStr">
        <is>
          <t>Bảo mật</t>
        </is>
      </c>
      <c r="F81" s="20" t="inlineStr">
        <is>
          <t>Trung bình</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81" s="15" t="inlineStr">
        <is>
          <t>1. Gọi PATCH /api/admin/payouts/khong-ton-tai lần lượt bằng token admin@, moderator@, support@, finance@, member1@ (người dùng thường) và không token</t>
        </is>
      </c>
      <c r="K81" s="15" t="inlineStr">
        <is>
          <t>quyền cần: payout.approve</t>
        </is>
      </c>
      <c r="L81" s="15" t="inlineStr">
        <is>
          <t>Qua guard: Super Admin, Finance. 403: Moderator, Support, Content Reviewer và member1@ ('Chỉ nhân viên admin mới có quyền này'). Không token -&gt; 401 UNAUTHORIZED.</t>
        </is>
      </c>
      <c r="M81" s="15" t="inlineStr"/>
      <c r="N81" s="18" t="inlineStr">
        <is>
          <t>Chưa test</t>
        </is>
      </c>
      <c r="O81" s="15" t="inlineStr"/>
      <c r="P81" s="15" t="inlineStr"/>
      <c r="Q81" s="18" t="inlineStr">
        <is>
          <t>Chưa test</t>
        </is>
      </c>
      <c r="R81" s="15" t="inlineStr"/>
    </row>
    <row r="82" ht="30" customHeight="1">
      <c r="A82" s="14" t="inlineStr">
        <is>
          <t>TC-ADM3-081</t>
        </is>
      </c>
      <c r="B82" s="15" t="inlineStr">
        <is>
          <t>Admin Console (đợt 3: Phân tích, Hỗ trợ, Hệ thống)</t>
        </is>
      </c>
      <c r="C82" s="15" t="inlineStr">
        <is>
          <t>Ma trận phân quyền nhân viên (API)</t>
        </is>
      </c>
      <c r="D82" s="15" t="inlineStr">
        <is>
          <t>Route 'Phân tích: Người dùng' (GET /admin/analytics/users): chỉ Super Admin/Moderator/Finance qua guard</t>
        </is>
      </c>
      <c r="E82" s="15" t="inlineStr">
        <is>
          <t>Bảo mật</t>
        </is>
      </c>
      <c r="F82" s="20" t="inlineStr">
        <is>
          <t>Trung bình</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82" s="15" t="inlineStr">
        <is>
          <t>1. Gọi GET /api/admin/analytics/users lần lượt bằng token admin@, moderator@, support@, finance@, member1@ (người dùng thường) và không token</t>
        </is>
      </c>
      <c r="K82" s="15" t="inlineStr">
        <is>
          <t>quyền cần: analytics.view</t>
        </is>
      </c>
      <c r="L82" s="15" t="inlineStr">
        <is>
          <t>Qua guard: Super Admin, Moderator, Finance. 403: Support, Content Reviewer và member1@ ('Chỉ nhân viên admin mới có quyền này'). Không token -&gt; 401 UNAUTHORIZED.</t>
        </is>
      </c>
      <c r="M82" s="15" t="inlineStr"/>
      <c r="N82" s="18" t="inlineStr">
        <is>
          <t>Chưa test</t>
        </is>
      </c>
      <c r="O82" s="15" t="inlineStr"/>
      <c r="P82" s="15" t="inlineStr"/>
      <c r="Q82" s="18" t="inlineStr">
        <is>
          <t>Chưa test</t>
        </is>
      </c>
      <c r="R82" s="15" t="inlineStr"/>
    </row>
    <row r="83" ht="30" customHeight="1">
      <c r="A83" s="14" t="inlineStr">
        <is>
          <t>TC-ADM3-082</t>
        </is>
      </c>
      <c r="B83" s="15" t="inlineStr">
        <is>
          <t>Admin Console (đợt 3: Phân tích, Hỗ trợ, Hệ thống)</t>
        </is>
      </c>
      <c r="C83" s="15" t="inlineStr">
        <is>
          <t>Ma trận phân quyền nhân viên (API)</t>
        </is>
      </c>
      <c r="D83" s="15" t="inlineStr">
        <is>
          <t>Route 'Phân tích: Doanh thu' (GET /admin/analytics/revenue): chỉ Super Admin/Moderator/Finance qua guard</t>
        </is>
      </c>
      <c r="E83" s="15" t="inlineStr">
        <is>
          <t>Bảo mật</t>
        </is>
      </c>
      <c r="F83" s="20" t="inlineStr">
        <is>
          <t>Trung bình</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83" s="15" t="inlineStr">
        <is>
          <t>1. Gọi GET /api/admin/analytics/revenue lần lượt bằng token admin@, moderator@, support@, finance@, member1@ (người dùng thường) và không token</t>
        </is>
      </c>
      <c r="K83" s="15" t="inlineStr">
        <is>
          <t>quyền cần: analytics.view</t>
        </is>
      </c>
      <c r="L83" s="15" t="inlineStr">
        <is>
          <t>Qua guard: Super Admin, Moderator, Finance. 403: Support, Content Reviewer và member1@ ('Chỉ nhân viên admin mới có quyền này'). Không token -&gt; 401 UNAUTHORIZED.</t>
        </is>
      </c>
      <c r="M83" s="15" t="inlineStr"/>
      <c r="N83" s="18" t="inlineStr">
        <is>
          <t>Chưa test</t>
        </is>
      </c>
      <c r="O83" s="15" t="inlineStr"/>
      <c r="P83" s="15" t="inlineStr"/>
      <c r="Q83" s="18" t="inlineStr">
        <is>
          <t>Chưa test</t>
        </is>
      </c>
      <c r="R83" s="15" t="inlineStr"/>
    </row>
    <row r="84" ht="30" customHeight="1">
      <c r="A84" s="14" t="inlineStr">
        <is>
          <t>TC-ADM3-083</t>
        </is>
      </c>
      <c r="B84" s="15" t="inlineStr">
        <is>
          <t>Admin Console (đợt 3: Phân tích, Hỗ trợ, Hệ thống)</t>
        </is>
      </c>
      <c r="C84" s="15" t="inlineStr">
        <is>
          <t>Ma trận phân quyền nhân viên (API)</t>
        </is>
      </c>
      <c r="D84" s="15" t="inlineStr">
        <is>
          <t>Route 'Hỗ trợ: danh sách ticket' (GET /admin/support/tickets): chỉ Super Admin/Support qua guard</t>
        </is>
      </c>
      <c r="E84" s="15" t="inlineStr">
        <is>
          <t>Bảo mật</t>
        </is>
      </c>
      <c r="F84" s="20" t="inlineStr">
        <is>
          <t>Trung bình</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84" s="15" t="inlineStr">
        <is>
          <t>1. Gọi GET /api/admin/support/tickets lần lượt bằng token admin@, moderator@, support@, finance@, member1@ (người dùng thường) và không token</t>
        </is>
      </c>
      <c r="K84" s="15" t="inlineStr">
        <is>
          <t>quyền cần: support.manage</t>
        </is>
      </c>
      <c r="L84" s="15" t="inlineStr">
        <is>
          <t>Qua guard: Super Admin, Support. 403: Moderator, Finance, Content Reviewer và member1@ ('Chỉ nhân viên admin mới có quyền này'). Không token -&gt; 401 UNAUTHORIZED.</t>
        </is>
      </c>
      <c r="M84" s="15" t="inlineStr"/>
      <c r="N84" s="18" t="inlineStr">
        <is>
          <t>Chưa test</t>
        </is>
      </c>
      <c r="O84" s="15" t="inlineStr"/>
      <c r="P84" s="15" t="inlineStr"/>
      <c r="Q84" s="18" t="inlineStr">
        <is>
          <t>Chưa test</t>
        </is>
      </c>
      <c r="R84" s="15" t="inlineStr"/>
    </row>
    <row r="85" ht="30" customHeight="1">
      <c r="A85" s="14" t="inlineStr">
        <is>
          <t>TC-ADM3-084</t>
        </is>
      </c>
      <c r="B85" s="15" t="inlineStr">
        <is>
          <t>Admin Console (đợt 3: Phân tích, Hỗ trợ, Hệ thống)</t>
        </is>
      </c>
      <c r="C85" s="15" t="inlineStr">
        <is>
          <t>Ma trận phân quyền nhân viên (API)</t>
        </is>
      </c>
      <c r="D85" s="15" t="inlineStr">
        <is>
          <t>Route 'Hỗ trợ: trả lời ticket' (POST /admin/support/tickets/khong-ton-tai/reply): chỉ Super Admin/Support qua guard</t>
        </is>
      </c>
      <c r="E85" s="15" t="inlineStr">
        <is>
          <t>Bảo mật</t>
        </is>
      </c>
      <c r="F85" s="20" t="inlineStr">
        <is>
          <t>Trung bình</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85" s="15" t="inlineStr">
        <is>
          <t>1. Gọi POST /api/admin/support/tickets/khong-ton-tai/reply lần lượt bằng token admin@, moderator@, support@, finance@, member1@ (người dùng thường) và không token</t>
        </is>
      </c>
      <c r="K85" s="15" t="inlineStr">
        <is>
          <t>quyền cần: support.manage</t>
        </is>
      </c>
      <c r="L85" s="15" t="inlineStr">
        <is>
          <t>Qua guard: Super Admin, Support. 403: Moderator, Finance, Content Reviewer và member1@ ('Chỉ nhân viên admin mới có quyền này'). Không token -&gt; 401 UNAUTHORIZED.</t>
        </is>
      </c>
      <c r="M85" s="15" t="inlineStr"/>
      <c r="N85" s="18" t="inlineStr">
        <is>
          <t>Chưa test</t>
        </is>
      </c>
      <c r="O85" s="15" t="inlineStr"/>
      <c r="P85" s="15" t="inlineStr"/>
      <c r="Q85" s="18" t="inlineStr">
        <is>
          <t>Chưa test</t>
        </is>
      </c>
      <c r="R85" s="15" t="inlineStr"/>
    </row>
    <row r="86" ht="30" customHeight="1">
      <c r="A86" s="14" t="inlineStr">
        <is>
          <t>TC-ADM3-085</t>
        </is>
      </c>
      <c r="B86" s="15" t="inlineStr">
        <is>
          <t>Admin Console (đợt 3: Phân tích, Hỗ trợ, Hệ thống)</t>
        </is>
      </c>
      <c r="C86" s="15" t="inlineStr">
        <is>
          <t>Ma trận phân quyền nhân viên (API)</t>
        </is>
      </c>
      <c r="D86" s="15" t="inlineStr">
        <is>
          <t>Route 'Hệ thống: danh mục' (GET /admin/system/categories): chỉ Super Admin/Moderator qua guard</t>
        </is>
      </c>
      <c r="E86" s="15" t="inlineStr">
        <is>
          <t>Bảo mật</t>
        </is>
      </c>
      <c r="F86" s="20" t="inlineStr">
        <is>
          <t>Trung bình</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86" s="15" t="inlineStr">
        <is>
          <t>1. Gọi GET /api/admin/system/categories lần lượt bằng token admin@, moderator@, support@, finance@, member1@ (người dùng thường) và không token</t>
        </is>
      </c>
      <c r="K86" s="15" t="inlineStr">
        <is>
          <t>quyền cần: community.manage</t>
        </is>
      </c>
      <c r="L86" s="15" t="inlineStr">
        <is>
          <t>Qua guard: Super Admin, Moderator. 403: Support, Finance, Content Reviewer và member1@ ('Chỉ nhân viên admin mới có quyền này'). Không token -&gt; 401 UNAUTHORIZED.</t>
        </is>
      </c>
      <c r="M86" s="15" t="inlineStr"/>
      <c r="N86" s="18" t="inlineStr">
        <is>
          <t>Chưa test</t>
        </is>
      </c>
      <c r="O86" s="15" t="inlineStr"/>
      <c r="P86" s="15" t="inlineStr"/>
      <c r="Q86" s="18" t="inlineStr">
        <is>
          <t>Chưa test</t>
        </is>
      </c>
      <c r="R86" s="15" t="inlineStr"/>
    </row>
    <row r="87" ht="30" customHeight="1">
      <c r="A87" s="14" t="inlineStr">
        <is>
          <t>TC-ADM3-086</t>
        </is>
      </c>
      <c r="B87" s="15" t="inlineStr">
        <is>
          <t>Admin Console (đợt 3: Phân tích, Hỗ trợ, Hệ thống)</t>
        </is>
      </c>
      <c r="C87" s="15" t="inlineStr">
        <is>
          <t>Ma trận phân quyền nhân viên (API)</t>
        </is>
      </c>
      <c r="D87" s="15" t="inlineStr">
        <is>
          <t>Route 'Hệ thống: feature flags' (GET /admin/system/flags): chỉ Super Admin qua guard</t>
        </is>
      </c>
      <c r="E87" s="15" t="inlineStr">
        <is>
          <t>Bảo mật</t>
        </is>
      </c>
      <c r="F87" s="20" t="inlineStr">
        <is>
          <t>Trung bình</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87" s="15" t="inlineStr">
        <is>
          <t>1. Gọi GET /api/admin/system/flags lần lượt bằng token admin@, moderator@, support@, finance@, member1@ (người dùng thường) và không token</t>
        </is>
      </c>
      <c r="K87" s="15" t="inlineStr">
        <is>
          <t>quyền cần: system.flags</t>
        </is>
      </c>
      <c r="L87" s="15" t="inlineStr">
        <is>
          <t>Qua guard: Super Admin. 403: Moderator, Support, Finance, Content Reviewer và member1@ ('Chỉ nhân viên admin mới có quyền này'). Không token -&gt; 401 UNAUTHORIZED.</t>
        </is>
      </c>
      <c r="M87" s="15" t="inlineStr"/>
      <c r="N87" s="18" t="inlineStr">
        <is>
          <t>Chưa test</t>
        </is>
      </c>
      <c r="O87" s="15" t="inlineStr"/>
      <c r="P87" s="15" t="inlineStr"/>
      <c r="Q87" s="18" t="inlineStr">
        <is>
          <t>Chưa test</t>
        </is>
      </c>
      <c r="R87" s="15" t="inlineStr"/>
    </row>
    <row r="88" ht="30" customHeight="1">
      <c r="A88" s="14" t="inlineStr">
        <is>
          <t>TC-ADM3-087</t>
        </is>
      </c>
      <c r="B88" s="15" t="inlineStr">
        <is>
          <t>Admin Console (đợt 3: Phân tích, Hỗ trợ, Hệ thống)</t>
        </is>
      </c>
      <c r="C88" s="15" t="inlineStr">
        <is>
          <t>Ma trận phân quyền nhân viên (API)</t>
        </is>
      </c>
      <c r="D88" s="15" t="inlineStr">
        <is>
          <t>Route 'Hệ thống: tài khoản quản trị' (GET /admin/system/admins): chỉ Super Admin qua guard</t>
        </is>
      </c>
      <c r="E88" s="15" t="inlineStr">
        <is>
          <t>Bảo mật</t>
        </is>
      </c>
      <c r="F88" s="20" t="inlineStr">
        <is>
          <t>Trung bình</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88" s="15" t="inlineStr">
        <is>
          <t>1. Gọi GET /api/admin/system/admins lần lượt bằng token admin@, moderator@, support@, finance@, member1@ (người dùng thường) và không token</t>
        </is>
      </c>
      <c r="K88" s="15" t="inlineStr">
        <is>
          <t>quyền cần: admin.manage</t>
        </is>
      </c>
      <c r="L88" s="15" t="inlineStr">
        <is>
          <t>Qua guard: Super Admin. 403: Moderator, Support, Finance, Content Reviewer và member1@ ('Chỉ nhân viên admin mới có quyền này'). Không token -&gt; 401 UNAUTHORIZED.</t>
        </is>
      </c>
      <c r="M88" s="15" t="inlineStr"/>
      <c r="N88" s="18" t="inlineStr">
        <is>
          <t>Chưa test</t>
        </is>
      </c>
      <c r="O88" s="15" t="inlineStr"/>
      <c r="P88" s="15" t="inlineStr"/>
      <c r="Q88" s="18" t="inlineStr">
        <is>
          <t>Chưa test</t>
        </is>
      </c>
      <c r="R88" s="15" t="inlineStr"/>
    </row>
    <row r="89" ht="30" customHeight="1">
      <c r="A89" s="14" t="inlineStr">
        <is>
          <t>TC-ADM3-088</t>
        </is>
      </c>
      <c r="B89" s="15" t="inlineStr">
        <is>
          <t>Admin Console (đợt 3: Phân tích, Hỗ trợ, Hệ thống)</t>
        </is>
      </c>
      <c r="C89" s="15" t="inlineStr">
        <is>
          <t>Ma trận phân quyền nhân viên (API)</t>
        </is>
      </c>
      <c r="D89" s="15" t="inlineStr">
        <is>
          <t>Route 'Hệ thống: vai trò &amp; quyền' (GET /admin/system/roles): chỉ Super Admin qua guard</t>
        </is>
      </c>
      <c r="E89" s="15" t="inlineStr">
        <is>
          <t>Bảo mật</t>
        </is>
      </c>
      <c r="F89" s="20" t="inlineStr">
        <is>
          <t>Trung bình</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89" s="15" t="inlineStr">
        <is>
          <t>1. Gọi GET /api/admin/system/roles lần lượt bằng token admin@, moderator@, support@, finance@, member1@ (người dùng thường) và không token</t>
        </is>
      </c>
      <c r="K89" s="15" t="inlineStr">
        <is>
          <t>quyền cần: admin.manage</t>
        </is>
      </c>
      <c r="L89" s="15" t="inlineStr">
        <is>
          <t>Qua guard: Super Admin. 403: Moderator, Support, Finance, Content Reviewer và member1@ ('Chỉ nhân viên admin mới có quyền này'). Không token -&gt; 401 UNAUTHORIZED.</t>
        </is>
      </c>
      <c r="M89" s="15" t="inlineStr"/>
      <c r="N89" s="18" t="inlineStr">
        <is>
          <t>Chưa test</t>
        </is>
      </c>
      <c r="O89" s="15" t="inlineStr"/>
      <c r="P89" s="15" t="inlineStr"/>
      <c r="Q89" s="18" t="inlineStr">
        <is>
          <t>Chưa test</t>
        </is>
      </c>
      <c r="R89" s="15" t="inlineStr"/>
    </row>
    <row r="90" ht="30" customHeight="1">
      <c r="A90" s="14" t="inlineStr">
        <is>
          <t>TC-ADM3-089</t>
        </is>
      </c>
      <c r="B90" s="15" t="inlineStr">
        <is>
          <t>Admin Console (đợt 3: Phân tích, Hỗ trợ, Hệ thống)</t>
        </is>
      </c>
      <c r="C90" s="15" t="inlineStr">
        <is>
          <t>Ma trận phân quyền nhân viên (API)</t>
        </is>
      </c>
      <c r="D90" s="15" t="inlineStr">
        <is>
          <t>Route 'Hệ thống: tích hợp' (GET /admin/system/integrations): chỉ Super Admin qua guard</t>
        </is>
      </c>
      <c r="E90" s="15" t="inlineStr">
        <is>
          <t>Bảo mật</t>
        </is>
      </c>
      <c r="F90" s="20" t="inlineStr">
        <is>
          <t>Trung bình</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0" s="15" t="inlineStr">
        <is>
          <t>1. Gọi GET /api/admin/system/integrations lần lượt bằng token admin@, moderator@, support@, finance@, member1@ (người dùng thường) và không token</t>
        </is>
      </c>
      <c r="K90" s="15" t="inlineStr">
        <is>
          <t>quyền cần: system.settings</t>
        </is>
      </c>
      <c r="L90" s="15" t="inlineStr">
        <is>
          <t>Qua guard: Super Admin. 403: Moderator, Support, Finance, Content Reviewer và member1@ ('Chỉ nhân viên admin mới có quyền này'). Không token -&gt; 401 UNAUTHORIZED.</t>
        </is>
      </c>
      <c r="M90" s="15" t="inlineStr"/>
      <c r="N90" s="18" t="inlineStr">
        <is>
          <t>Chưa test</t>
        </is>
      </c>
      <c r="O90" s="15" t="inlineStr"/>
      <c r="P90" s="15" t="inlineStr"/>
      <c r="Q90" s="18" t="inlineStr">
        <is>
          <t>Chưa test</t>
        </is>
      </c>
      <c r="R90" s="15" t="inlineStr"/>
    </row>
    <row r="91" ht="30" customHeight="1">
      <c r="A91" s="14" t="inlineStr">
        <is>
          <t>TC-ADM3-090</t>
        </is>
      </c>
      <c r="B91" s="15" t="inlineStr">
        <is>
          <t>Admin Console (đợt 3: Phân tích, Hỗ trợ, Hệ thống)</t>
        </is>
      </c>
      <c r="C91" s="15" t="inlineStr">
        <is>
          <t>Ma trận phân quyền nhân viên (API)</t>
        </is>
      </c>
      <c r="D91" s="15" t="inlineStr">
        <is>
          <t>Route 'Hệ thống: thông báo (cấu hình)' (GET /admin/system/notifications/settings): chỉ Super Admin qua guard</t>
        </is>
      </c>
      <c r="E91" s="15" t="inlineStr">
        <is>
          <t>Bảo mật</t>
        </is>
      </c>
      <c r="F91" s="20" t="inlineStr">
        <is>
          <t>Trung bình</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Gọi GET /api/admin/system/notifications/settings lần lượt bằng token admin@, moderator@, support@, finance@, member1@ (người dùng thường) và không token</t>
        </is>
      </c>
      <c r="K91" s="15" t="inlineStr">
        <is>
          <t>quyền cần: system.settings</t>
        </is>
      </c>
      <c r="L91" s="15" t="inlineStr">
        <is>
          <t>Qua guard: Super Admin. 403: Moderator, Support, Finance, Content Reviewer và member1@ ('Chỉ nhân viên admin mới có quyền này'). Không token -&gt; 401 UNAUTHORIZED.</t>
        </is>
      </c>
      <c r="M91" s="15" t="inlineStr"/>
      <c r="N91" s="18" t="inlineStr">
        <is>
          <t>Chưa test</t>
        </is>
      </c>
      <c r="O91" s="15" t="inlineStr"/>
      <c r="P91" s="15" t="inlineStr"/>
      <c r="Q91" s="18" t="inlineStr">
        <is>
          <t>Chưa test</t>
        </is>
      </c>
      <c r="R91" s="15" t="inlineStr"/>
    </row>
    <row r="92" ht="30" customHeight="1">
      <c r="A92" s="14" t="inlineStr">
        <is>
          <t>TC-ADM3-091</t>
        </is>
      </c>
      <c r="B92" s="15" t="inlineStr">
        <is>
          <t>Admin Console (đợt 3: Phân tích, Hỗ trợ, Hệ thống)</t>
        </is>
      </c>
      <c r="C92" s="15" t="inlineStr">
        <is>
          <t>Ma trận phân quyền nhân viên (API)</t>
        </is>
      </c>
      <c r="D92" s="15" t="inlineStr">
        <is>
          <t>Route 'Hệ thống: mẫu email' (GET /admin/system/email-templates): chỉ Super Admin qua guard</t>
        </is>
      </c>
      <c r="E92" s="15" t="inlineStr">
        <is>
          <t>Bảo mật</t>
        </is>
      </c>
      <c r="F92" s="20" t="inlineStr">
        <is>
          <t>Trung bình</t>
        </is>
      </c>
      <c r="G92" s="17" t="inlineStr">
        <is>
          <t>Đã hoàn thiện</t>
        </is>
      </c>
      <c r="H92" s="17" t="inlineStr">
        <is>
          <t>Có</t>
        </is>
      </c>
      <c r="I9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2" s="15" t="inlineStr">
        <is>
          <t>1. Gọi GET /api/admin/system/email-templates lần lượt bằng token admin@, moderator@, support@, finance@, member1@ (người dùng thường) và không token</t>
        </is>
      </c>
      <c r="K92" s="15" t="inlineStr">
        <is>
          <t>quyền cần: system.settings</t>
        </is>
      </c>
      <c r="L92" s="15" t="inlineStr">
        <is>
          <t>Qua guard: Super Admin. 403: Moderator, Support, Finance, Content Reviewer và member1@ ('Chỉ nhân viên admin mới có quyền này'). Không token -&gt; 401 UNAUTHORIZED.</t>
        </is>
      </c>
      <c r="M92" s="15" t="inlineStr"/>
      <c r="N92" s="18" t="inlineStr">
        <is>
          <t>Chưa test</t>
        </is>
      </c>
      <c r="O92" s="15" t="inlineStr"/>
      <c r="P92" s="15" t="inlineStr"/>
      <c r="Q92" s="18" t="inlineStr">
        <is>
          <t>Chưa test</t>
        </is>
      </c>
      <c r="R92" s="15" t="inlineStr"/>
    </row>
    <row r="93" ht="30" customHeight="1">
      <c r="A93" s="14" t="inlineStr">
        <is>
          <t>TC-ADM3-092</t>
        </is>
      </c>
      <c r="B93" s="15" t="inlineStr">
        <is>
          <t>Admin Console (đợt 3: Phân tích, Hỗ trợ, Hệ thống)</t>
        </is>
      </c>
      <c r="C93" s="15" t="inlineStr">
        <is>
          <t>Ma trận phân quyền nhân viên (API)</t>
        </is>
      </c>
      <c r="D93" s="15" t="inlineStr">
        <is>
          <t>Route 'Hệ thống: cài đặt chung' (GET /admin/system/settings): chỉ Super Admin qua guard</t>
        </is>
      </c>
      <c r="E93" s="15" t="inlineStr">
        <is>
          <t>Bảo mật</t>
        </is>
      </c>
      <c r="F93" s="20" t="inlineStr">
        <is>
          <t>Trung bình</t>
        </is>
      </c>
      <c r="G93" s="17" t="inlineStr">
        <is>
          <t>Đã hoàn thiện</t>
        </is>
      </c>
      <c r="H93" s="17" t="inlineStr">
        <is>
          <t>Có</t>
        </is>
      </c>
      <c r="I9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3" s="15" t="inlineStr">
        <is>
          <t>1. Gọi GET /api/admin/system/settings lần lượt bằng token admin@, moderator@, support@, finance@, member1@ (người dùng thường) và không token</t>
        </is>
      </c>
      <c r="K93" s="15" t="inlineStr">
        <is>
          <t>quyền cần: system.settings</t>
        </is>
      </c>
      <c r="L93" s="15" t="inlineStr">
        <is>
          <t>Qua guard: Super Admin. 403: Moderator, Support, Finance, Content Reviewer và member1@ ('Chỉ nhân viên admin mới có quyền này'). Không token -&gt; 401 UNAUTHORIZED.</t>
        </is>
      </c>
      <c r="M93" s="15" t="inlineStr"/>
      <c r="N93" s="18" t="inlineStr">
        <is>
          <t>Chưa test</t>
        </is>
      </c>
      <c r="O93" s="15" t="inlineStr"/>
      <c r="P93" s="15" t="inlineStr"/>
      <c r="Q93" s="18" t="inlineStr">
        <is>
          <t>Chưa test</t>
        </is>
      </c>
      <c r="R93" s="15" t="inlineStr"/>
    </row>
    <row r="94" ht="30" customHeight="1">
      <c r="A94" s="14" t="inlineStr">
        <is>
          <t>TC-ADM3-093</t>
        </is>
      </c>
      <c r="B94" s="15" t="inlineStr">
        <is>
          <t>Admin Console (đợt 3: Phân tích, Hỗ trợ, Hệ thống)</t>
        </is>
      </c>
      <c r="C94" s="15" t="inlineStr">
        <is>
          <t>Ma trận phân quyền nhân viên (API)</t>
        </is>
      </c>
      <c r="D94" s="15" t="inlineStr">
        <is>
          <t>Route 'Hệ thống: xuất CSV nhật ký' (GET /admin/audit-logs/export): chỉ Super Admin qua guard</t>
        </is>
      </c>
      <c r="E94" s="15" t="inlineStr">
        <is>
          <t>Bảo mật</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4" s="15" t="inlineStr">
        <is>
          <t>1. Gọi GET /api/admin/audit-logs/export lần lượt bằng token admin@, moderator@, support@, finance@, member1@ (người dùng thường) và không token</t>
        </is>
      </c>
      <c r="K94" s="15" t="inlineStr">
        <is>
          <t>quyền cần: audit.view</t>
        </is>
      </c>
      <c r="L94" s="15" t="inlineStr">
        <is>
          <t>Qua guard: Super Admin. 403: Moderator, Support, Finance, Content Reviewer và member1@ ('Chỉ nhân viên admin mới có quyền này'). Không token -&gt; 401 UNAUTHORIZED.</t>
        </is>
      </c>
      <c r="M94" s="15" t="inlineStr"/>
      <c r="N94" s="18" t="inlineStr">
        <is>
          <t>Chưa test</t>
        </is>
      </c>
      <c r="O94" s="15" t="inlineStr"/>
      <c r="P94" s="15" t="inlineStr"/>
      <c r="Q94" s="18" t="inlineStr">
        <is>
          <t>Chưa test</t>
        </is>
      </c>
      <c r="R94" s="15" t="inlineStr"/>
    </row>
    <row r="95" ht="30" customHeight="1">
      <c r="A95" s="14" t="inlineStr">
        <is>
          <t>TC-ADM3-094</t>
        </is>
      </c>
      <c r="B95" s="15" t="inlineStr">
        <is>
          <t>Admin Console (đợt 3: Phân tích, Hỗ trợ, Hệ thống)</t>
        </is>
      </c>
      <c r="C95" s="15" t="inlineStr">
        <is>
          <t>Ma trận phân quyền nhân viên (API)</t>
        </is>
      </c>
      <c r="D95" s="15" t="inlineStr">
        <is>
          <t>Route 'Route lạ (không có trong bảng luật)' (GET /admin/system/khong-co-route): chỉ Super Admin qua guard</t>
        </is>
      </c>
      <c r="E95" s="15" t="inlineStr">
        <is>
          <t>Bảo mật</t>
        </is>
      </c>
      <c r="F95" s="20" t="inlineStr">
        <is>
          <t>Trung bình</t>
        </is>
      </c>
      <c r="G95" s="17" t="inlineStr">
        <is>
          <t>Đã hoàn thiện</t>
        </is>
      </c>
      <c r="H95" s="17" t="inlineStr">
        <is>
          <t>Có</t>
        </is>
      </c>
      <c r="I9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5" s="15" t="inlineStr">
        <is>
          <t>1. Gọi GET /api/admin/system/khong-co-route lần lượt bằng token admin@, moderator@, support@, finance@, member1@ (người dùng thường) và không token</t>
        </is>
      </c>
      <c r="K95" s="15" t="inlineStr">
        <is>
          <t>quyền cần: super</t>
        </is>
      </c>
      <c r="L95" s="15" t="inlineStr">
        <is>
          <t>Qua guard: Super Admin. 403: Moderator, Support, Finance, Content Reviewer và member1@ ('Chỉ nhân viên admin mới có quyền này'). Không token -&gt; 401 UNAUTHORIZED.</t>
        </is>
      </c>
      <c r="M95" s="15" t="inlineStr"/>
      <c r="N95" s="18" t="inlineStr">
        <is>
          <t>Chưa test</t>
        </is>
      </c>
      <c r="O95" s="15" t="inlineStr"/>
      <c r="P95" s="15" t="inlineStr"/>
      <c r="Q95" s="18" t="inlineStr">
        <is>
          <t>Chưa test</t>
        </is>
      </c>
      <c r="R95" s="15" t="inlineStr"/>
    </row>
    <row r="96" ht="60" customHeight="1">
      <c r="A96" s="14" t="inlineStr">
        <is>
          <t>TC-ADM3-095</t>
        </is>
      </c>
      <c r="B96" s="15" t="inlineStr">
        <is>
          <t>Admin Console (đợt 3: Phân tích, Hỗ trợ, Hệ thống)</t>
        </is>
      </c>
      <c r="C96" s="15" t="inlineStr">
        <is>
          <t>Ma trận phân quyền nhân viên (API)</t>
        </is>
      </c>
      <c r="D96" s="15" t="inlineStr">
        <is>
          <t>Nhân viên bị tạm khóa (nina@) bị 403 ở mọi route, kể cả /admin/me</t>
        </is>
      </c>
      <c r="E96" s="15" t="inlineStr">
        <is>
          <t>Bảo mật</t>
        </is>
      </c>
      <c r="F96" s="16" t="inlineStr">
        <is>
          <t>Cao</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96" s="15" t="inlineStr">
        <is>
          <t>1. GET /api/admin/me
2. GET /api/admin/dashboard
3. GET /api/admin/users
4. GET /api/admin/moderation/cases</t>
        </is>
      </c>
      <c r="K96" s="15" t="inlineStr">
        <is>
          <t>nina@sofinhub.test (Moderator, suspended)</t>
        </is>
      </c>
      <c r="L96" s="15" t="inlineStr">
        <is>
          <t>Cả 4 route trả 403 FORBIDDEN 'Tài khoản admin của bạn đã bị tạm khóa' dù vai trò Moderator vốn có các quyền đó; login thường vẫn 200.</t>
        </is>
      </c>
      <c r="M96" s="15" t="inlineStr"/>
      <c r="N96" s="18" t="inlineStr">
        <is>
          <t>Chưa test</t>
        </is>
      </c>
      <c r="O96" s="15" t="inlineStr"/>
      <c r="P96" s="15" t="inlineStr"/>
      <c r="Q96" s="18" t="inlineStr">
        <is>
          <t>Chưa test</t>
        </is>
      </c>
      <c r="R96" s="15" t="inlineStr"/>
    </row>
    <row r="97" ht="30" customHeight="1">
      <c r="A97" s="14" t="inlineStr">
        <is>
          <t>TC-ADM3-096</t>
        </is>
      </c>
      <c r="B97" s="15" t="inlineStr">
        <is>
          <t>Admin Console (đợt 3: Phân tích, Hỗ trợ, Hệ thống)</t>
        </is>
      </c>
      <c r="C97" s="15" t="inlineStr">
        <is>
          <t>Ma trận phân quyền nhân viên (API)</t>
        </is>
      </c>
      <c r="D97" s="15" t="inlineStr">
        <is>
          <t>Người dùng thường và không token: 401 khi thiếu token, 403 khi không phải nhân viên ở 7 nhóm route</t>
        </is>
      </c>
      <c r="E97" s="15" t="inlineStr">
        <is>
          <t>Bảo mật</t>
        </is>
      </c>
      <c r="F97" s="16" t="inlineStr">
        <is>
          <t>Cao</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Token member1@sofinhub.test.</t>
        </is>
      </c>
      <c r="J97" s="15" t="inlineStr">
        <is>
          <t>1. Với từng path /admin/me, /admin/dashboard, /admin/analytics/users, /admin/support/tickets, /admin/system/flags, /admin/system/admins, /admin/users: gọi KHÔNG token
2. Gọi lại với token member1@</t>
        </is>
      </c>
      <c r="K97" s="15" t="inlineStr">
        <is>
          <t>member1@sofinhub.test</t>
        </is>
      </c>
      <c r="L97" s="15" t="inlineStr">
        <is>
          <t>Không token: 401 UNAUTHORIZED ở cả 7. Token member1@: 403 FORBIDDEN ở cả 7 (không 404/400/200).</t>
        </is>
      </c>
      <c r="M97" s="15" t="inlineStr"/>
      <c r="N97" s="18" t="inlineStr">
        <is>
          <t>Chưa test</t>
        </is>
      </c>
      <c r="O97" s="15" t="inlineStr"/>
      <c r="P97" s="15" t="inlineStr"/>
      <c r="Q97" s="18" t="inlineStr">
        <is>
          <t>Chưa test</t>
        </is>
      </c>
      <c r="R97" s="15" t="inlineStr"/>
    </row>
    <row r="98" ht="30" customHeight="1">
      <c r="A98" s="14" t="inlineStr">
        <is>
          <t>TC-ADM3-097</t>
        </is>
      </c>
      <c r="B98" s="15" t="inlineStr">
        <is>
          <t>Admin Console (đợt 3: Phân tích, Hỗ trợ, Hệ thống)</t>
        </is>
      </c>
      <c r="C98" s="15" t="inlineStr">
        <is>
          <t>Ma trận phân quyền nhân viên (API)</t>
        </is>
      </c>
      <c r="D98" s="15" t="inlineStr">
        <is>
          <t>Mọi route /admin/* của đợt 3 (≈70 route) đều 401 khi thiếu token và 403 với member1@</t>
        </is>
      </c>
      <c r="E98" s="15" t="inlineStr">
        <is>
          <t>Bảo mật</t>
        </is>
      </c>
      <c r="F98" s="16" t="inlineStr">
        <is>
          <t>Cao</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Token member1@.</t>
        </is>
      </c>
      <c r="J98"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98" s="15" t="inlineStr">
        <is>
          <t>member1@</t>
        </is>
      </c>
      <c r="L98" s="15" t="inlineStr">
        <is>
          <t>Không token -&gt; 401; member1@ -&gt; 403 FORBIDDEN, kể cả với id/key giả 'x' (quyền chạy trước validate/tìm bản ghi).</t>
        </is>
      </c>
      <c r="M98" s="15" t="inlineStr"/>
      <c r="N98" s="18" t="inlineStr">
        <is>
          <t>Chưa test</t>
        </is>
      </c>
      <c r="O98" s="15" t="inlineStr"/>
      <c r="P98" s="15" t="inlineStr"/>
      <c r="Q98" s="18" t="inlineStr">
        <is>
          <t>Chưa test</t>
        </is>
      </c>
      <c r="R98" s="15" t="inlineStr"/>
    </row>
    <row r="99" ht="75" customHeight="1">
      <c r="A99" s="14" t="inlineStr">
        <is>
          <t>TC-ADM3-098</t>
        </is>
      </c>
      <c r="B99" s="15" t="inlineStr">
        <is>
          <t>Admin Console (đợt 3: Phân tích, Hỗ trợ, Hệ thống)</t>
        </is>
      </c>
      <c r="C99" s="15" t="inlineStr">
        <is>
          <t>Ma trận phân quyền nhân viên (API)</t>
        </is>
      </c>
      <c r="D99" s="15" t="inlineStr">
        <is>
          <t>Đổi ô ma trận có hiệu lực ngay: bật users.view cho Finance rồi tắt</t>
        </is>
      </c>
      <c r="E99" s="15" t="inlineStr">
        <is>
          <t>Chức năng</t>
        </is>
      </c>
      <c r="F99" s="16" t="inlineStr">
        <is>
          <t>Cao</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99"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99" s="15" t="inlineStr">
        <is>
          <t>finance, users.view</t>
        </is>
      </c>
      <c r="L99" s="15" t="inlineStr">
        <is>
          <t>Lần 1: 403. Sau bật: PATCH 200 (role.permissions có users.view) và GET /admin/users bằng CÙNG token finance -&gt; 200 (quyền đọc từ DB mỗi request, không cache token). Sau tắt: 403 lại.</t>
        </is>
      </c>
      <c r="M99" s="15" t="inlineStr"/>
      <c r="N99" s="18" t="inlineStr">
        <is>
          <t>Chưa test</t>
        </is>
      </c>
      <c r="O99" s="15" t="inlineStr"/>
      <c r="P99" s="15" t="inlineStr"/>
      <c r="Q99" s="18" t="inlineStr">
        <is>
          <t>Chưa test</t>
        </is>
      </c>
      <c r="R99" s="15" t="inlineStr"/>
    </row>
    <row r="100" ht="60" customHeight="1">
      <c r="A100" s="14" t="inlineStr">
        <is>
          <t>TC-ADM3-099</t>
        </is>
      </c>
      <c r="B100" s="15" t="inlineStr">
        <is>
          <t>Admin Console (đợt 3: Phân tích, Hỗ trợ, Hệ thống)</t>
        </is>
      </c>
      <c r="C100" s="15" t="inlineStr">
        <is>
          <t>Ma trận phân quyền nhân viên (API)</t>
        </is>
      </c>
      <c r="D100" s="15" t="inlineStr">
        <is>
          <t>Gỡ quyền khỏi vai trò: nhân viên đang đăng nhập bị chặn ngay ở request kế tiếp</t>
        </is>
      </c>
      <c r="E100" s="15" t="inlineStr">
        <is>
          <t>Bảo mật</t>
        </is>
      </c>
      <c r="F100" s="16" t="inlineStr">
        <is>
          <t>Cao</t>
        </is>
      </c>
      <c r="G100" s="17" t="inlineStr">
        <is>
          <t>Đã hoàn thiện</t>
        </is>
      </c>
      <c r="H100" s="20" t="inlineStr">
        <is>
          <t>Một phần</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100" s="15" t="inlineStr">
        <is>
          <t>1. A: Hệ thống &gt; Vai trò &amp; Quyền, tắt ô 'Xử lý ticket hỗ trợ' của cột Hỗ trợ
2. B: bấm sang trang 2 của bảng ticket (không tải lại trang)
3. B: F5 trang
4. A: bật lại ô</t>
        </is>
      </c>
      <c r="K100" s="15" t="inlineStr">
        <is>
          <t>support, support.manage</t>
        </is>
      </c>
      <c r="L100" s="15" t="inlineStr">
        <is>
          <t>B: lần tải kế tiếp GET /admin/support/tickets -&gt; 403 (toast/khối lỗi 'Vai trò Support không có quyền "support.manage"'); sau F5 sidebar mất nhóm 'Hỗ trợ' và /admin/support/tickets hiện 'Không đủ quyền'. Bật lại -&gt; khôi phục.</t>
        </is>
      </c>
      <c r="M100" s="15" t="inlineStr"/>
      <c r="N100" s="18" t="inlineStr">
        <is>
          <t>Chưa test</t>
        </is>
      </c>
      <c r="O100" s="15" t="inlineStr"/>
      <c r="P100" s="15" t="inlineStr"/>
      <c r="Q100" s="18" t="inlineStr">
        <is>
          <t>Chưa test</t>
        </is>
      </c>
      <c r="R100" s="15" t="inlineStr"/>
    </row>
    <row r="101" ht="75" customHeight="1">
      <c r="A101" s="14" t="inlineStr">
        <is>
          <t>TC-ADM3-100</t>
        </is>
      </c>
      <c r="B101" s="15" t="inlineStr">
        <is>
          <t>Admin Console (đợt 3: Phân tích, Hỗ trợ, Hệ thống)</t>
        </is>
      </c>
      <c r="C101" s="15" t="inlineStr">
        <is>
          <t>Ma trận phân quyền nhân viên (API)</t>
        </is>
      </c>
      <c r="D101" s="15" t="inlineStr">
        <is>
          <t>Nhân viên bị tạm khóa giữa chừng: token cũ bị chặn ở mọi /admin/* nhưng KHÔNG bị thu hồi phiên đăng nhập</t>
        </is>
      </c>
      <c r="E101" s="15" t="inlineStr">
        <is>
          <t>Bảo mật</t>
        </is>
      </c>
      <c r="F101" s="16" t="inlineStr">
        <is>
          <t>Cao</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101"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101" s="15" t="inlineStr">
        <is>
          <t>tom@</t>
        </is>
      </c>
      <c r="L101" s="15" t="inlineStr">
        <is>
          <t>Sau suspend: /admin/* -&gt; 403 'Tài khoản admin của bạn đã bị tạm khóa'; các API thường của tom@ VẪN 200 (suspend chỉ khóa quyền admin, không revoke Session/tokenVersion). Sau enable: /admin/* 200 lại với token cũ.</t>
        </is>
      </c>
      <c r="M101" s="15" t="inlineStr"/>
      <c r="N101" s="18" t="inlineStr">
        <is>
          <t>Chưa test</t>
        </is>
      </c>
      <c r="O101" s="15" t="inlineStr"/>
      <c r="P101" s="15" t="inlineStr"/>
      <c r="Q101" s="18" t="inlineStr">
        <is>
          <t>Chưa test</t>
        </is>
      </c>
      <c r="R101" s="15" t="inlineStr"/>
    </row>
    <row r="102" ht="60" customHeight="1">
      <c r="A102" s="14" t="inlineStr">
        <is>
          <t>TC-ADM3-101</t>
        </is>
      </c>
      <c r="B102" s="15" t="inlineStr">
        <is>
          <t>Admin Console (đợt 3: Phân tích, Hỗ trợ, Hệ thống)</t>
        </is>
      </c>
      <c r="C102" s="15" t="inlineStr">
        <is>
          <t>Ma trận phân quyền nhân viên (API)</t>
        </is>
      </c>
      <c r="D102" s="15" t="inlineStr">
        <is>
          <t>Xóa quyền nhân viên (DELETE admins/:id): token cũ mất quyền /admin ngay, tài khoản người dùng còn nguyên</t>
        </is>
      </c>
      <c r="E102" s="15" t="inlineStr">
        <is>
          <t>Bảo mật</t>
        </is>
      </c>
      <c r="F102" s="16" t="inlineStr">
        <is>
          <t>Cao</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102" s="15" t="inlineStr">
        <is>
          <t>1. GET /admin/dashboard bằng token mia.lopez@ -&gt; 200
2. Super Admin DELETE /admin/system/admins/&lt;id mia&gt;
3. GET /admin/dashboard lại
4. Đăng nhập thường mia.lopez@</t>
        </is>
      </c>
      <c r="K102" s="15" t="inlineStr">
        <is>
          <t>mia.lopez@</t>
        </is>
      </c>
      <c r="L102" s="15" t="inlineStr">
        <is>
          <t>Sau DELETE: 403 FORBIDDEN 'Chỉ nhân viên admin mới có quyền này'; đăng nhập trang thường vẫn thành công; Tài khoản quản trị không còn dòng mia.</t>
        </is>
      </c>
      <c r="M102" s="15" t="inlineStr"/>
      <c r="N102" s="18" t="inlineStr">
        <is>
          <t>Chưa test</t>
        </is>
      </c>
      <c r="O102" s="15" t="inlineStr"/>
      <c r="P102" s="15" t="inlineStr"/>
      <c r="Q102" s="18" t="inlineStr">
        <is>
          <t>Chưa test</t>
        </is>
      </c>
      <c r="R102" s="15" t="inlineStr"/>
    </row>
    <row r="103" ht="75" customHeight="1">
      <c r="A103" s="14" t="inlineStr">
        <is>
          <t>TC-ADM3-102</t>
        </is>
      </c>
      <c r="B103" s="15" t="inlineStr">
        <is>
          <t>Admin Console (đợt 3: Phân tích, Hỗ trợ, Hệ thống)</t>
        </is>
      </c>
      <c r="C103" s="15" t="inlineStr">
        <is>
          <t>Ma trận phân quyền nhân viên (API)</t>
        </is>
      </c>
      <c r="D103" s="15" t="inlineStr">
        <is>
          <t>Nhân viên không thể bị ban/suspend/restrict/reinstate qua /admin/users/*</t>
        </is>
      </c>
      <c r="E103" s="15" t="inlineStr">
        <is>
          <t>Bảo mật</t>
        </is>
      </c>
      <c r="F103" s="16" t="inlineStr">
        <is>
          <t>Cao</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103"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103" s="15" t="inlineStr">
        <is>
          <t>support@, finance@, tom@, nina@</t>
        </is>
      </c>
      <c r="L103"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103" s="15" t="inlineStr"/>
      <c r="N103" s="18" t="inlineStr">
        <is>
          <t>Chưa test</t>
        </is>
      </c>
      <c r="O103" s="15" t="inlineStr"/>
      <c r="P103" s="15" t="inlineStr"/>
      <c r="Q103" s="18" t="inlineStr">
        <is>
          <t>Chưa test</t>
        </is>
      </c>
      <c r="R103" s="15" t="inlineStr"/>
    </row>
    <row r="104" ht="45" customHeight="1">
      <c r="A104" s="14" t="inlineStr">
        <is>
          <t>TC-ADM3-103</t>
        </is>
      </c>
      <c r="B104" s="15" t="inlineStr">
        <is>
          <t>Admin Console (đợt 3: Phân tích, Hỗ trợ, Hệ thống)</t>
        </is>
      </c>
      <c r="C104" s="15" t="inlineStr">
        <is>
          <t>Ma trận phân quyền nhân viên (API)</t>
        </is>
      </c>
      <c r="D104" s="15" t="inlineStr">
        <is>
          <t>Support xem được Người dùng nhưng không có nút/route ghi (user.ban): API trả 403, UI vẫn hiện nút</t>
        </is>
      </c>
      <c r="E104" s="15" t="inlineStr">
        <is>
          <t>Chức năng</t>
        </is>
      </c>
      <c r="F104" s="16" t="inlineStr">
        <is>
          <t>Cao</t>
        </is>
      </c>
      <c r="G104" s="17" t="inlineStr">
        <is>
          <t>Đã hoàn thiện</t>
        </is>
      </c>
      <c r="H104" s="20" t="inlineStr">
        <is>
          <t>Một phần</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Đăng nhập support@sofinhub.test / Passw0rd!x.</t>
        </is>
      </c>
      <c r="J104" s="15" t="inlineStr">
        <is>
          <t>1. Mở /admin/users, mở menu thao tác một người dùng thường (vd sarah)
2. Thử 'Cảnh cáo' hoặc 'Tạm ngưng'
3. Đối chiếu Network</t>
        </is>
      </c>
      <c r="K104" s="15" t="inlineStr">
        <is>
          <t>support@sofinhub.test</t>
        </is>
      </c>
      <c r="L104" s="15" t="inlineStr">
        <is>
          <t>HIỆN TẠI: FE chỉ ẩn nhóm/mục menu và chặn trang, KHÔNG ẩn nút theo quyền -&gt; nút 'Cảnh cáo/Tạm ngưng' vẫn hiện; bấm -&gt; POST trả 403 'Vai trò Support không có quyền "user.ban"' và toast lỗi; dữ liệu không đổi. (Quyền mức nút là khoảng trống đã biết - xem case Kế hoạch.)</t>
        </is>
      </c>
      <c r="M104" s="15" t="inlineStr"/>
      <c r="N104" s="18" t="inlineStr">
        <is>
          <t>Chưa test</t>
        </is>
      </c>
      <c r="O104" s="15" t="inlineStr"/>
      <c r="P104" s="15" t="inlineStr"/>
      <c r="Q104" s="18" t="inlineStr">
        <is>
          <t>Chưa test</t>
        </is>
      </c>
      <c r="R104" s="15" t="inlineStr"/>
    </row>
    <row r="105" ht="45" customHeight="1">
      <c r="A105" s="14" t="inlineStr">
        <is>
          <t>TC-ADM3-104</t>
        </is>
      </c>
      <c r="B105" s="15" t="inlineStr">
        <is>
          <t>Admin Console (đợt 3: Phân tích, Hỗ trợ, Hệ thống)</t>
        </is>
      </c>
      <c r="C105" s="15" t="inlineStr">
        <is>
          <t>Ma trận phân quyền nhân viên (API)</t>
        </is>
      </c>
      <c r="D105" s="15" t="inlineStr">
        <is>
          <t>Finance xem Thanh toán nhưng không duyệt chi trả/không có payout.approve ở Support: nút vẫn hiện, API chặn</t>
        </is>
      </c>
      <c r="E105" s="15" t="inlineStr">
        <is>
          <t>Chức năng</t>
        </is>
      </c>
      <c r="F105" s="20" t="inlineStr">
        <is>
          <t>Trung bình</t>
        </is>
      </c>
      <c r="G105" s="17" t="inlineStr">
        <is>
          <t>Đã hoàn thiện</t>
        </is>
      </c>
      <c r="H105" s="20" t="inlineStr">
        <is>
          <t>Một phần</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Đăng nhập support@sofinhub.test / Passw0rd!x.</t>
        </is>
      </c>
      <c r="J105" s="15" t="inlineStr">
        <is>
          <t>1. Mở /admin/payments/payouts
2. Mở menu một chi trả (vd PO-60986918) và chọn 'Giữ'/'Duyệt'
3. Đối chiếu Network</t>
        </is>
      </c>
      <c r="K105" s="15" t="inlineStr">
        <is>
          <t>PO-60986918</t>
        </is>
      </c>
      <c r="L105" s="15" t="inlineStr">
        <is>
          <t>Support có payment.view nên xem được danh sách; thao tác POST /admin/payments/payouts/&lt;id&gt;/hold trả 403 'Vai trò Support không có quyền "payout.approve"'; toast lỗi, trạng thái không đổi. Finance làm được thao tác này.</t>
        </is>
      </c>
      <c r="M105" s="15" t="inlineStr"/>
      <c r="N105" s="18" t="inlineStr">
        <is>
          <t>Chưa test</t>
        </is>
      </c>
      <c r="O105" s="15" t="inlineStr"/>
      <c r="P105" s="15" t="inlineStr"/>
      <c r="Q105" s="18" t="inlineStr">
        <is>
          <t>Chưa test</t>
        </is>
      </c>
      <c r="R105" s="15" t="inlineStr"/>
    </row>
    <row r="106" ht="45" customHeight="1">
      <c r="A106" s="14" t="inlineStr">
        <is>
          <t>TC-ADM3-105</t>
        </is>
      </c>
      <c r="B106" s="15" t="inlineStr">
        <is>
          <t>Admin Console (đợt 3: Phân tích, Hỗ trợ, Hệ thống)</t>
        </is>
      </c>
      <c r="C106" s="15" t="inlineStr">
        <is>
          <t>Ma trận phân quyền nhân viên (API)</t>
        </is>
      </c>
      <c r="D106" s="15" t="inlineStr">
        <is>
          <t>Route cũ /admin/refunds và /admin/payouts đi qua guard theo quyền: Moderator 403, Finance/Support qua (refunds)</t>
        </is>
      </c>
      <c r="E106" s="15" t="inlineStr">
        <is>
          <t>Bảo mật</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106" s="15" t="inlineStr">
        <is>
          <t>1. PATCH /admin/refunds/khong-ton-tai {action:'reject'} lần lượt bằng moderator@, support@, finance@
2. PATCH /admin/payouts/khong-ton-tai {action:'reject'} bằng support@ và finance@
3. GET /admin/refunds và GET /admin/payouts bằng moderator@ và support@</t>
        </is>
      </c>
      <c r="K106" s="15" t="inlineStr">
        <is>
          <t>route cũ</t>
        </is>
      </c>
      <c r="L106" s="15" t="inlineStr">
        <is>
          <t>refunds PATCH: moderator 403 (thiếu payment.refund); support và finance qua guard (404 'Không tìm thấy' vì id giả). payouts PATCH: support 403 (thiếu payout.approve), finance qua guard. GET refunds/payouts: moderator 403 (thiếu payment.view), support 200.</t>
        </is>
      </c>
      <c r="M106" s="15" t="inlineStr"/>
      <c r="N106" s="18" t="inlineStr">
        <is>
          <t>Chưa test</t>
        </is>
      </c>
      <c r="O106" s="15" t="inlineStr"/>
      <c r="P106" s="15" t="inlineStr"/>
      <c r="Q106" s="18" t="inlineStr">
        <is>
          <t>Chưa test</t>
        </is>
      </c>
      <c r="R106" s="15" t="inlineStr"/>
    </row>
    <row r="107" ht="30" customHeight="1">
      <c r="A107" s="14" t="inlineStr">
        <is>
          <t>TC-ADM3-106</t>
        </is>
      </c>
      <c r="B107" s="15" t="inlineStr">
        <is>
          <t>Admin Console (đợt 3: Phân tích, Hỗ trợ, Hệ thống)</t>
        </is>
      </c>
      <c r="C107" s="15" t="inlineStr">
        <is>
          <t>Ma trận phân quyền nhân viên (API)</t>
        </is>
      </c>
      <c r="D107" s="15" t="inlineStr">
        <is>
          <t>Support duyệt hoàn tiền thật (RF-AEB9A758) bằng route đợt 2: được vì có payment.refund</t>
        </is>
      </c>
      <c r="E107" s="15" t="inlineStr">
        <is>
          <t>Chức năng</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107" s="15" t="inlineStr">
        <is>
          <t>1. POST /admin/payments/refunds/&lt;id RF-AEB9A758&gt;/approve {} bằng token support@
2. GET /admin/audit-logs?action=refund.approve bằng token admin@</t>
        </is>
      </c>
      <c r="K107" s="15" t="inlineStr">
        <is>
          <t>RF-AEB9A758</t>
        </is>
      </c>
      <c r="L107" s="15" t="inlineStr">
        <is>
          <t>200 refund status approved/hoàn tất; audit refund.approve có actor 'Ryan Cho' kèm vai trò Support và IP của request. Moderator làm cùng thao tác bị 403.</t>
        </is>
      </c>
      <c r="M107" s="15" t="inlineStr"/>
      <c r="N107" s="18" t="inlineStr">
        <is>
          <t>Chưa test</t>
        </is>
      </c>
      <c r="O107" s="15" t="inlineStr"/>
      <c r="P107" s="15" t="inlineStr"/>
      <c r="Q107" s="18" t="inlineStr">
        <is>
          <t>Chưa test</t>
        </is>
      </c>
      <c r="R107" s="15" t="inlineStr"/>
    </row>
    <row r="108" ht="30" customHeight="1">
      <c r="A108" s="14" t="inlineStr">
        <is>
          <t>TC-ADM3-107</t>
        </is>
      </c>
      <c r="B108" s="15" t="inlineStr">
        <is>
          <t>Admin Console (đợt 3: Phân tích, Hỗ trợ, Hệ thống)</t>
        </is>
      </c>
      <c r="C108" s="15" t="inlineStr">
        <is>
          <t>Ma trận phân quyền nhân viên (API)</t>
        </is>
      </c>
      <c r="D108" s="15" t="inlineStr">
        <is>
          <t>Moderator có analytics.view nhưng không có payment.view: xem /analytics/revenue được, /payments/transactions bị 403</t>
        </is>
      </c>
      <c r="E108" s="15" t="inlineStr">
        <is>
          <t>Bảo mật</t>
        </is>
      </c>
      <c r="F108" s="20" t="inlineStr">
        <is>
          <t>Trung bình</t>
        </is>
      </c>
      <c r="G108" s="17" t="inlineStr">
        <is>
          <t>Đã hoàn thiện</t>
        </is>
      </c>
      <c r="H108" s="17" t="inlineStr">
        <is>
          <t>Có</t>
        </is>
      </c>
      <c r="I108" s="15" t="inlineStr">
        <is>
          <t>DB sạch sau npm run db:reset (có seed/admin-batch3.ts, chạy sau seed admin đợt 1-2; mật khẩu mọi tài khoản seed Passw0rd!x; xem sheet 'Tài khoản &amp; dữ liệu test' mục A5-A6). Token moderator@.</t>
        </is>
      </c>
      <c r="J108" s="15" t="inlineStr">
        <is>
          <t>1. GET /admin/analytics/revenue
2. GET /admin/payments/transactions</t>
        </is>
      </c>
      <c r="K108" s="15" t="inlineStr">
        <is>
          <t>moderator@</t>
        </is>
      </c>
      <c r="L108" s="15" t="inlineStr">
        <is>
          <t>Phân tích doanh thu 200 (quyền analytics.view); Giao dịch 403 'Vai trò Moderator không có quyền "payment.view"' - hai quyền tách nhau, số liệu gộp trong Phân tích không đồng nghĩa xem được chi tiết giao dịch.</t>
        </is>
      </c>
      <c r="M108" s="15" t="inlineStr"/>
      <c r="N108" s="18" t="inlineStr">
        <is>
          <t>Chưa test</t>
        </is>
      </c>
      <c r="O108" s="15" t="inlineStr"/>
      <c r="P108" s="15" t="inlineStr"/>
      <c r="Q108" s="18" t="inlineStr">
        <is>
          <t>Chưa test</t>
        </is>
      </c>
      <c r="R108" s="15" t="inlineStr"/>
    </row>
    <row r="109" ht="45" customHeight="1">
      <c r="A109" s="14" t="inlineStr">
        <is>
          <t>TC-ADM3-108</t>
        </is>
      </c>
      <c r="B109" s="15" t="inlineStr">
        <is>
          <t>Admin Console (đợt 3: Phân tích, Hỗ trợ, Hệ thống)</t>
        </is>
      </c>
      <c r="C109" s="15" t="inlineStr">
        <is>
          <t>Ma trận phân quyền nhân viên (API)</t>
        </is>
      </c>
      <c r="D109" s="15" t="inlineStr">
        <is>
          <t>Quyền 'super' cho route không có trong bảng luật: chỉ Super Admin</t>
        </is>
      </c>
      <c r="E109" s="15" t="inlineStr">
        <is>
          <t>Bảo mật</t>
        </is>
      </c>
      <c r="F109" s="17" t="inlineStr">
        <is>
          <t>Thấp</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109" s="15" t="inlineStr">
        <is>
          <t>1. GET /admin/system/khong-co-route bằng admin@
2. GET /admin/system/khong-co-route bằng moderator@ và finance@
3. GET /admin/khac-hoan-toan bằng moderator@</t>
        </is>
      </c>
      <c r="K109" s="15" t="inlineStr">
        <is>
          <t>route lạ</t>
        </is>
      </c>
      <c r="L109" s="15" t="inlineStr">
        <is>
          <t>admin@: qua guard -&gt; 404 NOT_FOUND. moderator@/finance@: 403 'Chỉ Super Admin mới có quyền này' (an toàn-mặc-định: route mới quên khai báo quyền sẽ không lộ cho vai trò thấp).</t>
        </is>
      </c>
      <c r="M109" s="15" t="inlineStr"/>
      <c r="N109" s="18" t="inlineStr">
        <is>
          <t>Chưa test</t>
        </is>
      </c>
      <c r="O109" s="15" t="inlineStr"/>
      <c r="P109" s="15" t="inlineStr"/>
      <c r="Q109" s="18" t="inlineStr">
        <is>
          <t>Chưa test</t>
        </is>
      </c>
      <c r="R109" s="15" t="inlineStr"/>
    </row>
    <row r="110" ht="60" customHeight="1">
      <c r="A110" s="14" t="inlineStr">
        <is>
          <t>TC-ADM3-109</t>
        </is>
      </c>
      <c r="B110" s="15" t="inlineStr">
        <is>
          <t>Admin Console (đợt 3: Phân tích, Hỗ trợ, Hệ thống)</t>
        </is>
      </c>
      <c r="C110" s="15" t="inlineStr">
        <is>
          <t>Ma trận phân quyền nhân viên (API)</t>
        </is>
      </c>
      <c r="D110" s="15" t="inlineStr">
        <is>
          <t>Super Admin là vai trò (không phải env) cũng bị chặn tự sửa/xóa/suspend chính mình</t>
        </is>
      </c>
      <c r="E110" s="15" t="inlineStr">
        <is>
          <t>Bảo mật</t>
        </is>
      </c>
      <c r="F110" s="20" t="inlineStr">
        <is>
          <t>Trung bình</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110" s="15" t="inlineStr">
        <is>
          <t>1. Bằng token owner@: PATCH /admin/system/admins/&lt;id owner&gt; {roleKey:'finance'}
2. POST .../suspend
3. DELETE .../admins/&lt;id owner&gt;
4. GET /admin/system/admins xem cờ locked của dòng chính mình</t>
        </is>
      </c>
      <c r="K110" s="15" t="inlineStr">
        <is>
          <t>owner@ là super_admin</t>
        </is>
      </c>
      <c r="L110" s="15" t="inlineStr">
        <is>
          <t>Cả 3 thao tác -&gt; 409 CONFLICT 'Bạn không thể tự thay đổi tài khoản admin của chính mình'; trong danh sách dòng của mình có locked=true.</t>
        </is>
      </c>
      <c r="M110" s="15" t="inlineStr"/>
      <c r="N110" s="18" t="inlineStr">
        <is>
          <t>Chưa test</t>
        </is>
      </c>
      <c r="O110" s="15" t="inlineStr"/>
      <c r="P110" s="15" t="inlineStr"/>
      <c r="Q110" s="18" t="inlineStr">
        <is>
          <t>Chưa test</t>
        </is>
      </c>
      <c r="R110" s="15" t="inlineStr"/>
    </row>
    <row r="111" ht="45" customHeight="1">
      <c r="A111" s="14" t="inlineStr">
        <is>
          <t>TC-ADM3-110</t>
        </is>
      </c>
      <c r="B111" s="15" t="inlineStr">
        <is>
          <t>Admin Console (đợt 3: Phân tích, Hỗ trợ, Hệ thống)</t>
        </is>
      </c>
      <c r="C111" s="15" t="inlineStr">
        <is>
          <t>Ma trận phân quyền nhân viên (API)</t>
        </is>
      </c>
      <c r="D111" s="15" t="inlineStr">
        <is>
          <t>Gán quyền admin.manage cho vai trò khác Super Admin bị từ chối (chống leo thang đặc quyền)</t>
        </is>
      </c>
      <c r="E111" s="15" t="inlineStr">
        <is>
          <t>Bảo mật</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1" s="15" t="inlineStr">
        <is>
          <t>1. PATCH /admin/system/roles/finance {permission:'admin.manage', granted:true}
2. POST /admin/system/roles {name:'Hack', permissions:['admin.manage']}
3. PATCH /admin/system/roles/moderator {permissions:['dashboard.view','admin.manage']}</t>
        </is>
      </c>
      <c r="K111" s="15" t="inlineStr">
        <is>
          <t>admin.manage</t>
        </is>
      </c>
      <c r="L111" s="15" t="inlineStr">
        <is>
          <t>Cả 3 -&gt; 400 VALIDATION_ERROR 'Quyền "admin.manage" chỉ dành riêng cho Super Admin'; vai trò không bị thay đổi.</t>
        </is>
      </c>
      <c r="M111" s="15" t="inlineStr"/>
      <c r="N111" s="18" t="inlineStr">
        <is>
          <t>Chưa test</t>
        </is>
      </c>
      <c r="O111" s="15" t="inlineStr"/>
      <c r="P111" s="15" t="inlineStr"/>
      <c r="Q111" s="18" t="inlineStr">
        <is>
          <t>Chưa test</t>
        </is>
      </c>
      <c r="R111" s="15" t="inlineStr"/>
    </row>
    <row r="112" ht="45" customHeight="1">
      <c r="A112" s="14" t="inlineStr">
        <is>
          <t>TC-ADM3-111</t>
        </is>
      </c>
      <c r="B112" s="15" t="inlineStr">
        <is>
          <t>Admin Console (đợt 3: Phân tích, Hỗ trợ, Hệ thống)</t>
        </is>
      </c>
      <c r="C112" s="15" t="inlineStr">
        <is>
          <t>Ma trận phân quyền nhân viên (API)</t>
        </is>
      </c>
      <c r="D112" s="15" t="inlineStr">
        <is>
          <t>Vai trò tùy chỉnh Content Reviewer: chỉ dashboard, người dùng (xem) và nội dung</t>
        </is>
      </c>
      <c r="E112" s="15" t="inlineStr">
        <is>
          <t>Bảo mật</t>
        </is>
      </c>
      <c r="F112" s="16" t="inlineStr">
        <is>
          <t>Cao</t>
        </is>
      </c>
      <c r="G112" s="17" t="inlineStr">
        <is>
          <t>Đã hoàn thiện</t>
        </is>
      </c>
      <c r="H112" s="17" t="inlineStr">
        <is>
          <t>Có</t>
        </is>
      </c>
      <c r="I112"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112"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112" s="15" t="inlineStr">
        <is>
          <t>content_reviewer</t>
        </is>
      </c>
      <c r="L112" s="15" t="inlineStr">
        <is>
          <t>200/qua guard: dashboard, users (GET), content (GET/POST). 403: users POST (thiếu user.ban), moderation (thiếu report.resolve), payments, analytics, support, system/flags. Khớp ma trận PERMS.</t>
        </is>
      </c>
      <c r="M112" s="15" t="inlineStr"/>
      <c r="N112" s="18" t="inlineStr">
        <is>
          <t>Chưa test</t>
        </is>
      </c>
      <c r="O112" s="15" t="inlineStr"/>
      <c r="P112" s="15" t="inlineStr"/>
      <c r="Q112" s="18" t="inlineStr">
        <is>
          <t>Chưa test</t>
        </is>
      </c>
      <c r="R112" s="15" t="inlineStr"/>
    </row>
    <row r="113" ht="30" customHeight="1">
      <c r="A113" s="14" t="inlineStr">
        <is>
          <t>TC-ADM3-112</t>
        </is>
      </c>
      <c r="B113" s="15" t="inlineStr">
        <is>
          <t>Admin Console (đợt 3: Phân tích, Hỗ trợ, Hệ thống)</t>
        </is>
      </c>
      <c r="C113" s="15" t="inlineStr">
        <is>
          <t>Ma trận phân quyền nhân viên (API)</t>
        </is>
      </c>
      <c r="D113" s="15" t="inlineStr">
        <is>
          <t>Quyền chung của mọi vai trò: dashboard.view có ở cả 4 vai trò hệ thống và /admin/me không cần quyền</t>
        </is>
      </c>
      <c r="E113" s="15" t="inlineStr">
        <is>
          <t>Chức năng</t>
        </is>
      </c>
      <c r="F113" s="17" t="inlineStr">
        <is>
          <t>Thấp</t>
        </is>
      </c>
      <c r="G113" s="17" t="inlineStr">
        <is>
          <t>Đã hoàn thiện</t>
        </is>
      </c>
      <c r="H113" s="17" t="inlineStr">
        <is>
          <t>Có</t>
        </is>
      </c>
      <c r="I11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13" s="15" t="inlineStr">
        <is>
          <t>1. GET /admin/me và GET /admin/dashboard bằng token của admin@, moderator@, support@, finance@</t>
        </is>
      </c>
      <c r="K113" s="15" t="inlineStr">
        <is>
          <t>-</t>
        </is>
      </c>
      <c r="L113" s="15" t="inlineStr">
        <is>
          <t>Cả 4: /admin/me 200 (route chỉ cần là nhân viên) và /admin/dashboard 200. Nhân viên có vai trò tùy chỉnh KHÔNG có dashboard.view thì /admin/dashboard 403 nhưng /admin/me vẫn 200.</t>
        </is>
      </c>
      <c r="M113" s="15" t="inlineStr"/>
      <c r="N113" s="18" t="inlineStr">
        <is>
          <t>Chưa test</t>
        </is>
      </c>
      <c r="O113" s="15" t="inlineStr"/>
      <c r="P113" s="15" t="inlineStr"/>
      <c r="Q113" s="18" t="inlineStr">
        <is>
          <t>Chưa test</t>
        </is>
      </c>
      <c r="R113" s="15" t="inlineStr"/>
    </row>
    <row r="114" ht="30" customHeight="1">
      <c r="A114" s="14" t="inlineStr">
        <is>
          <t>TC-ADM3-113</t>
        </is>
      </c>
      <c r="B114" s="15" t="inlineStr">
        <is>
          <t>Admin Console (đợt 3: Phân tích, Hỗ trợ, Hệ thống)</t>
        </is>
      </c>
      <c r="C114" s="15" t="inlineStr">
        <is>
          <t>Ma trận phân quyền nhân viên (API)</t>
        </is>
      </c>
      <c r="D114" s="15" t="inlineStr">
        <is>
          <t>Audit ghi đúng actor/vai trò/IP cho thao tác của nhân viên (không chỉ Super Admin)</t>
        </is>
      </c>
      <c r="E114" s="15" t="inlineStr">
        <is>
          <t>Chức năng</t>
        </is>
      </c>
      <c r="F114" s="20" t="inlineStr">
        <is>
          <t>Trung bình</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114" s="15" t="inlineStr">
        <is>
          <t>1. Bằng token support@: POST /admin/support/tickets/T-2002/note {body:'QA note'}
2. GET /admin/audit-logs?action=support.ticket.note bằng token admin@</t>
        </is>
      </c>
      <c r="K114" s="15" t="inlineStr">
        <is>
          <t>T-2002</t>
        </is>
      </c>
      <c r="L114" s="15" t="inlineStr">
        <is>
          <t>Dòng audit mới: actor 'Ryan Cho', actor.role={key:'support',name:'Support'}, ip = IP của request (vd ::1/127.0.0.1 khi chạy local), targetType=ticket, targetLabel bắt đầu 'T-2002 ·'.</t>
        </is>
      </c>
      <c r="M114" s="15" t="inlineStr"/>
      <c r="N114" s="18" t="inlineStr">
        <is>
          <t>Chưa test</t>
        </is>
      </c>
      <c r="O114" s="15" t="inlineStr"/>
      <c r="P114" s="15" t="inlineStr"/>
      <c r="Q114" s="18" t="inlineStr">
        <is>
          <t>Chưa test</t>
        </is>
      </c>
      <c r="R114" s="15" t="inlineStr"/>
    </row>
    <row r="115" ht="45" customHeight="1">
      <c r="A115" s="14" t="inlineStr">
        <is>
          <t>TC-ADM3-114</t>
        </is>
      </c>
      <c r="B115" s="15" t="inlineStr">
        <is>
          <t>Admin Console (đợt 3: Phân tích, Hỗ trợ, Hệ thống)</t>
        </is>
      </c>
      <c r="C115" s="15" t="inlineStr">
        <is>
          <t>Phân tích · khung chung và chip khoảng thời gian</t>
        </is>
      </c>
      <c r="D115" s="15" t="inlineStr">
        <is>
          <t>Trang Phân tích · Người dùng: tiêu đề, phụ đề, chip 7/30/90 ngày mặc định 30</t>
        </is>
      </c>
      <c r="E115" s="15" t="inlineStr">
        <is>
          <t>Giao diện</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5" s="15" t="inlineStr">
        <is>
          <t>1. Mở /admin/analytics/users
2. Đọc tiêu đề, phụ đề và nhóm chip bên phải
3. Mở Network xem GET /api/admin/analytics/users</t>
        </is>
      </c>
      <c r="K115" s="15" t="inlineStr">
        <is>
          <t>/admin/analytics/users</t>
        </is>
      </c>
      <c r="L115"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115" s="15" t="inlineStr"/>
      <c r="N115" s="18" t="inlineStr">
        <is>
          <t>Chưa test</t>
        </is>
      </c>
      <c r="O115" s="15" t="inlineStr"/>
      <c r="P115" s="15" t="inlineStr"/>
      <c r="Q115" s="18" t="inlineStr">
        <is>
          <t>Chưa test</t>
        </is>
      </c>
      <c r="R115" s="15" t="inlineStr"/>
    </row>
    <row r="116" ht="60" customHeight="1">
      <c r="A116" s="14" t="inlineStr">
        <is>
          <t>TC-ADM3-115</t>
        </is>
      </c>
      <c r="B116" s="15" t="inlineStr">
        <is>
          <t>Admin Console (đợt 3: Phân tích, Hỗ trợ, Hệ thống)</t>
        </is>
      </c>
      <c r="C116" s="15" t="inlineStr">
        <is>
          <t>Phân tích · khung chung và chip khoảng thời gian</t>
        </is>
      </c>
      <c r="D116" s="15" t="inlineStr">
        <is>
          <t>Phân tích · Người dùng: đổi chip 7 -&gt; 90 ngày tải lại số liệu và trục thời gian</t>
        </is>
      </c>
      <c r="E116" s="15" t="inlineStr">
        <is>
          <t>Chức năng</t>
        </is>
      </c>
      <c r="F116" s="16" t="inlineStr">
        <is>
          <t>Cao</t>
        </is>
      </c>
      <c r="G116" s="17" t="inlineStr">
        <is>
          <t>Đã hoàn thiện</t>
        </is>
      </c>
      <c r="H116" s="17" t="inlineStr">
        <is>
          <t>Có</t>
        </is>
      </c>
      <c r="I1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Mở /admin/analytics/users
2. Bấm chip '7 ngày', ghi các giá trị thẻ KPI và số điểm trên biểu đồ (nếu có)
3. Bấm '90 ngày', ghi lại
4. Bấm '30 ngày' trở về</t>
        </is>
      </c>
      <c r="K116" s="15" t="inlineStr">
        <is>
          <t>range 7 / 90 / 30</t>
        </is>
      </c>
      <c r="L116"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116" s="15" t="inlineStr"/>
      <c r="N116" s="18" t="inlineStr">
        <is>
          <t>Chưa test</t>
        </is>
      </c>
      <c r="O116" s="15" t="inlineStr"/>
      <c r="P116" s="15" t="inlineStr"/>
      <c r="Q116" s="18" t="inlineStr">
        <is>
          <t>Chưa test</t>
        </is>
      </c>
      <c r="R116" s="15" t="inlineStr"/>
    </row>
    <row r="117" ht="30" customHeight="1">
      <c r="A117" s="14" t="inlineStr">
        <is>
          <t>TC-ADM3-116</t>
        </is>
      </c>
      <c r="B117" s="15" t="inlineStr">
        <is>
          <t>Admin Console (đợt 3: Phân tích, Hỗ trợ, Hệ thống)</t>
        </is>
      </c>
      <c r="C117" s="15" t="inlineStr">
        <is>
          <t>Phân tích · khung chung và chip khoảng thời gian</t>
        </is>
      </c>
      <c r="D117" s="15" t="inlineStr">
        <is>
          <t>Phân tích · Người dùng: các thẻ KPI đúng nhãn tiếng Việt và hiện mức thay đổi so với kỳ trước</t>
        </is>
      </c>
      <c r="E117" s="15" t="inlineStr">
        <is>
          <t>Giao diện</t>
        </is>
      </c>
      <c r="F117" s="16" t="inlineStr">
        <is>
          <t>Cao</t>
        </is>
      </c>
      <c r="G117" s="17" t="inlineStr">
        <is>
          <t>Đã hoàn thiện</t>
        </is>
      </c>
      <c r="H117" s="17" t="inlineStr">
        <is>
          <t>Có</t>
        </is>
      </c>
      <c r="I1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Mở /admin/analytics/users
2. Đọc nhãn từng thẻ KPI và dòng phần trăm nhỏ ở góc (nếu có)</t>
        </is>
      </c>
      <c r="K117" s="15" t="inlineStr">
        <is>
          <t>/admin/analytics/users</t>
        </is>
      </c>
      <c r="L117"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117" s="15" t="inlineStr"/>
      <c r="N117" s="18" t="inlineStr">
        <is>
          <t>Chưa test</t>
        </is>
      </c>
      <c r="O117" s="15" t="inlineStr"/>
      <c r="P117" s="15" t="inlineStr"/>
      <c r="Q117" s="18" t="inlineStr">
        <is>
          <t>Chưa test</t>
        </is>
      </c>
      <c r="R117" s="15" t="inlineStr"/>
    </row>
    <row r="118" ht="45" customHeight="1">
      <c r="A118" s="14" t="inlineStr">
        <is>
          <t>TC-ADM3-117</t>
        </is>
      </c>
      <c r="B118" s="15" t="inlineStr">
        <is>
          <t>Admin Console (đợt 3: Phân tích, Hỗ trợ, Hệ thống)</t>
        </is>
      </c>
      <c r="C118" s="15" t="inlineStr">
        <is>
          <t>Phân tích · khung chung và chip khoảng thời gian</t>
        </is>
      </c>
      <c r="D118" s="15" t="inlineStr">
        <is>
          <t>Phân tích · Người dùng: API lỗi hiện khối lỗi có nút Thử lại; Network chậm hiện Đang tải</t>
        </is>
      </c>
      <c r="E118" s="15" t="inlineStr">
        <is>
          <t>Giao diện</t>
        </is>
      </c>
      <c r="F118" s="17" t="inlineStr">
        <is>
          <t>Thấp</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18" s="15" t="inlineStr">
        <is>
          <t>1. DevTools chặn /api/admin/analytics/users
2. F5 /admin/analytics/users
3. Bỏ chặn, bấm 'Thử lại'</t>
        </is>
      </c>
      <c r="K118" s="15" t="inlineStr">
        <is>
          <t>/admin/analytics/users</t>
        </is>
      </c>
      <c r="L118" s="15" t="inlineStr">
        <is>
          <t>Khi tải: 'Đang tải…'; khi lỗi: khối lỗi (role=alert) với thông điệp + nút 'Thử lại'; bấm Thử lại sau khi bỏ chặn tải dữ liệu bình thường; không màn trắng.</t>
        </is>
      </c>
      <c r="M118" s="15" t="inlineStr"/>
      <c r="N118" s="18" t="inlineStr">
        <is>
          <t>Chưa test</t>
        </is>
      </c>
      <c r="O118" s="15" t="inlineStr"/>
      <c r="P118" s="15" t="inlineStr"/>
      <c r="Q118" s="18" t="inlineStr">
        <is>
          <t>Chưa test</t>
        </is>
      </c>
      <c r="R118" s="15" t="inlineStr"/>
    </row>
    <row r="119" ht="45" customHeight="1">
      <c r="A119" s="14" t="inlineStr">
        <is>
          <t>TC-ADM3-118</t>
        </is>
      </c>
      <c r="B119" s="15" t="inlineStr">
        <is>
          <t>Admin Console (đợt 3: Phân tích, Hỗ trợ, Hệ thống)</t>
        </is>
      </c>
      <c r="C119" s="15" t="inlineStr">
        <is>
          <t>Phân tích · khung chung và chip khoảng thời gian</t>
        </is>
      </c>
      <c r="D119" s="15" t="inlineStr">
        <is>
          <t>Trang Phân tích · Cộng đồng: tiêu đề, phụ đề, chip 7/30/90 ngày mặc định 30</t>
        </is>
      </c>
      <c r="E119" s="15" t="inlineStr">
        <is>
          <t>Giao diện</t>
        </is>
      </c>
      <c r="F119" s="16" t="inlineStr">
        <is>
          <t>Cao</t>
        </is>
      </c>
      <c r="G119" s="17" t="inlineStr">
        <is>
          <t>Đã hoàn thiện</t>
        </is>
      </c>
      <c r="H119" s="17" t="inlineStr">
        <is>
          <t>Có</t>
        </is>
      </c>
      <c r="I1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Mở /admin/analytics/communities
2. Đọc tiêu đề, phụ đề và nhóm chip bên phải
3. Mở Network xem GET /api/admin/analytics/communities</t>
        </is>
      </c>
      <c r="K119" s="15" t="inlineStr">
        <is>
          <t>/admin/analytics/communities</t>
        </is>
      </c>
      <c r="L119"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119" s="15" t="inlineStr"/>
      <c r="N119" s="18" t="inlineStr">
        <is>
          <t>Chưa test</t>
        </is>
      </c>
      <c r="O119" s="15" t="inlineStr"/>
      <c r="P119" s="15" t="inlineStr"/>
      <c r="Q119" s="18" t="inlineStr">
        <is>
          <t>Chưa test</t>
        </is>
      </c>
      <c r="R119" s="15" t="inlineStr"/>
    </row>
    <row r="120" ht="60" customHeight="1">
      <c r="A120" s="14" t="inlineStr">
        <is>
          <t>TC-ADM3-119</t>
        </is>
      </c>
      <c r="B120" s="15" t="inlineStr">
        <is>
          <t>Admin Console (đợt 3: Phân tích, Hỗ trợ, Hệ thống)</t>
        </is>
      </c>
      <c r="C120" s="15" t="inlineStr">
        <is>
          <t>Phân tích · khung chung và chip khoảng thời gian</t>
        </is>
      </c>
      <c r="D120" s="15" t="inlineStr">
        <is>
          <t>Phân tích · Cộng đồng: đổi chip 7 -&gt; 90 ngày tải lại số liệu và trục thời gian</t>
        </is>
      </c>
      <c r="E120" s="15" t="inlineStr">
        <is>
          <t>Chức năng</t>
        </is>
      </c>
      <c r="F120" s="16" t="inlineStr">
        <is>
          <t>Cao</t>
        </is>
      </c>
      <c r="G120" s="17" t="inlineStr">
        <is>
          <t>Đã hoàn thiện</t>
        </is>
      </c>
      <c r="H120" s="17" t="inlineStr">
        <is>
          <t>Có</t>
        </is>
      </c>
      <c r="I12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Mở /admin/analytics/communities
2. Bấm chip '7 ngày', ghi các giá trị thẻ KPI và số điểm trên biểu đồ (nếu có)
3. Bấm '90 ngày', ghi lại
4. Bấm '30 ngày' trở về</t>
        </is>
      </c>
      <c r="K120" s="15" t="inlineStr">
        <is>
          <t>range 7 / 90 / 30</t>
        </is>
      </c>
      <c r="L120" s="15" t="inlineStr">
        <is>
          <t>Mỗi lần bấm gửi GET ...analytics/communities?range=&lt;7|90|30&gt;; chip được chọn đổi màu; thẻ KPI cập nhật (kỳ dài hơn thì số đếm tích lũy lớn hơn hoặc bằng); biểu đồ theo ngày có đúng 7 / 90 / 30 điểm; không nhấp nháy lỗi.</t>
        </is>
      </c>
      <c r="M120" s="15" t="inlineStr"/>
      <c r="N120" s="18" t="inlineStr">
        <is>
          <t>Chưa test</t>
        </is>
      </c>
      <c r="O120" s="15" t="inlineStr"/>
      <c r="P120" s="15" t="inlineStr"/>
      <c r="Q120" s="18" t="inlineStr">
        <is>
          <t>Chưa test</t>
        </is>
      </c>
      <c r="R120" s="15" t="inlineStr"/>
    </row>
    <row r="121" ht="30" customHeight="1">
      <c r="A121" s="14" t="inlineStr">
        <is>
          <t>TC-ADM3-120</t>
        </is>
      </c>
      <c r="B121" s="15" t="inlineStr">
        <is>
          <t>Admin Console (đợt 3: Phân tích, Hỗ trợ, Hệ thống)</t>
        </is>
      </c>
      <c r="C121" s="15" t="inlineStr">
        <is>
          <t>Phân tích · khung chung và chip khoảng thời gian</t>
        </is>
      </c>
      <c r="D121" s="15" t="inlineStr">
        <is>
          <t>Phân tích · Cộng đồng: các thẻ KPI đúng nhãn tiếng Việt và hiện mức thay đổi so với kỳ trước</t>
        </is>
      </c>
      <c r="E121" s="15" t="inlineStr">
        <is>
          <t>Giao diện</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1" s="15" t="inlineStr">
        <is>
          <t>1. Mở /admin/analytics/communities
2. Đọc nhãn từng thẻ KPI và dòng phần trăm nhỏ ở góc (nếu có)</t>
        </is>
      </c>
      <c r="K121" s="15" t="inlineStr">
        <is>
          <t>/admin/analytics/communities</t>
        </is>
      </c>
      <c r="L12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121" s="15" t="inlineStr"/>
      <c r="N121" s="18" t="inlineStr">
        <is>
          <t>Chưa test</t>
        </is>
      </c>
      <c r="O121" s="15" t="inlineStr"/>
      <c r="P121" s="15" t="inlineStr"/>
      <c r="Q121" s="18" t="inlineStr">
        <is>
          <t>Chưa test</t>
        </is>
      </c>
      <c r="R121" s="15" t="inlineStr"/>
    </row>
    <row r="122" ht="45" customHeight="1">
      <c r="A122" s="14" t="inlineStr">
        <is>
          <t>TC-ADM3-121</t>
        </is>
      </c>
      <c r="B122" s="15" t="inlineStr">
        <is>
          <t>Admin Console (đợt 3: Phân tích, Hỗ trợ, Hệ thống)</t>
        </is>
      </c>
      <c r="C122" s="15" t="inlineStr">
        <is>
          <t>Phân tích · khung chung và chip khoảng thời gian</t>
        </is>
      </c>
      <c r="D122" s="15" t="inlineStr">
        <is>
          <t>Phân tích · Cộng đồng: API lỗi hiện khối lỗi có nút Thử lại; Network chậm hiện Đang tải</t>
        </is>
      </c>
      <c r="E122" s="15" t="inlineStr">
        <is>
          <t>Giao diện</t>
        </is>
      </c>
      <c r="F122" s="17" t="inlineStr">
        <is>
          <t>Thấp</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2" s="15" t="inlineStr">
        <is>
          <t>1. DevTools chặn /api/admin/analytics/communities
2. F5 /admin/analytics/communities
3. Bỏ chặn, bấm 'Thử lại'</t>
        </is>
      </c>
      <c r="K122" s="15" t="inlineStr">
        <is>
          <t>/admin/analytics/communities</t>
        </is>
      </c>
      <c r="L122" s="15" t="inlineStr">
        <is>
          <t>Khi tải: 'Đang tải…'; khi lỗi: khối lỗi (role=alert) với thông điệp + nút 'Thử lại'; bấm Thử lại sau khi bỏ chặn tải dữ liệu bình thường; không màn trắng.</t>
        </is>
      </c>
      <c r="M122" s="15" t="inlineStr"/>
      <c r="N122" s="18" t="inlineStr">
        <is>
          <t>Chưa test</t>
        </is>
      </c>
      <c r="O122" s="15" t="inlineStr"/>
      <c r="P122" s="15" t="inlineStr"/>
      <c r="Q122" s="18" t="inlineStr">
        <is>
          <t>Chưa test</t>
        </is>
      </c>
      <c r="R122" s="15" t="inlineStr"/>
    </row>
    <row r="123" ht="45" customHeight="1">
      <c r="A123" s="14" t="inlineStr">
        <is>
          <t>TC-ADM3-122</t>
        </is>
      </c>
      <c r="B123" s="15" t="inlineStr">
        <is>
          <t>Admin Console (đợt 3: Phân tích, Hỗ trợ, Hệ thống)</t>
        </is>
      </c>
      <c r="C123" s="15" t="inlineStr">
        <is>
          <t>Phân tích · khung chung và chip khoảng thời gian</t>
        </is>
      </c>
      <c r="D123" s="15" t="inlineStr">
        <is>
          <t>Trang Phân tích · Tương tác: tiêu đề, phụ đề, chip 7/30/90 ngày mặc định 30</t>
        </is>
      </c>
      <c r="E123" s="15" t="inlineStr">
        <is>
          <t>Giao diện</t>
        </is>
      </c>
      <c r="F123" s="16" t="inlineStr">
        <is>
          <t>Cao</t>
        </is>
      </c>
      <c r="G123" s="17" t="inlineStr">
        <is>
          <t>Đã hoàn thiện</t>
        </is>
      </c>
      <c r="H123" s="17" t="inlineStr">
        <is>
          <t>Có</t>
        </is>
      </c>
      <c r="I12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3" s="15" t="inlineStr">
        <is>
          <t>1. Mở /admin/analytics/engagement
2. Đọc tiêu đề, phụ đề và nhóm chip bên phải
3. Mở Network xem GET /api/admin/analytics/engagement</t>
        </is>
      </c>
      <c r="K123" s="15" t="inlineStr">
        <is>
          <t>/admin/analytics/engagement</t>
        </is>
      </c>
      <c r="L123"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123" s="15" t="inlineStr"/>
      <c r="N123" s="18" t="inlineStr">
        <is>
          <t>Chưa test</t>
        </is>
      </c>
      <c r="O123" s="15" t="inlineStr"/>
      <c r="P123" s="15" t="inlineStr"/>
      <c r="Q123" s="18" t="inlineStr">
        <is>
          <t>Chưa test</t>
        </is>
      </c>
      <c r="R123" s="15" t="inlineStr"/>
    </row>
    <row r="124" ht="60" customHeight="1">
      <c r="A124" s="14" t="inlineStr">
        <is>
          <t>TC-ADM3-123</t>
        </is>
      </c>
      <c r="B124" s="15" t="inlineStr">
        <is>
          <t>Admin Console (đợt 3: Phân tích, Hỗ trợ, Hệ thống)</t>
        </is>
      </c>
      <c r="C124" s="15" t="inlineStr">
        <is>
          <t>Phân tích · khung chung và chip khoảng thời gian</t>
        </is>
      </c>
      <c r="D124" s="15" t="inlineStr">
        <is>
          <t>Phân tích · Tương tác: đổi chip 7 -&gt; 90 ngày tải lại số liệu và trục thời gian</t>
        </is>
      </c>
      <c r="E124" s="15" t="inlineStr">
        <is>
          <t>Chức năng</t>
        </is>
      </c>
      <c r="F124" s="16" t="inlineStr">
        <is>
          <t>Cao</t>
        </is>
      </c>
      <c r="G124" s="17" t="inlineStr">
        <is>
          <t>Đã hoàn thiện</t>
        </is>
      </c>
      <c r="H124" s="17" t="inlineStr">
        <is>
          <t>Có</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4" s="15" t="inlineStr">
        <is>
          <t>1. Mở /admin/analytics/engagement
2. Bấm chip '7 ngày', ghi các giá trị thẻ KPI và số điểm trên biểu đồ (nếu có)
3. Bấm '90 ngày', ghi lại
4. Bấm '30 ngày' trở về</t>
        </is>
      </c>
      <c r="K124" s="15" t="inlineStr">
        <is>
          <t>range 7 / 90 / 30</t>
        </is>
      </c>
      <c r="L124" s="15" t="inlineStr">
        <is>
          <t>Mỗi lần bấm gửi GET ...analytics/engagement?range=&lt;7|90|30&gt;; chip được chọn đổi màu; thẻ KPI cập nhật (kỳ dài hơn thì số đếm tích lũy lớn hơn hoặc bằng); biểu đồ theo ngày có đúng 7 / 90 / 30 điểm; không nhấp nháy lỗi.</t>
        </is>
      </c>
      <c r="M124" s="15" t="inlineStr"/>
      <c r="N124" s="18" t="inlineStr">
        <is>
          <t>Chưa test</t>
        </is>
      </c>
      <c r="O124" s="15" t="inlineStr"/>
      <c r="P124" s="15" t="inlineStr"/>
      <c r="Q124" s="18" t="inlineStr">
        <is>
          <t>Chưa test</t>
        </is>
      </c>
      <c r="R124" s="15" t="inlineStr"/>
    </row>
    <row r="125" ht="30" customHeight="1">
      <c r="A125" s="14" t="inlineStr">
        <is>
          <t>TC-ADM3-124</t>
        </is>
      </c>
      <c r="B125" s="15" t="inlineStr">
        <is>
          <t>Admin Console (đợt 3: Phân tích, Hỗ trợ, Hệ thống)</t>
        </is>
      </c>
      <c r="C125" s="15" t="inlineStr">
        <is>
          <t>Phân tích · khung chung và chip khoảng thời gian</t>
        </is>
      </c>
      <c r="D125" s="15" t="inlineStr">
        <is>
          <t>Phân tích · Tương tác: các thẻ KPI đúng nhãn tiếng Việt và hiện mức thay đổi so với kỳ trước</t>
        </is>
      </c>
      <c r="E125" s="15" t="inlineStr">
        <is>
          <t>Giao diện</t>
        </is>
      </c>
      <c r="F125" s="16" t="inlineStr">
        <is>
          <t>Cao</t>
        </is>
      </c>
      <c r="G125" s="17" t="inlineStr">
        <is>
          <t>Đã hoàn thiện</t>
        </is>
      </c>
      <c r="H125" s="17" t="inlineStr">
        <is>
          <t>Có</t>
        </is>
      </c>
      <c r="I12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Mở /admin/analytics/engagement
2. Đọc nhãn từng thẻ KPI và dòng phần trăm nhỏ ở góc (nếu có)</t>
        </is>
      </c>
      <c r="K125" s="15" t="inlineStr">
        <is>
          <t>/admin/analytics/engagement</t>
        </is>
      </c>
      <c r="L125"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125" s="15" t="inlineStr"/>
      <c r="N125" s="18" t="inlineStr">
        <is>
          <t>Chưa test</t>
        </is>
      </c>
      <c r="O125" s="15" t="inlineStr"/>
      <c r="P125" s="15" t="inlineStr"/>
      <c r="Q125" s="18" t="inlineStr">
        <is>
          <t>Chưa test</t>
        </is>
      </c>
      <c r="R125" s="15" t="inlineStr"/>
    </row>
    <row r="126" ht="45" customHeight="1">
      <c r="A126" s="14" t="inlineStr">
        <is>
          <t>TC-ADM3-125</t>
        </is>
      </c>
      <c r="B126" s="15" t="inlineStr">
        <is>
          <t>Admin Console (đợt 3: Phân tích, Hỗ trợ, Hệ thống)</t>
        </is>
      </c>
      <c r="C126" s="15" t="inlineStr">
        <is>
          <t>Phân tích · khung chung và chip khoảng thời gian</t>
        </is>
      </c>
      <c r="D126" s="15" t="inlineStr">
        <is>
          <t>Phân tích · Tương tác: API lỗi hiện khối lỗi có nút Thử lại; Network chậm hiện Đang tải</t>
        </is>
      </c>
      <c r="E126" s="15" t="inlineStr">
        <is>
          <t>Giao diện</t>
        </is>
      </c>
      <c r="F126" s="17" t="inlineStr">
        <is>
          <t>Thấp</t>
        </is>
      </c>
      <c r="G126" s="17" t="inlineStr">
        <is>
          <t>Đã hoàn thiện</t>
        </is>
      </c>
      <c r="H126" s="20" t="inlineStr">
        <is>
          <t>Một phần</t>
        </is>
      </c>
      <c r="I1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6" s="15" t="inlineStr">
        <is>
          <t>1. DevTools chặn /api/admin/analytics/engagement
2. F5 /admin/analytics/engagement
3. Bỏ chặn, bấm 'Thử lại'</t>
        </is>
      </c>
      <c r="K126" s="15" t="inlineStr">
        <is>
          <t>/admin/analytics/engagement</t>
        </is>
      </c>
      <c r="L126" s="15" t="inlineStr">
        <is>
          <t>Khi tải: 'Đang tải…'; khi lỗi: khối lỗi (role=alert) với thông điệp + nút 'Thử lại'; bấm Thử lại sau khi bỏ chặn tải dữ liệu bình thường; không màn trắng.</t>
        </is>
      </c>
      <c r="M126" s="15" t="inlineStr"/>
      <c r="N126" s="18" t="inlineStr">
        <is>
          <t>Chưa test</t>
        </is>
      </c>
      <c r="O126" s="15" t="inlineStr"/>
      <c r="P126" s="15" t="inlineStr"/>
      <c r="Q126" s="18" t="inlineStr">
        <is>
          <t>Chưa test</t>
        </is>
      </c>
      <c r="R126" s="15" t="inlineStr"/>
    </row>
    <row r="127" ht="45" customHeight="1">
      <c r="A127" s="14" t="inlineStr">
        <is>
          <t>TC-ADM3-126</t>
        </is>
      </c>
      <c r="B127" s="15" t="inlineStr">
        <is>
          <t>Admin Console (đợt 3: Phân tích, Hỗ trợ, Hệ thống)</t>
        </is>
      </c>
      <c r="C127" s="15" t="inlineStr">
        <is>
          <t>Phân tích · khung chung và chip khoảng thời gian</t>
        </is>
      </c>
      <c r="D127" s="15" t="inlineStr">
        <is>
          <t>Trang Phân tích · Giữ chân: tiêu đề, phụ đề, chip 7/30/90 ngày mặc định 30</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7" s="15" t="inlineStr">
        <is>
          <t>1. Mở /admin/analytics/retention
2. Đọc tiêu đề, phụ đề và nhóm chip bên phải
3. Mở Network xem GET /api/admin/analytics/retention</t>
        </is>
      </c>
      <c r="K127" s="15" t="inlineStr">
        <is>
          <t>/admin/analytics/retention</t>
        </is>
      </c>
      <c r="L127"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127" s="15" t="inlineStr"/>
      <c r="N127" s="18" t="inlineStr">
        <is>
          <t>Chưa test</t>
        </is>
      </c>
      <c r="O127" s="15" t="inlineStr"/>
      <c r="P127" s="15" t="inlineStr"/>
      <c r="Q127" s="18" t="inlineStr">
        <is>
          <t>Chưa test</t>
        </is>
      </c>
      <c r="R127" s="15" t="inlineStr"/>
    </row>
    <row r="128" ht="60" customHeight="1">
      <c r="A128" s="14" t="inlineStr">
        <is>
          <t>TC-ADM3-127</t>
        </is>
      </c>
      <c r="B128" s="15" t="inlineStr">
        <is>
          <t>Admin Console (đợt 3: Phân tích, Hỗ trợ, Hệ thống)</t>
        </is>
      </c>
      <c r="C128" s="15" t="inlineStr">
        <is>
          <t>Phân tích · khung chung và chip khoảng thời gian</t>
        </is>
      </c>
      <c r="D128" s="15" t="inlineStr">
        <is>
          <t>Phân tích · Giữ chân: đổi chip 7 -&gt; 90 ngày tải lại số liệu và trục thời gian</t>
        </is>
      </c>
      <c r="E128" s="15" t="inlineStr">
        <is>
          <t>Chức năng</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8" s="15" t="inlineStr">
        <is>
          <t>1. Mở /admin/analytics/retention
2. Bấm chip '7 ngày', ghi các giá trị thẻ KPI và số điểm trên biểu đồ (nếu có)
3. Bấm '90 ngày', ghi lại
4. Bấm '30 ngày' trở về</t>
        </is>
      </c>
      <c r="K128" s="15" t="inlineStr">
        <is>
          <t>range 7 / 90 / 30</t>
        </is>
      </c>
      <c r="L128" s="15" t="inlineStr">
        <is>
          <t>Mỗi lần bấm gửi GET ...analytics/retention?range=&lt;7|90|30&gt;; chip được chọn đổi màu; thẻ KPI cập nhật (kỳ dài hơn thì số đếm tích lũy lớn hơn hoặc bằng); biểu đồ theo ngày có đúng 7 / 90 / 30 điểm; không nhấp nháy lỗi.</t>
        </is>
      </c>
      <c r="M128" s="15" t="inlineStr"/>
      <c r="N128" s="18" t="inlineStr">
        <is>
          <t>Chưa test</t>
        </is>
      </c>
      <c r="O128" s="15" t="inlineStr"/>
      <c r="P128" s="15" t="inlineStr"/>
      <c r="Q128" s="18" t="inlineStr">
        <is>
          <t>Chưa test</t>
        </is>
      </c>
      <c r="R128" s="15" t="inlineStr"/>
    </row>
    <row r="129" ht="30" customHeight="1">
      <c r="A129" s="14" t="inlineStr">
        <is>
          <t>TC-ADM3-128</t>
        </is>
      </c>
      <c r="B129" s="15" t="inlineStr">
        <is>
          <t>Admin Console (đợt 3: Phân tích, Hỗ trợ, Hệ thống)</t>
        </is>
      </c>
      <c r="C129" s="15" t="inlineStr">
        <is>
          <t>Phân tích · khung chung và chip khoảng thời gian</t>
        </is>
      </c>
      <c r="D129" s="15" t="inlineStr">
        <is>
          <t>Phân tích · Giữ chân: các thẻ KPI đúng nhãn tiếng Việt và hiện mức thay đổi so với kỳ trước</t>
        </is>
      </c>
      <c r="E129" s="15" t="inlineStr">
        <is>
          <t>Giao diện</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9" s="15" t="inlineStr">
        <is>
          <t>1. Mở /admin/analytics/retention
2. Đọc nhãn từng thẻ KPI và dòng phần trăm nhỏ ở góc (nếu có)</t>
        </is>
      </c>
      <c r="K129" s="15" t="inlineStr">
        <is>
          <t>/admin/analytics/retention</t>
        </is>
      </c>
      <c r="L129"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129" s="15" t="inlineStr"/>
      <c r="N129" s="18" t="inlineStr">
        <is>
          <t>Chưa test</t>
        </is>
      </c>
      <c r="O129" s="15" t="inlineStr"/>
      <c r="P129" s="15" t="inlineStr"/>
      <c r="Q129" s="18" t="inlineStr">
        <is>
          <t>Chưa test</t>
        </is>
      </c>
      <c r="R129" s="15" t="inlineStr"/>
    </row>
    <row r="130" ht="45" customHeight="1">
      <c r="A130" s="14" t="inlineStr">
        <is>
          <t>TC-ADM3-129</t>
        </is>
      </c>
      <c r="B130" s="15" t="inlineStr">
        <is>
          <t>Admin Console (đợt 3: Phân tích, Hỗ trợ, Hệ thống)</t>
        </is>
      </c>
      <c r="C130" s="15" t="inlineStr">
        <is>
          <t>Phân tích · khung chung và chip khoảng thời gian</t>
        </is>
      </c>
      <c r="D130" s="15" t="inlineStr">
        <is>
          <t>Phân tích · Giữ chân: API lỗi hiện khối lỗi có nút Thử lại; Network chậm hiện Đang tải</t>
        </is>
      </c>
      <c r="E130" s="15" t="inlineStr">
        <is>
          <t>Giao diện</t>
        </is>
      </c>
      <c r="F130" s="17" t="inlineStr">
        <is>
          <t>Thấp</t>
        </is>
      </c>
      <c r="G130" s="17" t="inlineStr">
        <is>
          <t>Đã hoàn thiện</t>
        </is>
      </c>
      <c r="H130" s="20" t="inlineStr">
        <is>
          <t>Một phần</t>
        </is>
      </c>
      <c r="I1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30" s="15" t="inlineStr">
        <is>
          <t>1. DevTools chặn /api/admin/analytics/retention
2. F5 /admin/analytics/retention
3. Bỏ chặn, bấm 'Thử lại'</t>
        </is>
      </c>
      <c r="K130" s="15" t="inlineStr">
        <is>
          <t>/admin/analytics/retention</t>
        </is>
      </c>
      <c r="L130" s="15" t="inlineStr">
        <is>
          <t>Khi tải: 'Đang tải…'; khi lỗi: khối lỗi (role=alert) với thông điệp + nút 'Thử lại'; bấm Thử lại sau khi bỏ chặn tải dữ liệu bình thường; không màn trắng.</t>
        </is>
      </c>
      <c r="M130" s="15" t="inlineStr"/>
      <c r="N130" s="18" t="inlineStr">
        <is>
          <t>Chưa test</t>
        </is>
      </c>
      <c r="O130" s="15" t="inlineStr"/>
      <c r="P130" s="15" t="inlineStr"/>
      <c r="Q130" s="18" t="inlineStr">
        <is>
          <t>Chưa test</t>
        </is>
      </c>
      <c r="R130" s="15" t="inlineStr"/>
    </row>
    <row r="131" ht="45" customHeight="1">
      <c r="A131" s="14" t="inlineStr">
        <is>
          <t>TC-ADM3-130</t>
        </is>
      </c>
      <c r="B131" s="15" t="inlineStr">
        <is>
          <t>Admin Console (đợt 3: Phân tích, Hỗ trợ, Hệ thống)</t>
        </is>
      </c>
      <c r="C131" s="15" t="inlineStr">
        <is>
          <t>Phân tích · khung chung và chip khoảng thời gian</t>
        </is>
      </c>
      <c r="D131" s="15" t="inlineStr">
        <is>
          <t>Trang Phân tích · Doanh thu: tiêu đề, phụ đề, chip 7/30/90 ngày mặc định 30</t>
        </is>
      </c>
      <c r="E131" s="15" t="inlineStr">
        <is>
          <t>Giao diện</t>
        </is>
      </c>
      <c r="F131" s="16" t="inlineStr">
        <is>
          <t>Cao</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31" s="15" t="inlineStr">
        <is>
          <t>1. Mở /admin/analytics/revenue
2. Đọc tiêu đề, phụ đề và nhóm chip bên phải
3. Mở Network xem GET /api/admin/analytics/revenue</t>
        </is>
      </c>
      <c r="K131" s="15" t="inlineStr">
        <is>
          <t>/admin/analytics/revenue</t>
        </is>
      </c>
      <c r="L131"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131" s="15" t="inlineStr"/>
      <c r="N131" s="18" t="inlineStr">
        <is>
          <t>Chưa test</t>
        </is>
      </c>
      <c r="O131" s="15" t="inlineStr"/>
      <c r="P131" s="15" t="inlineStr"/>
      <c r="Q131" s="18" t="inlineStr">
        <is>
          <t>Chưa test</t>
        </is>
      </c>
      <c r="R131" s="15" t="inlineStr"/>
    </row>
    <row r="132" ht="60" customHeight="1">
      <c r="A132" s="14" t="inlineStr">
        <is>
          <t>TC-ADM3-131</t>
        </is>
      </c>
      <c r="B132" s="15" t="inlineStr">
        <is>
          <t>Admin Console (đợt 3: Phân tích, Hỗ trợ, Hệ thống)</t>
        </is>
      </c>
      <c r="C132" s="15" t="inlineStr">
        <is>
          <t>Phân tích · khung chung và chip khoảng thời gian</t>
        </is>
      </c>
      <c r="D132" s="15" t="inlineStr">
        <is>
          <t>Phân tích · Doanh thu: đổi chip 7 -&gt; 90 ngày tải lại số liệu và trục thời gian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32" s="15" t="inlineStr">
        <is>
          <t>1. Mở /admin/analytics/revenue
2. Bấm chip '7 ngày', ghi các giá trị thẻ KPI và số điểm trên biểu đồ (nếu có)
3. Bấm '90 ngày', ghi lại
4. Bấm '30 ngày' trở về</t>
        </is>
      </c>
      <c r="K132" s="15" t="inlineStr">
        <is>
          <t>range 7 / 90 / 30</t>
        </is>
      </c>
      <c r="L132" s="15" t="inlineStr">
        <is>
          <t>Mỗi lần bấm gửi GET ...analytics/revenue?range=&lt;7|90|30&gt;; chip được chọn đổi màu; thẻ KPI cập nhật (kỳ dài hơn thì số đếm tích lũy lớn hơn hoặc bằng); biểu đồ theo ngày có đúng 7 / 90 / 30 điểm; không nhấp nháy lỗi.</t>
        </is>
      </c>
      <c r="M132" s="15" t="inlineStr"/>
      <c r="N132" s="18" t="inlineStr">
        <is>
          <t>Chưa test</t>
        </is>
      </c>
      <c r="O132" s="15" t="inlineStr"/>
      <c r="P132" s="15" t="inlineStr"/>
      <c r="Q132" s="18" t="inlineStr">
        <is>
          <t>Chưa test</t>
        </is>
      </c>
      <c r="R132" s="15" t="inlineStr"/>
    </row>
    <row r="133" ht="30" customHeight="1">
      <c r="A133" s="14" t="inlineStr">
        <is>
          <t>TC-ADM3-132</t>
        </is>
      </c>
      <c r="B133" s="15" t="inlineStr">
        <is>
          <t>Admin Console (đợt 3: Phân tích, Hỗ trợ, Hệ thống)</t>
        </is>
      </c>
      <c r="C133" s="15" t="inlineStr">
        <is>
          <t>Phân tích · khung chung và chip khoảng thời gian</t>
        </is>
      </c>
      <c r="D133" s="15" t="inlineStr">
        <is>
          <t>Phân tích · Doanh thu: các thẻ KPI đúng nhãn tiếng Việt và hiện mức thay đổi so với kỳ trước</t>
        </is>
      </c>
      <c r="E133" s="15" t="inlineStr">
        <is>
          <t>Giao diện</t>
        </is>
      </c>
      <c r="F133" s="16" t="inlineStr">
        <is>
          <t>Cao</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33" s="15" t="inlineStr">
        <is>
          <t>1. Mở /admin/analytics/revenue
2. Đọc nhãn từng thẻ KPI và dòng phần trăm nhỏ ở góc (nếu có)</t>
        </is>
      </c>
      <c r="K133" s="15" t="inlineStr">
        <is>
          <t>/admin/analytics/revenue</t>
        </is>
      </c>
      <c r="L133"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133" s="15" t="inlineStr"/>
      <c r="N133" s="18" t="inlineStr">
        <is>
          <t>Chưa test</t>
        </is>
      </c>
      <c r="O133" s="15" t="inlineStr"/>
      <c r="P133" s="15" t="inlineStr"/>
      <c r="Q133" s="18" t="inlineStr">
        <is>
          <t>Chưa test</t>
        </is>
      </c>
      <c r="R133" s="15" t="inlineStr"/>
    </row>
    <row r="134" ht="45" customHeight="1">
      <c r="A134" s="14" t="inlineStr">
        <is>
          <t>TC-ADM3-133</t>
        </is>
      </c>
      <c r="B134" s="15" t="inlineStr">
        <is>
          <t>Admin Console (đợt 3: Phân tích, Hỗ trợ, Hệ thống)</t>
        </is>
      </c>
      <c r="C134" s="15" t="inlineStr">
        <is>
          <t>Phân tích · khung chung và chip khoảng thời gian</t>
        </is>
      </c>
      <c r="D134" s="15" t="inlineStr">
        <is>
          <t>Phân tích · Doanh thu: API lỗi hiện khối lỗi có nút Thử lại; Network chậm hiện Đang tải</t>
        </is>
      </c>
      <c r="E134" s="15" t="inlineStr">
        <is>
          <t>Giao diện</t>
        </is>
      </c>
      <c r="F134" s="17" t="inlineStr">
        <is>
          <t>Thấp</t>
        </is>
      </c>
      <c r="G134" s="17" t="inlineStr">
        <is>
          <t>Đã hoàn thiện</t>
        </is>
      </c>
      <c r="H134" s="20" t="inlineStr">
        <is>
          <t>Một phần</t>
        </is>
      </c>
      <c r="I1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34" s="15" t="inlineStr">
        <is>
          <t>1. DevTools chặn /api/admin/analytics/revenue
2. F5 /admin/analytics/revenue
3. Bỏ chặn, bấm 'Thử lại'</t>
        </is>
      </c>
      <c r="K134" s="15" t="inlineStr">
        <is>
          <t>/admin/analytics/revenue</t>
        </is>
      </c>
      <c r="L134" s="15" t="inlineStr">
        <is>
          <t>Khi tải: 'Đang tải…'; khi lỗi: khối lỗi (role=alert) với thông điệp + nút 'Thử lại'; bấm Thử lại sau khi bỏ chặn tải dữ liệu bình thường; không màn trắng.</t>
        </is>
      </c>
      <c r="M134" s="15" t="inlineStr"/>
      <c r="N134" s="18" t="inlineStr">
        <is>
          <t>Chưa test</t>
        </is>
      </c>
      <c r="O134" s="15" t="inlineStr"/>
      <c r="P134" s="15" t="inlineStr"/>
      <c r="Q134" s="18" t="inlineStr">
        <is>
          <t>Chưa test</t>
        </is>
      </c>
      <c r="R134" s="15" t="inlineStr"/>
    </row>
    <row r="135" ht="45" customHeight="1">
      <c r="A135" s="14" t="inlineStr">
        <is>
          <t>TC-ADM3-134</t>
        </is>
      </c>
      <c r="B135" s="15" t="inlineStr">
        <is>
          <t>Admin Console (đợt 3: Phân tích, Hỗ trợ, Hệ thống)</t>
        </is>
      </c>
      <c r="C135" s="15" t="inlineStr">
        <is>
          <t>Phân tích · khung chung và chip khoảng thời gian</t>
        </is>
      </c>
      <c r="D135" s="15" t="inlineStr">
        <is>
          <t>Trang Phân tích · Chuyển đổi: tiêu đề, phụ đề, chip 7/30/90 ngày mặc định 30</t>
        </is>
      </c>
      <c r="E135" s="15" t="inlineStr">
        <is>
          <t>Giao diện</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35" s="15" t="inlineStr">
        <is>
          <t>1. Mở /admin/analytics/conversion
2. Đọc tiêu đề, phụ đề và nhóm chip bên phải
3. Mở Network xem GET /api/admin/analytics/conversion</t>
        </is>
      </c>
      <c r="K135" s="15" t="inlineStr">
        <is>
          <t>/admin/analytics/conversion</t>
        </is>
      </c>
      <c r="L135"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135" s="15" t="inlineStr"/>
      <c r="N135" s="18" t="inlineStr">
        <is>
          <t>Chưa test</t>
        </is>
      </c>
      <c r="O135" s="15" t="inlineStr"/>
      <c r="P135" s="15" t="inlineStr"/>
      <c r="Q135" s="18" t="inlineStr">
        <is>
          <t>Chưa test</t>
        </is>
      </c>
      <c r="R135" s="15" t="inlineStr"/>
    </row>
    <row r="136" ht="60" customHeight="1">
      <c r="A136" s="14" t="inlineStr">
        <is>
          <t>TC-ADM3-135</t>
        </is>
      </c>
      <c r="B136" s="15" t="inlineStr">
        <is>
          <t>Admin Console (đợt 3: Phân tích, Hỗ trợ, Hệ thống)</t>
        </is>
      </c>
      <c r="C136" s="15" t="inlineStr">
        <is>
          <t>Phân tích · khung chung và chip khoảng thời gian</t>
        </is>
      </c>
      <c r="D136" s="15" t="inlineStr">
        <is>
          <t>Phân tích · Chuyển đổi: đổi chip 7 -&gt; 90 ngày tải lại số liệu và trục thời gian</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36" s="15" t="inlineStr">
        <is>
          <t>1. Mở /admin/analytics/conversion
2. Bấm chip '7 ngày', ghi các giá trị thẻ KPI và số điểm trên biểu đồ (nếu có)
3. Bấm '90 ngày', ghi lại
4. Bấm '30 ngày' trở về</t>
        </is>
      </c>
      <c r="K136" s="15" t="inlineStr">
        <is>
          <t>range 7 / 90 / 30</t>
        </is>
      </c>
      <c r="L136" s="15" t="inlineStr">
        <is>
          <t>Mỗi lần bấm gửi GET ...analytics/conversion?range=&lt;7|90|30&gt;; chip được chọn đổi màu; thẻ KPI cập nhật (kỳ dài hơn thì số đếm tích lũy lớn hơn hoặc bằng); biểu đồ theo ngày có đúng 7 / 90 / 30 điểm; không nhấp nháy lỗi.</t>
        </is>
      </c>
      <c r="M136" s="15" t="inlineStr"/>
      <c r="N136" s="18" t="inlineStr">
        <is>
          <t>Chưa test</t>
        </is>
      </c>
      <c r="O136" s="15" t="inlineStr"/>
      <c r="P136" s="15" t="inlineStr"/>
      <c r="Q136" s="18" t="inlineStr">
        <is>
          <t>Chưa test</t>
        </is>
      </c>
      <c r="R136" s="15" t="inlineStr"/>
    </row>
    <row r="137" ht="30" customHeight="1">
      <c r="A137" s="14" t="inlineStr">
        <is>
          <t>TC-ADM3-136</t>
        </is>
      </c>
      <c r="B137" s="15" t="inlineStr">
        <is>
          <t>Admin Console (đợt 3: Phân tích, Hỗ trợ, Hệ thống)</t>
        </is>
      </c>
      <c r="C137" s="15" t="inlineStr">
        <is>
          <t>Phân tích · khung chung và chip khoảng thời gian</t>
        </is>
      </c>
      <c r="D137" s="15" t="inlineStr">
        <is>
          <t>Phân tích · Chuyển đổi: các thẻ KPI đúng nhãn tiếng Việt và hiện mức thay đổi so với kỳ trước</t>
        </is>
      </c>
      <c r="E137" s="15" t="inlineStr">
        <is>
          <t>Giao diện</t>
        </is>
      </c>
      <c r="F137" s="16" t="inlineStr">
        <is>
          <t>Cao</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37" s="15" t="inlineStr">
        <is>
          <t>1. Mở /admin/analytics/conversion
2. Đọc nhãn từng thẻ KPI và dòng phần trăm nhỏ ở góc (nếu có)</t>
        </is>
      </c>
      <c r="K137" s="15" t="inlineStr">
        <is>
          <t>/admin/analytics/conversion</t>
        </is>
      </c>
      <c r="L137"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137" s="15" t="inlineStr"/>
      <c r="N137" s="18" t="inlineStr">
        <is>
          <t>Chưa test</t>
        </is>
      </c>
      <c r="O137" s="15" t="inlineStr"/>
      <c r="P137" s="15" t="inlineStr"/>
      <c r="Q137" s="18" t="inlineStr">
        <is>
          <t>Chưa test</t>
        </is>
      </c>
      <c r="R137" s="15" t="inlineStr"/>
    </row>
    <row r="138" ht="45" customHeight="1">
      <c r="A138" s="14" t="inlineStr">
        <is>
          <t>TC-ADM3-137</t>
        </is>
      </c>
      <c r="B138" s="15" t="inlineStr">
        <is>
          <t>Admin Console (đợt 3: Phân tích, Hỗ trợ, Hệ thống)</t>
        </is>
      </c>
      <c r="C138" s="15" t="inlineStr">
        <is>
          <t>Phân tích · khung chung và chip khoảng thời gian</t>
        </is>
      </c>
      <c r="D138" s="15" t="inlineStr">
        <is>
          <t>Phân tích · Chuyển đổi: API lỗi hiện khối lỗi có nút Thử lại; Network chậm hiện Đang tải</t>
        </is>
      </c>
      <c r="E138" s="15" t="inlineStr">
        <is>
          <t>Giao diện</t>
        </is>
      </c>
      <c r="F138" s="17" t="inlineStr">
        <is>
          <t>Thấp</t>
        </is>
      </c>
      <c r="G138" s="17" t="inlineStr">
        <is>
          <t>Đã hoàn thiện</t>
        </is>
      </c>
      <c r="H138" s="20" t="inlineStr">
        <is>
          <t>Một phần</t>
        </is>
      </c>
      <c r="I13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38" s="15" t="inlineStr">
        <is>
          <t>1. DevTools chặn /api/admin/analytics/conversion
2. F5 /admin/analytics/conversion
3. Bỏ chặn, bấm 'Thử lại'</t>
        </is>
      </c>
      <c r="K138" s="15" t="inlineStr">
        <is>
          <t>/admin/analytics/conversion</t>
        </is>
      </c>
      <c r="L138" s="15" t="inlineStr">
        <is>
          <t>Khi tải: 'Đang tải…'; khi lỗi: khối lỗi (role=alert) với thông điệp + nút 'Thử lại'; bấm Thử lại sau khi bỏ chặn tải dữ liệu bình thường; không màn trắng.</t>
        </is>
      </c>
      <c r="M138" s="15" t="inlineStr"/>
      <c r="N138" s="18" t="inlineStr">
        <is>
          <t>Chưa test</t>
        </is>
      </c>
      <c r="O138" s="15" t="inlineStr"/>
      <c r="P138" s="15" t="inlineStr"/>
      <c r="Q138" s="18" t="inlineStr">
        <is>
          <t>Chưa test</t>
        </is>
      </c>
      <c r="R138" s="15" t="inlineStr"/>
    </row>
    <row r="139" ht="45" customHeight="1">
      <c r="A139" s="14" t="inlineStr">
        <is>
          <t>TC-ADM3-138</t>
        </is>
      </c>
      <c r="B139" s="15" t="inlineStr">
        <is>
          <t>Admin Console (đợt 3: Phân tích, Hỗ trợ, Hệ thống)</t>
        </is>
      </c>
      <c r="C139" s="15" t="inlineStr">
        <is>
          <t>Phân tích · Người dùng (UI)</t>
        </is>
      </c>
      <c r="D139" s="15" t="inlineStr">
        <is>
          <t>Phân tích Người dùng: biểu đồ 'Tăng trưởng người dùng' và 'Người dùng hoạt động'</t>
        </is>
      </c>
      <c r="E139" s="15" t="inlineStr">
        <is>
          <t>Giao diện</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39" s="15" t="inlineStr">
        <is>
          <t>1. Mở /admin/analytics/users (30 ngày)
2. Đọc 2 biểu đồ, rê chuột vào một điểm
3. So tổng 'Người dùng mới' cộng dồn series.newUsers với thẻ 'Người dùng mới'</t>
        </is>
      </c>
      <c r="K139" s="15" t="inlineStr">
        <is>
          <t>range=30</t>
        </is>
      </c>
      <c r="L139"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139" s="15" t="inlineStr"/>
      <c r="N139" s="18" t="inlineStr">
        <is>
          <t>Chưa test</t>
        </is>
      </c>
      <c r="O139" s="15" t="inlineStr"/>
      <c r="P139" s="15" t="inlineStr"/>
      <c r="Q139" s="18" t="inlineStr">
        <is>
          <t>Chưa test</t>
        </is>
      </c>
      <c r="R139" s="15" t="inlineStr"/>
    </row>
    <row r="140" ht="30" customHeight="1">
      <c r="A140" s="14" t="inlineStr">
        <is>
          <t>TC-ADM3-139</t>
        </is>
      </c>
      <c r="B140" s="15" t="inlineStr">
        <is>
          <t>Admin Console (đợt 3: Phân tích, Hỗ trợ, Hệ thống)</t>
        </is>
      </c>
      <c r="C140" s="15" t="inlineStr">
        <is>
          <t>Phân tích · Người dùng (UI)</t>
        </is>
      </c>
      <c r="D140" s="15" t="inlineStr">
        <is>
          <t>Phân tích Người dùng: thẻ 'Phân khúc người dùng' 4 phân khúc, tổng phần trăm 100%</t>
        </is>
      </c>
      <c r="E140" s="15" t="inlineStr">
        <is>
          <t>Giao diện</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0" s="15" t="inlineStr">
        <is>
          <t>1. Đọc thẻ 'Phân khúc người dùng'
2. Cộng 4 dòng</t>
        </is>
      </c>
      <c r="K140" s="15" t="inlineStr">
        <is>
          <t>-</t>
        </is>
      </c>
      <c r="L140"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140" s="15" t="inlineStr"/>
      <c r="N140" s="18" t="inlineStr">
        <is>
          <t>Chưa test</t>
        </is>
      </c>
      <c r="O140" s="15" t="inlineStr"/>
      <c r="P140" s="15" t="inlineStr"/>
      <c r="Q140" s="18" t="inlineStr">
        <is>
          <t>Chưa test</t>
        </is>
      </c>
      <c r="R140" s="15" t="inlineStr"/>
    </row>
    <row r="141" ht="60" customHeight="1">
      <c r="A141" s="14" t="inlineStr">
        <is>
          <t>TC-ADM3-140</t>
        </is>
      </c>
      <c r="B141" s="15" t="inlineStr">
        <is>
          <t>Admin Console (đợt 3: Phân tích, Hỗ trợ, Hệ thống)</t>
        </is>
      </c>
      <c r="C141" s="15" t="inlineStr">
        <is>
          <t>Phân tích · Người dùng (UI)</t>
        </is>
      </c>
      <c r="D141" s="15" t="inlineStr">
        <is>
          <t>Phân tích Người dùng: thẻ 'Phân bố địa lý' theo vị trí tự khai, ẩn khi rỗng</t>
        </is>
      </c>
      <c r="E141" s="15" t="inlineStr">
        <is>
          <t>Giao diện</t>
        </is>
      </c>
      <c r="F141" s="20" t="inlineStr">
        <is>
          <t>Trung bình</t>
        </is>
      </c>
      <c r="G141" s="17" t="inlineStr">
        <is>
          <t>Đã hoàn thiện</t>
        </is>
      </c>
      <c r="H141" s="20" t="inlineStr">
        <is>
          <t>Một phần</t>
        </is>
      </c>
      <c r="I14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41"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141" s="15" t="inlineStr">
        <is>
          <t>-</t>
        </is>
      </c>
      <c r="L141"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141" s="15" t="inlineStr"/>
      <c r="N141" s="18" t="inlineStr">
        <is>
          <t>Chưa test</t>
        </is>
      </c>
      <c r="O141" s="15" t="inlineStr"/>
      <c r="P141" s="15" t="inlineStr"/>
      <c r="Q141" s="18" t="inlineStr">
        <is>
          <t>Chưa test</t>
        </is>
      </c>
      <c r="R141" s="15" t="inlineStr"/>
    </row>
    <row r="142" ht="30" customHeight="1">
      <c r="A142" s="14" t="inlineStr">
        <is>
          <t>TC-ADM3-141</t>
        </is>
      </c>
      <c r="B142" s="15" t="inlineStr">
        <is>
          <t>Admin Console (đợt 3: Phân tích, Hỗ trợ, Hệ thống)</t>
        </is>
      </c>
      <c r="C142" s="15" t="inlineStr">
        <is>
          <t>Phân tích · Người dùng (UI)</t>
        </is>
      </c>
      <c r="D142" s="15" t="inlineStr">
        <is>
          <t>Phân tích Người dùng KHÔNG có thẻ 'Nguồn đăng ký' và 'Lượt truy cập' (không có dữ liệu)</t>
        </is>
      </c>
      <c r="E142" s="15" t="inlineStr">
        <is>
          <t>Giao diện</t>
        </is>
      </c>
      <c r="F142" s="17" t="inlineStr">
        <is>
          <t>Thấp</t>
        </is>
      </c>
      <c r="G142" s="17" t="inlineStr">
        <is>
          <t>Đã hoàn thiện</t>
        </is>
      </c>
      <c r="H142" s="20" t="inlineStr">
        <is>
          <t>Một phần</t>
        </is>
      </c>
      <c r="I14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42" s="15" t="inlineStr">
        <is>
          <t>1. Mở /admin/analytics/users
2. Tìm thẻ 'Nguồn đăng ký' / 'Lượt truy cập'</t>
        </is>
      </c>
      <c r="K142" s="15" t="inlineStr">
        <is>
          <t>-</t>
        </is>
      </c>
      <c r="L142" s="15" t="inlineStr">
        <is>
          <t>Không có thẻ nào như vậy; biểu đồ hoạt động chỉ 1 đường 'Hoạt động trong ngày' (không phải DAU/WAU/MAU theo ngày). Đây là khoảng trống đã biết (xem case Kế hoạch).</t>
        </is>
      </c>
      <c r="M142" s="15" t="inlineStr"/>
      <c r="N142" s="18" t="inlineStr">
        <is>
          <t>Chưa test</t>
        </is>
      </c>
      <c r="O142" s="15" t="inlineStr"/>
      <c r="P142" s="15" t="inlineStr"/>
      <c r="Q142" s="18" t="inlineStr">
        <is>
          <t>Chưa test</t>
        </is>
      </c>
      <c r="R142" s="15" t="inlineStr"/>
    </row>
    <row r="143" ht="30" customHeight="1">
      <c r="A143" s="14" t="inlineStr">
        <is>
          <t>TC-ADM3-142</t>
        </is>
      </c>
      <c r="B143" s="15" t="inlineStr">
        <is>
          <t>Admin Console (đợt 3: Phân tích, Hỗ trợ, Hệ thống)</t>
        </is>
      </c>
      <c r="C143" s="15" t="inlineStr">
        <is>
          <t>Phân tích · Cộng đồng (UI)</t>
        </is>
      </c>
      <c r="D143" s="15" t="inlineStr">
        <is>
          <t>Phân tích Cộng đồng: biểu đồ 3 đường và thẻ 'Theo danh mục'</t>
        </is>
      </c>
      <c r="E143" s="15" t="inlineStr">
        <is>
          <t>Giao diện</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43" s="15" t="inlineStr">
        <is>
          <t>1. Mở /admin/analytics/communities
2. Đọc biểu đồ 'Tăng trưởng cộng đồng' và thẻ 'Theo danh mục'</t>
        </is>
      </c>
      <c r="K143" s="15" t="inlineStr">
        <is>
          <t>-</t>
        </is>
      </c>
      <c r="L143" s="15" t="inlineStr">
        <is>
          <t>Biểu đồ có 3 series 'Tạo mới', 'Đang hoạt động', 'Trả phí mới' (mỗi ngày 1 điểm); 'Theo danh mục' liệt kê các danh mục với 'x% · N' (nhãn danh mục lấy từ danh mục Khám phá), tổng N = số cộng đồng.</t>
        </is>
      </c>
      <c r="M143" s="15" t="inlineStr"/>
      <c r="N143" s="18" t="inlineStr">
        <is>
          <t>Chưa test</t>
        </is>
      </c>
      <c r="O143" s="15" t="inlineStr"/>
      <c r="P143" s="15" t="inlineStr"/>
      <c r="Q143" s="18" t="inlineStr">
        <is>
          <t>Chưa test</t>
        </is>
      </c>
      <c r="R143" s="15" t="inlineStr"/>
    </row>
    <row r="144" ht="45" customHeight="1">
      <c r="A144" s="14" t="inlineStr">
        <is>
          <t>TC-ADM3-143</t>
        </is>
      </c>
      <c r="B144" s="15" t="inlineStr">
        <is>
          <t>Admin Console (đợt 3: Phân tích, Hỗ trợ, Hệ thống)</t>
        </is>
      </c>
      <c r="C144" s="15" t="inlineStr">
        <is>
          <t>Phân tích · Cộng đồng (UI)</t>
        </is>
      </c>
      <c r="D144" s="15" t="inlineStr">
        <is>
          <t>Phân tích Cộng đồng: bảng 'Cộng đồng hàng đầu' có 10 dòng và cột đúng</t>
        </is>
      </c>
      <c r="E144" s="15" t="inlineStr">
        <is>
          <t>Giao diện</t>
        </is>
      </c>
      <c r="F144" s="16" t="inlineStr">
        <is>
          <t>Cao</t>
        </is>
      </c>
      <c r="G144" s="17" t="inlineStr">
        <is>
          <t>Đã hoàn thiện</t>
        </is>
      </c>
      <c r="H144" s="20" t="inlineStr">
        <is>
          <t>Một phần</t>
        </is>
      </c>
      <c r="I1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44" s="15" t="inlineStr">
        <is>
          <t>1. Mở /admin/analytics/communities
2. Đọc tiêu đề bảng, phụ đề và các cột
3. So với SQL: 10 cộng đồng nhiều Enrollment nhất</t>
        </is>
      </c>
      <c r="K144" s="15" t="inlineStr">
        <is>
          <t>-</t>
        </is>
      </c>
      <c r="L144"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144" s="15" t="inlineStr"/>
      <c r="N144" s="18" t="inlineStr">
        <is>
          <t>Chưa test</t>
        </is>
      </c>
      <c r="O144" s="15" t="inlineStr"/>
      <c r="P144" s="15" t="inlineStr"/>
      <c r="Q144" s="18" t="inlineStr">
        <is>
          <t>Chưa test</t>
        </is>
      </c>
      <c r="R144" s="15" t="inlineStr"/>
    </row>
    <row r="145" ht="30" customHeight="1">
      <c r="A145" s="14" t="inlineStr">
        <is>
          <t>TC-ADM3-144</t>
        </is>
      </c>
      <c r="B145" s="15" t="inlineStr">
        <is>
          <t>Admin Console (đợt 3: Phân tích, Hỗ trợ, Hệ thống)</t>
        </is>
      </c>
      <c r="C145" s="15" t="inlineStr">
        <is>
          <t>Phân tích · Cộng đồng (UI)</t>
        </is>
      </c>
      <c r="D145" s="15" t="inlineStr">
        <is>
          <t>Phân tích Cộng đồng: bấm một dòng của bảng mở chi tiết cộng đồng</t>
        </is>
      </c>
      <c r="E145" s="15" t="inlineStr">
        <is>
          <t>Chức năng</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45" s="15" t="inlineStr">
        <is>
          <t>1. Bấm dòng đầu tiên của 'Cộng đồng hàng đầu'</t>
        </is>
      </c>
      <c r="K145" s="15" t="inlineStr">
        <is>
          <t>-</t>
        </is>
      </c>
      <c r="L145" s="15" t="inlineStr">
        <is>
          <t>Chuyển tới /admin/communities/&lt;id cộng đồng&gt; đúng cộng đồng đã bấm.</t>
        </is>
      </c>
      <c r="M145" s="15" t="inlineStr"/>
      <c r="N145" s="18" t="inlineStr">
        <is>
          <t>Chưa test</t>
        </is>
      </c>
      <c r="O145" s="15" t="inlineStr"/>
      <c r="P145" s="15" t="inlineStr"/>
      <c r="Q145" s="18" t="inlineStr">
        <is>
          <t>Chưa test</t>
        </is>
      </c>
      <c r="R145" s="15" t="inlineStr"/>
    </row>
    <row r="146" ht="30" customHeight="1">
      <c r="A146" s="14" t="inlineStr">
        <is>
          <t>TC-ADM3-145</t>
        </is>
      </c>
      <c r="B146" s="15" t="inlineStr">
        <is>
          <t>Admin Console (đợt 3: Phân tích, Hỗ trợ, Hệ thống)</t>
        </is>
      </c>
      <c r="C146" s="15" t="inlineStr">
        <is>
          <t>Phân tích · Cộng đồng (UI)</t>
        </is>
      </c>
      <c r="D146" s="15" t="inlineStr">
        <is>
          <t>Phân tích Cộng đồng: thẻ 'Tạm ngưng' tô cảnh báo và không có kỳ trước</t>
        </is>
      </c>
      <c r="E146" s="15" t="inlineStr">
        <is>
          <t>Giao diện</t>
        </is>
      </c>
      <c r="F146" s="17" t="inlineStr">
        <is>
          <t>Thấp</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46" s="15" t="inlineStr">
        <is>
          <t>1. Đọc thẻ 'Tạm ngưng'</t>
        </is>
      </c>
      <c r="K146" s="15" t="inlineStr">
        <is>
          <t>-</t>
        </is>
      </c>
      <c r="L146" s="15" t="inlineStr">
        <is>
          <t>Giá trị = số cộng đồng đang bị tạm ngưng HIỆN TẠI (seed: crypto-signals-pro ≥ 1); không hiện % so với kỳ trước (BE trả previous=null vì không có lịch sử trạng thái).</t>
        </is>
      </c>
      <c r="M146" s="15" t="inlineStr"/>
      <c r="N146" s="18" t="inlineStr">
        <is>
          <t>Chưa test</t>
        </is>
      </c>
      <c r="O146" s="15" t="inlineStr"/>
      <c r="P146" s="15" t="inlineStr"/>
      <c r="Q146" s="18" t="inlineStr">
        <is>
          <t>Chưa test</t>
        </is>
      </c>
      <c r="R146" s="15" t="inlineStr"/>
    </row>
    <row r="147" ht="30" customHeight="1">
      <c r="A147" s="14" t="inlineStr">
        <is>
          <t>TC-ADM3-146</t>
        </is>
      </c>
      <c r="B147" s="15" t="inlineStr">
        <is>
          <t>Admin Console (đợt 3: Phân tích, Hỗ trợ, Hệ thống)</t>
        </is>
      </c>
      <c r="C147" s="15" t="inlineStr">
        <is>
          <t>Phân tích · Tương tác (UI)</t>
        </is>
      </c>
      <c r="D147" s="15" t="inlineStr">
        <is>
          <t>Phân tích Tương tác: biểu đồ 5 đường và thẻ 'Cơ cấu tương tác'</t>
        </is>
      </c>
      <c r="E147" s="15" t="inlineStr">
        <is>
          <t>Giao diện</t>
        </is>
      </c>
      <c r="F147" s="20" t="inlineStr">
        <is>
          <t>Trung bình</t>
        </is>
      </c>
      <c r="G147" s="17" t="inlineStr">
        <is>
          <t>Đã hoàn thiện</t>
        </is>
      </c>
      <c r="H147" s="17" t="inlineStr">
        <is>
          <t>Có</t>
        </is>
      </c>
      <c r="I1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47" s="15" t="inlineStr">
        <is>
          <t>1. Mở /admin/analytics/engagement
2. Đọc biểu đồ 'Tương tác' và 'Cơ cấu tương tác'</t>
        </is>
      </c>
      <c r="K147" s="15" t="inlineStr">
        <is>
          <t>-</t>
        </is>
      </c>
      <c r="L147"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147" s="15" t="inlineStr"/>
      <c r="N147" s="18" t="inlineStr">
        <is>
          <t>Chưa test</t>
        </is>
      </c>
      <c r="O147" s="15" t="inlineStr"/>
      <c r="P147" s="15" t="inlineStr"/>
      <c r="Q147" s="18" t="inlineStr">
        <is>
          <t>Chưa test</t>
        </is>
      </c>
      <c r="R147" s="15" t="inlineStr"/>
    </row>
    <row r="148" ht="30" customHeight="1">
      <c r="A148" s="14" t="inlineStr">
        <is>
          <t>TC-ADM3-147</t>
        </is>
      </c>
      <c r="B148" s="15" t="inlineStr">
        <is>
          <t>Admin Console (đợt 3: Phân tích, Hỗ trợ, Hệ thống)</t>
        </is>
      </c>
      <c r="C148" s="15" t="inlineStr">
        <is>
          <t>Phân tích · Tương tác (UI)</t>
        </is>
      </c>
      <c r="D148" s="15" t="inlineStr">
        <is>
          <t>Phân tích Tương tác: thẻ 'Hoàn thành khóa học' hiển thị phần trăm 1 chữ số thập phân</t>
        </is>
      </c>
      <c r="E148" s="15" t="inlineStr">
        <is>
          <t>Giao diện</t>
        </is>
      </c>
      <c r="F148" s="17" t="inlineStr">
        <is>
          <t>Thấp</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48" s="15" t="inlineStr">
        <is>
          <t>1. Đọc thẻ 'Hoàn thành khóa học'</t>
        </is>
      </c>
      <c r="K148" s="15" t="inlineStr">
        <is>
          <t>-</t>
        </is>
      </c>
      <c r="L148" s="15" t="inlineStr">
        <is>
          <t>Giá trị dạng 'x%' hoặc 'x.y%' (bỏ '.0'), nằm trong 0-100; = chứng nhận đã cấp / số cặp (user, cộng đồng) từng hoàn thành ≥ 1 bài, tính lũy kế đến cuối kỳ.</t>
        </is>
      </c>
      <c r="M148" s="15" t="inlineStr"/>
      <c r="N148" s="18" t="inlineStr">
        <is>
          <t>Chưa test</t>
        </is>
      </c>
      <c r="O148" s="15" t="inlineStr"/>
      <c r="P148" s="15" t="inlineStr"/>
      <c r="Q148" s="18" t="inlineStr">
        <is>
          <t>Chưa test</t>
        </is>
      </c>
      <c r="R148" s="15" t="inlineStr"/>
    </row>
    <row r="149" ht="45" customHeight="1">
      <c r="A149" s="14" t="inlineStr">
        <is>
          <t>TC-ADM3-148</t>
        </is>
      </c>
      <c r="B149" s="15" t="inlineStr">
        <is>
          <t>Admin Console (đợt 3: Phân tích, Hỗ trợ, Hệ thống)</t>
        </is>
      </c>
      <c r="C149" s="15" t="inlineStr">
        <is>
          <t>Phân tích · Giữ chân (UI)</t>
        </is>
      </c>
      <c r="D149" s="15" t="inlineStr">
        <is>
          <t>Phân tích Giữ chân: bản đồ nhiệt cohort 6 nhóm tháng, cột Tuần 1/2/4/8/12</t>
        </is>
      </c>
      <c r="E149" s="15" t="inlineStr">
        <is>
          <t>Giao diện</t>
        </is>
      </c>
      <c r="F149" s="16" t="inlineStr">
        <is>
          <t>Cao</t>
        </is>
      </c>
      <c r="G149" s="17" t="inlineStr">
        <is>
          <t>Đã hoàn thiện</t>
        </is>
      </c>
      <c r="H149" s="17" t="inlineStr">
        <is>
          <t>Có</t>
        </is>
      </c>
      <c r="I1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49" s="15" t="inlineStr">
        <is>
          <t>1. Mở /admin/analytics/retention
2. Đọc thẻ 'Giữ chân theo nhóm' và tiêu đề cột
3. Rê qua từng ô</t>
        </is>
      </c>
      <c r="K149" s="15" t="inlineStr">
        <is>
          <t>-</t>
        </is>
      </c>
      <c r="L149"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49" s="15" t="inlineStr"/>
      <c r="N149" s="18" t="inlineStr">
        <is>
          <t>Chưa test</t>
        </is>
      </c>
      <c r="O149" s="15" t="inlineStr"/>
      <c r="P149" s="15" t="inlineStr"/>
      <c r="Q149" s="18" t="inlineStr">
        <is>
          <t>Chưa test</t>
        </is>
      </c>
      <c r="R149" s="15" t="inlineStr"/>
    </row>
    <row r="150" ht="30" customHeight="1">
      <c r="A150" s="14" t="inlineStr">
        <is>
          <t>TC-ADM3-149</t>
        </is>
      </c>
      <c r="B150" s="15" t="inlineStr">
        <is>
          <t>Admin Console (đợt 3: Phân tích, Hỗ trợ, Hệ thống)</t>
        </is>
      </c>
      <c r="C150" s="15" t="inlineStr">
        <is>
          <t>Phân tích · Giữ chân (UI)</t>
        </is>
      </c>
      <c r="D150" s="15" t="inlineStr">
        <is>
          <t>Phân tích Giữ chân: cohort tháng hiện tại có tuần xa hiện '—'</t>
        </is>
      </c>
      <c r="E150" s="15" t="inlineStr">
        <is>
          <t>Giao diện</t>
        </is>
      </c>
      <c r="F150" s="20" t="inlineStr">
        <is>
          <t>Trung bình</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50" s="15" t="inlineStr">
        <is>
          <t>1. Xem hàng cohort tháng mới nhất (tháng hiện tại)
2. Đọc các ô Tuần 4, Tuần 8, Tuần 12</t>
        </is>
      </c>
      <c r="K150" s="15" t="inlineStr">
        <is>
          <t>-</t>
        </is>
      </c>
      <c r="L150" s="15" t="inlineStr">
        <is>
          <t>Các tuần chưa đủ thời gian kể từ ngày đăng ký (vd Tuần 12 của cohort tháng hiện tại) = '—' (BE trả null), KHÔNG hiện 0%.</t>
        </is>
      </c>
      <c r="M150" s="15" t="inlineStr"/>
      <c r="N150" s="18" t="inlineStr">
        <is>
          <t>Chưa test</t>
        </is>
      </c>
      <c r="O150" s="15" t="inlineStr"/>
      <c r="P150" s="15" t="inlineStr"/>
      <c r="Q150" s="18" t="inlineStr">
        <is>
          <t>Chưa test</t>
        </is>
      </c>
      <c r="R150" s="15" t="inlineStr"/>
    </row>
    <row r="151" ht="30" customHeight="1">
      <c r="A151" s="14" t="inlineStr">
        <is>
          <t>TC-ADM3-150</t>
        </is>
      </c>
      <c r="B151" s="15" t="inlineStr">
        <is>
          <t>Admin Console (đợt 3: Phân tích, Hỗ trợ, Hệ thống)</t>
        </is>
      </c>
      <c r="C151" s="15" t="inlineStr">
        <is>
          <t>Phân tích · Giữ chân (UI)</t>
        </is>
      </c>
      <c r="D151" s="15" t="inlineStr">
        <is>
          <t>Phân tích Giữ chân: biểu đồ cột 'Người dùng quay lại' 2 loạt</t>
        </is>
      </c>
      <c r="E151" s="15" t="inlineStr">
        <is>
          <t>Giao diện</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51" s="15" t="inlineStr">
        <is>
          <t>1. Đọc biểu đồ 'Người dùng quay lại'</t>
        </is>
      </c>
      <c r="K151" s="15" t="inlineStr">
        <is>
          <t>-</t>
        </is>
      </c>
      <c r="L151" s="15" t="inlineStr">
        <is>
          <t>Biểu đồ cột, mỗi ngày 1 nhóm cột: 'Quay lại' (đã đăng ký từ trước vẫn hoạt động trong ngày) và 'Mới hoạt động' (xanh dương); phụ đề mô tả đúng; số ngày = range.</t>
        </is>
      </c>
      <c r="M151" s="15" t="inlineStr"/>
      <c r="N151" s="18" t="inlineStr">
        <is>
          <t>Chưa test</t>
        </is>
      </c>
      <c r="O151" s="15" t="inlineStr"/>
      <c r="P151" s="15" t="inlineStr"/>
      <c r="Q151" s="18" t="inlineStr">
        <is>
          <t>Chưa test</t>
        </is>
      </c>
      <c r="R151" s="15" t="inlineStr"/>
    </row>
    <row r="152" ht="30" customHeight="1">
      <c r="A152" s="14" t="inlineStr">
        <is>
          <t>TC-ADM3-151</t>
        </is>
      </c>
      <c r="B152" s="15" t="inlineStr">
        <is>
          <t>Admin Console (đợt 3: Phân tích, Hỗ trợ, Hệ thống)</t>
        </is>
      </c>
      <c r="C152" s="15" t="inlineStr">
        <is>
          <t>Phân tích · Giữ chân (UI)</t>
        </is>
      </c>
      <c r="D152" s="15" t="inlineStr">
        <is>
          <t>Phân tích Giữ chân: thẻ 'Tỷ lệ rời bỏ' tô màu xấu</t>
        </is>
      </c>
      <c r="E152" s="15" t="inlineStr">
        <is>
          <t>Giao diện</t>
        </is>
      </c>
      <c r="F152" s="17" t="inlineStr">
        <is>
          <t>Thấp</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52" s="15" t="inlineStr">
        <is>
          <t>1. Đọc thẻ 'Tỷ lệ rời bỏ'</t>
        </is>
      </c>
      <c r="K152" s="15" t="inlineStr">
        <is>
          <t>-</t>
        </is>
      </c>
      <c r="L152" s="15" t="inlineStr">
        <is>
          <t>Thẻ có biểu tượng/màu cảnh báo (bad); giá trị % = người dùng hoạt động ở kỳ trước nhưng không hoạt động ở kỳ hiện tại.</t>
        </is>
      </c>
      <c r="M152" s="15" t="inlineStr"/>
      <c r="N152" s="18" t="inlineStr">
        <is>
          <t>Chưa test</t>
        </is>
      </c>
      <c r="O152" s="15" t="inlineStr"/>
      <c r="P152" s="15" t="inlineStr"/>
      <c r="Q152" s="18" t="inlineStr">
        <is>
          <t>Chưa test</t>
        </is>
      </c>
      <c r="R152" s="15" t="inlineStr"/>
    </row>
    <row r="153" ht="45" customHeight="1">
      <c r="A153" s="14" t="inlineStr">
        <is>
          <t>TC-ADM3-152</t>
        </is>
      </c>
      <c r="B153" s="15" t="inlineStr">
        <is>
          <t>Admin Console (đợt 3: Phân tích, Hỗ trợ, Hệ thống)</t>
        </is>
      </c>
      <c r="C153" s="15" t="inlineStr">
        <is>
          <t>Phân tích · Doanh thu (UI)</t>
        </is>
      </c>
      <c r="D153" s="15" t="inlineStr">
        <is>
          <t>Phân tích Doanh thu: biểu đồ 3 đường định dạng tiền và thẻ 'Theo loại thanh toán'</t>
        </is>
      </c>
      <c r="E153" s="15" t="inlineStr">
        <is>
          <t>Giao diện</t>
        </is>
      </c>
      <c r="F153" s="16" t="inlineStr">
        <is>
          <t>Cao</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53" s="15" t="inlineStr">
        <is>
          <t>1. Mở /admin/analytics/revenue
2. Rê chuột vào một điểm của biểu đồ 'Doanh thu'
3. Đọc 'Theo loại thanh toán' và 'Theo cộng đồng'</t>
        </is>
      </c>
      <c r="K153" s="15" t="inlineStr">
        <is>
          <t>-</t>
        </is>
      </c>
      <c r="L153"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53" s="15" t="inlineStr"/>
      <c r="N153" s="18" t="inlineStr">
        <is>
          <t>Chưa test</t>
        </is>
      </c>
      <c r="O153" s="15" t="inlineStr"/>
      <c r="P153" s="15" t="inlineStr"/>
      <c r="Q153" s="18" t="inlineStr">
        <is>
          <t>Chưa test</t>
        </is>
      </c>
      <c r="R153" s="15" t="inlineStr"/>
    </row>
    <row r="154" ht="30" customHeight="1">
      <c r="A154" s="14" t="inlineStr">
        <is>
          <t>TC-ADM3-153</t>
        </is>
      </c>
      <c r="B154" s="15" t="inlineStr">
        <is>
          <t>Admin Console (đợt 3: Phân tích, Hỗ trợ, Hệ thống)</t>
        </is>
      </c>
      <c r="C154" s="15" t="inlineStr">
        <is>
          <t>Phân tích · Doanh thu (UI)</t>
        </is>
      </c>
      <c r="D154" s="15" t="inlineStr">
        <is>
          <t>Phân tích Doanh thu: thẻ tiền dùng định dạng $ và 'Hoàn tiền' tô cảnh báo</t>
        </is>
      </c>
      <c r="E154" s="15" t="inlineStr">
        <is>
          <t>Giao diện</t>
        </is>
      </c>
      <c r="F154" s="17" t="inlineStr">
        <is>
          <t>Thấp</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54" s="15" t="inlineStr">
        <is>
          <t>1. Đọc 5 thẻ KPI</t>
        </is>
      </c>
      <c r="K154" s="15" t="inlineStr">
        <is>
          <t>-</t>
        </is>
      </c>
      <c r="L154" s="15" t="inlineStr">
        <is>
          <t>MRR, Doanh thu gộp, Phí nền tảng, ARPU, Hoàn tiền hiển thị dạng '$1,234.56' (formatCents); 'Hoàn tiền' tô màu xấu khi tăng.</t>
        </is>
      </c>
      <c r="M154" s="15" t="inlineStr"/>
      <c r="N154" s="18" t="inlineStr">
        <is>
          <t>Chưa test</t>
        </is>
      </c>
      <c r="O154" s="15" t="inlineStr"/>
      <c r="P154" s="15" t="inlineStr"/>
      <c r="Q154" s="18" t="inlineStr">
        <is>
          <t>Chưa test</t>
        </is>
      </c>
      <c r="R154" s="15" t="inlineStr"/>
    </row>
    <row r="155" ht="45" customHeight="1">
      <c r="A155" s="14" t="inlineStr">
        <is>
          <t>TC-ADM3-154</t>
        </is>
      </c>
      <c r="B155" s="15" t="inlineStr">
        <is>
          <t>Admin Console (đợt 3: Phân tích, Hỗ trợ, Hệ thống)</t>
        </is>
      </c>
      <c r="C155" s="15" t="inlineStr">
        <is>
          <t>Phân tích · Chuyển đổi (UI)</t>
        </is>
      </c>
      <c r="D155" s="15" t="inlineStr">
        <is>
          <t>Phân tích Chuyển đổi: phễu 4 bước bắt đầu từ 'Tạo tài khoản' (không có bước truy cập)</t>
        </is>
      </c>
      <c r="E155" s="15" t="inlineStr">
        <is>
          <t>Giao diện</t>
        </is>
      </c>
      <c r="F155" s="16" t="inlineStr">
        <is>
          <t>Cao</t>
        </is>
      </c>
      <c r="G155" s="17" t="inlineStr">
        <is>
          <t>Đã hoàn thiện</t>
        </is>
      </c>
      <c r="H155" s="17" t="inlineStr">
        <is>
          <t>Có</t>
        </is>
      </c>
      <c r="I1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55" s="15" t="inlineStr">
        <is>
          <t>1. Mở /admin/analytics/conversion
2. Đọc thẻ 'Phễu chuyển đổi' và các thanh
3. Đối chiếu số trong 4 bước với count trong API</t>
        </is>
      </c>
      <c r="K155" s="15" t="inlineStr">
        <is>
          <t>-</t>
        </is>
      </c>
      <c r="L155"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55" s="15" t="inlineStr"/>
      <c r="N155" s="18" t="inlineStr">
        <is>
          <t>Chưa test</t>
        </is>
      </c>
      <c r="O155" s="15" t="inlineStr"/>
      <c r="P155" s="15" t="inlineStr"/>
      <c r="Q155" s="18" t="inlineStr">
        <is>
          <t>Chưa test</t>
        </is>
      </c>
      <c r="R155" s="15" t="inlineStr"/>
    </row>
    <row r="156" ht="30" customHeight="1">
      <c r="A156" s="14" t="inlineStr">
        <is>
          <t>TC-ADM3-155</t>
        </is>
      </c>
      <c r="B156" s="15" t="inlineStr">
        <is>
          <t>Admin Console (đợt 3: Phân tích, Hỗ trợ, Hệ thống)</t>
        </is>
      </c>
      <c r="C156" s="15" t="inlineStr">
        <is>
          <t>Phân tích · Chuyển đổi (UI)</t>
        </is>
      </c>
      <c r="D156" s="15" t="inlineStr">
        <is>
          <t>Phân tích Chuyển đổi: biểu đồ cột 'Chuyển đổi theo ngày' 3 loạt</t>
        </is>
      </c>
      <c r="E156" s="15" t="inlineStr">
        <is>
          <t>Giao diện</t>
        </is>
      </c>
      <c r="F156" s="20" t="inlineStr">
        <is>
          <t>Trung bình</t>
        </is>
      </c>
      <c r="G156" s="17" t="inlineStr">
        <is>
          <t>Đã hoàn thiện</t>
        </is>
      </c>
      <c r="H156" s="17" t="inlineStr">
        <is>
          <t>Có</t>
        </is>
      </c>
      <c r="I1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56" s="15" t="inlineStr">
        <is>
          <t>1. Đọc biểu đồ 'Chuyển đổi theo ngày'</t>
        </is>
      </c>
      <c r="K156" s="15" t="inlineStr">
        <is>
          <t>-</t>
        </is>
      </c>
      <c r="L156" s="15" t="inlineStr">
        <is>
          <t>3 loạt: 'Đăng ký mới', 'Bắt đầu dùng thử' (xanh dương), 'Chuyển sang trả phí' (xanh lá); mỗi ngày 1 nhóm cột.</t>
        </is>
      </c>
      <c r="M156" s="15" t="inlineStr"/>
      <c r="N156" s="18" t="inlineStr">
        <is>
          <t>Chưa test</t>
        </is>
      </c>
      <c r="O156" s="15" t="inlineStr"/>
      <c r="P156" s="15" t="inlineStr"/>
      <c r="Q156" s="18" t="inlineStr">
        <is>
          <t>Chưa test</t>
        </is>
      </c>
      <c r="R156" s="15" t="inlineStr"/>
    </row>
    <row r="157" ht="30" customHeight="1">
      <c r="A157" s="14" t="inlineStr">
        <is>
          <t>TC-ADM3-156</t>
        </is>
      </c>
      <c r="B157" s="15" t="inlineStr">
        <is>
          <t>Admin Console (đợt 3: Phân tích, Hỗ trợ, Hệ thống)</t>
        </is>
      </c>
      <c r="C157" s="15" t="inlineStr">
        <is>
          <t>Phân tích · Chuyển đổi (UI)</t>
        </is>
      </c>
      <c r="D157" s="15" t="inlineStr">
        <is>
          <t>Phân tích Chuyển đổi: kỳ không có đăng ký thì phễu hiện số 0, không chia cho 0</t>
        </is>
      </c>
      <c r="E157" s="15" t="inlineStr">
        <is>
          <t>Chức năng</t>
        </is>
      </c>
      <c r="F157" s="17" t="inlineStr">
        <is>
          <t>Thấp</t>
        </is>
      </c>
      <c r="G157" s="17" t="inlineStr">
        <is>
          <t>Đã hoàn thiện</t>
        </is>
      </c>
      <c r="H157" s="20" t="inlineStr">
        <is>
          <t>Một phần</t>
        </is>
      </c>
      <c r="I1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57" s="15" t="inlineStr">
        <is>
          <t>1. Mở /admin/analytics/conversion chip 7 ngày khi 7 ngày qua chưa có User mới</t>
        </is>
      </c>
      <c r="K157" s="15" t="inlineStr">
        <is>
          <t>-</t>
        </is>
      </c>
      <c r="L157" s="15" t="inlineStr">
        <is>
          <t>Phễu hiện 0 ở các bước, các tỉ lệ = 0% (không NaN/Infinity/'null%'); thẻ 'Doanh thu / lượt đăng ký' = $0; không lỗi console.</t>
        </is>
      </c>
      <c r="M157" s="15" t="inlineStr"/>
      <c r="N157" s="18" t="inlineStr">
        <is>
          <t>Chưa test</t>
        </is>
      </c>
      <c r="O157" s="15" t="inlineStr"/>
      <c r="P157" s="15" t="inlineStr"/>
      <c r="Q157" s="18" t="inlineStr">
        <is>
          <t>Chưa test</t>
        </is>
      </c>
      <c r="R157" s="15" t="inlineStr"/>
    </row>
    <row r="158" ht="30" customHeight="1">
      <c r="A158" s="14" t="inlineStr">
        <is>
          <t>TC-ADM3-157</t>
        </is>
      </c>
      <c r="B158" s="15" t="inlineStr">
        <is>
          <t>Admin Console (đợt 3: Phân tích, Hỗ trợ, Hệ thống)</t>
        </is>
      </c>
      <c r="C158" s="15" t="inlineStr">
        <is>
          <t>Phân tích · API và cách tính</t>
        </is>
      </c>
      <c r="D158" s="15" t="inlineStr">
        <is>
          <t>Cả 6 endpoint /admin/analytics/* trả khung {range, from, to, kpis, series...} và Kpi {value, previous, changePct}</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58" s="15" t="inlineStr">
        <is>
          <t>1. GET /api/admin/analytics/users, /communities, /engagement, /retention, /revenue, /conversion (không tham số)
2. Kiểm tra từng response</t>
        </is>
      </c>
      <c r="K158" s="15" t="inlineStr">
        <is>
          <t>range mặc định</t>
        </is>
      </c>
      <c r="L158" s="15" t="inlineStr">
        <is>
          <t>Cả 6 trả 200 {data:{range:30, from, to, kpis:{...}}}; mọi KPI có dạng {value, previous, changePct}; from/to là ISO UTC, to = cuối ngày hôm nay (23:59:59.999Z) và from = to - 30 ngày + 1 ms (30 ngày UTC tính cả hôm nay).</t>
        </is>
      </c>
      <c r="M158" s="15" t="inlineStr"/>
      <c r="N158" s="18" t="inlineStr">
        <is>
          <t>Chưa test</t>
        </is>
      </c>
      <c r="O158" s="15" t="inlineStr"/>
      <c r="P158" s="15" t="inlineStr"/>
      <c r="Q158" s="18" t="inlineStr">
        <is>
          <t>Chưa test</t>
        </is>
      </c>
      <c r="R158" s="15" t="inlineStr"/>
    </row>
    <row r="159" ht="45" customHeight="1">
      <c r="A159" s="14" t="inlineStr">
        <is>
          <t>TC-ADM3-158</t>
        </is>
      </c>
      <c r="B159" s="15" t="inlineStr">
        <is>
          <t>Admin Console (đợt 3: Phân tích, Hỗ trợ, Hệ thống)</t>
        </is>
      </c>
      <c r="C159" s="15" t="inlineStr">
        <is>
          <t>Phân tích · API và cách tính</t>
        </is>
      </c>
      <c r="D159" s="15" t="inlineStr">
        <is>
          <t>series[] có đúng 1 phần tử mỗi ngày (điền 0 cho ngày trống) và date dạng YYYY-MM-DD tăng dần</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59" s="15" t="inlineStr">
        <is>
          <t>1. GET /analytics/users?range=7, ?range=30, ?range=90
2. Đếm series.length, kiểm tra date đầu/cuối và thứ tự
3. Lặp cho /engagement, /conversion và /revenue</t>
        </is>
      </c>
      <c r="K159" s="15" t="inlineStr">
        <is>
          <t>range 7/30/90</t>
        </is>
      </c>
      <c r="L159" s="15" t="inlineStr">
        <is>
          <t>series.length = 7 / 30 / 90; date liên tiếp từng ngày UTC không thiếu/trùng, phần tử cuối là hôm nay (UTC); ngày không có sự kiện = 0 (không bỏ trống/null).</t>
        </is>
      </c>
      <c r="M159" s="15" t="inlineStr"/>
      <c r="N159" s="18" t="inlineStr">
        <is>
          <t>Chưa test</t>
        </is>
      </c>
      <c r="O159" s="15" t="inlineStr"/>
      <c r="P159" s="15" t="inlineStr"/>
      <c r="Q159" s="18" t="inlineStr">
        <is>
          <t>Chưa test</t>
        </is>
      </c>
      <c r="R159" s="15" t="inlineStr"/>
    </row>
    <row r="160" ht="90" customHeight="1">
      <c r="A160" s="14" t="inlineStr">
        <is>
          <t>TC-ADM3-159</t>
        </is>
      </c>
      <c r="B160" s="15" t="inlineStr">
        <is>
          <t>Admin Console (đợt 3: Phân tích, Hỗ trợ, Hệ thống)</t>
        </is>
      </c>
      <c r="C160" s="15" t="inlineStr">
        <is>
          <t>Phân tích · API và cách tính</t>
        </is>
      </c>
      <c r="D160" s="15" t="inlineStr">
        <is>
          <t>range không hợp lệ (15, 0, abc, 7.5, rỗng) trả 400; range thiếu mặc định 30</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60" s="15" t="inlineStr">
        <is>
          <t>1. GET /analytics/users?range=15
2. ?range=0
3. ?range=abc
4. ?range=7.5
5. ?range=
6. không có range</t>
        </is>
      </c>
      <c r="K160" s="15" t="inlineStr">
        <is>
          <t>-</t>
        </is>
      </c>
      <c r="L160" s="15" t="inlineStr">
        <is>
          <t>5 lần đầu: 400 VALIDATION_ERROR (chỉ nhận 7|30|90); lần cuối 200 range=30.</t>
        </is>
      </c>
      <c r="M160" s="15" t="inlineStr"/>
      <c r="N160" s="18" t="inlineStr">
        <is>
          <t>Chưa test</t>
        </is>
      </c>
      <c r="O160" s="15" t="inlineStr"/>
      <c r="P160" s="15" t="inlineStr"/>
      <c r="Q160" s="18" t="inlineStr">
        <is>
          <t>Chưa test</t>
        </is>
      </c>
      <c r="R160" s="15" t="inlineStr"/>
    </row>
    <row r="161" ht="45" customHeight="1">
      <c r="A161" s="14" t="inlineStr">
        <is>
          <t>TC-ADM3-160</t>
        </is>
      </c>
      <c r="B161" s="15" t="inlineStr">
        <is>
          <t>Admin Console (đợt 3: Phân tích, Hỗ trợ, Hệ thống)</t>
        </is>
      </c>
      <c r="C161" s="15" t="inlineStr">
        <is>
          <t>Phân tích · API và cách tính</t>
        </is>
      </c>
      <c r="D161" s="15" t="inlineStr">
        <is>
          <t>changePct = null khi kỳ trước bằng 0; làm tròn 1 chữ số thập phân khi có</t>
        </is>
      </c>
      <c r="E161" s="15" t="inlineStr">
        <is>
          <t>Chức năng</t>
        </is>
      </c>
      <c r="F161" s="20" t="inlineStr">
        <is>
          <t>Trung bình</t>
        </is>
      </c>
      <c r="G161" s="17" t="inlineStr">
        <is>
          <t>Đã hoàn thiện</t>
        </is>
      </c>
      <c r="H161" s="20" t="inlineStr">
        <is>
          <t>Một phần</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61" s="15" t="inlineStr">
        <is>
          <t>1. GET /analytics/users?range=7 và đọc kpis.newUsers
2. Tìm KPI có previous=0 (vd conversion hoặc KPI mới)
3. Tự tính (value-previous)/previous*100 làm tròn 1 chữ số</t>
        </is>
      </c>
      <c r="K161" s="15" t="inlineStr">
        <is>
          <t>-</t>
        </is>
      </c>
      <c r="L161" s="15" t="inlineStr">
        <is>
          <t>previous=0 -&gt; changePct=null (FE ẩn %); còn lại changePct khớp công thức, 1 chữ số thập phân. Riêng communities.kpis.suspended có previous=null.</t>
        </is>
      </c>
      <c r="M161" s="15" t="inlineStr"/>
      <c r="N161" s="18" t="inlineStr">
        <is>
          <t>Chưa test</t>
        </is>
      </c>
      <c r="O161" s="15" t="inlineStr"/>
      <c r="P161" s="15" t="inlineStr"/>
      <c r="Q161" s="18" t="inlineStr">
        <is>
          <t>Chưa test</t>
        </is>
      </c>
      <c r="R161" s="15" t="inlineStr"/>
    </row>
    <row r="162" ht="30" customHeight="1">
      <c r="A162" s="14" t="inlineStr">
        <is>
          <t>TC-ADM3-161</t>
        </is>
      </c>
      <c r="B162" s="15" t="inlineStr">
        <is>
          <t>Admin Console (đợt 3: Phân tích, Hỗ trợ, Hệ thống)</t>
        </is>
      </c>
      <c r="C162" s="15" t="inlineStr">
        <is>
          <t>Phân tích · API và cách tính</t>
        </is>
      </c>
      <c r="D162" s="15" t="inlineStr">
        <is>
          <t>Số quá lớn khi kỳ trước gần 0: FE rút gọn dạng 25.3K%</t>
        </is>
      </c>
      <c r="E162" s="15" t="inlineStr">
        <is>
          <t>Giao diện</t>
        </is>
      </c>
      <c r="F162" s="17" t="inlineStr">
        <is>
          <t>Thấp</t>
        </is>
      </c>
      <c r="G162" s="17" t="inlineStr">
        <is>
          <t>Đã hoàn thiện</t>
        </is>
      </c>
      <c r="H162" s="20" t="inlineStr">
        <is>
          <t>Một phần</t>
        </is>
      </c>
      <c r="I1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62" s="15" t="inlineStr">
        <is>
          <t>1. Tìm một KPI có changePct ≥ 1000 (vd tạo dữ liệu mới khi kỳ trước gần 0) trên Phân tích
2. Đọc nhãn %</t>
        </is>
      </c>
      <c r="K162" s="15" t="inlineStr">
        <is>
          <t>-</t>
        </is>
      </c>
      <c r="L162" s="15" t="inlineStr">
        <is>
          <t>FE hiện '+25.3K%' (≥1000 -&gt; K, ≥100 làm tròn số nguyên, còn lại 1 chữ số), không tràn thẻ. Khoảng trống BE: chưa có cờ baselineTooSmall (xem case Kế hoạch).</t>
        </is>
      </c>
      <c r="M162" s="15" t="inlineStr"/>
      <c r="N162" s="18" t="inlineStr">
        <is>
          <t>Chưa test</t>
        </is>
      </c>
      <c r="O162" s="15" t="inlineStr"/>
      <c r="P162" s="15" t="inlineStr"/>
      <c r="Q162" s="18" t="inlineStr">
        <is>
          <t>Chưa test</t>
        </is>
      </c>
      <c r="R162" s="15" t="inlineStr"/>
    </row>
    <row r="163" ht="30" customHeight="1">
      <c r="A163" s="14" t="inlineStr">
        <is>
          <t>TC-ADM3-162</t>
        </is>
      </c>
      <c r="B163" s="15" t="inlineStr">
        <is>
          <t>Admin Console (đợt 3: Phân tích, Hỗ trợ, Hệ thống)</t>
        </is>
      </c>
      <c r="C163" s="15" t="inlineStr">
        <is>
          <t>Phân tích · API và cách tính</t>
        </is>
      </c>
      <c r="D163" s="15" t="inlineStr">
        <is>
          <t>Quyền analytics.view: Moderator và Finance xem được, Support và Content Reviewer bị 403</t>
        </is>
      </c>
      <c r="E163" s="15" t="inlineStr">
        <is>
          <t>Bảo mật</t>
        </is>
      </c>
      <c r="F163" s="16" t="inlineStr">
        <is>
          <t>Cao</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Token moderator@, finance@, support@.</t>
        </is>
      </c>
      <c r="J163" s="15" t="inlineStr">
        <is>
          <t>1. GET /admin/analytics/users bằng token moderator@, finance@, support@</t>
        </is>
      </c>
      <c r="K163" s="15" t="inlineStr">
        <is>
          <t>-</t>
        </is>
      </c>
      <c r="L163" s="15" t="inlineStr">
        <is>
          <t>moderator@ và finance@ 200; support@ 403 'Vai trò Support không có quyền "analytics.view"'.</t>
        </is>
      </c>
      <c r="M163" s="15" t="inlineStr"/>
      <c r="N163" s="18" t="inlineStr">
        <is>
          <t>Chưa test</t>
        </is>
      </c>
      <c r="O163" s="15" t="inlineStr"/>
      <c r="P163" s="15" t="inlineStr"/>
      <c r="Q163" s="18" t="inlineStr">
        <is>
          <t>Chưa test</t>
        </is>
      </c>
      <c r="R163" s="15" t="inlineStr"/>
    </row>
    <row r="164" ht="90" customHeight="1">
      <c r="A164" s="14" t="inlineStr">
        <is>
          <t>TC-ADM3-163</t>
        </is>
      </c>
      <c r="B164" s="15" t="inlineStr">
        <is>
          <t>Admin Console (đợt 3: Phân tích, Hỗ trợ, Hệ thống)</t>
        </is>
      </c>
      <c r="C164" s="15" t="inlineStr">
        <is>
          <t>Phân tích · API và cách tính</t>
        </is>
      </c>
      <c r="D164" s="15" t="inlineStr">
        <is>
          <t>Analytics users đối chiếu SQL: totalUsers, newUsers, DAU/WAU/MAU, segments</t>
        </is>
      </c>
      <c r="E164" s="15" t="inlineStr">
        <is>
          <t>Chức năng</t>
        </is>
      </c>
      <c r="F164" s="16" t="inlineStr">
        <is>
          <t>Cao</t>
        </is>
      </c>
      <c r="G164" s="17" t="inlineStr">
        <is>
          <t>Đã hoàn thiện</t>
        </is>
      </c>
      <c r="H164" s="20" t="inlineStr">
        <is>
          <t>Một phần</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6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64" s="15" t="inlineStr">
        <is>
          <t>range=30</t>
        </is>
      </c>
      <c r="L164" s="15" t="inlineStr">
        <is>
          <t>Mọi số khớp SQL (kpis.*.value, *.previous, segments[].count); tổng segments = totalUsers; pct = count/tổng (làm tròn). Xấp xỉ đã biết: lastUsedAt chỉ giữ lần dùng gần nhất nên ngày cũ có thể thiếu hoạt động đăng nhập.</t>
        </is>
      </c>
      <c r="M164" s="15" t="inlineStr"/>
      <c r="N164" s="18" t="inlineStr">
        <is>
          <t>Chưa test</t>
        </is>
      </c>
      <c r="O164" s="15" t="inlineStr"/>
      <c r="P164" s="15" t="inlineStr"/>
      <c r="Q164" s="18" t="inlineStr">
        <is>
          <t>Chưa test</t>
        </is>
      </c>
      <c r="R164" s="15" t="inlineStr"/>
    </row>
    <row r="165" ht="45" customHeight="1">
      <c r="A165" s="14" t="inlineStr">
        <is>
          <t>TC-ADM3-164</t>
        </is>
      </c>
      <c r="B165" s="15" t="inlineStr">
        <is>
          <t>Admin Console (đợt 3: Phân tích, Hỗ trợ, Hệ thống)</t>
        </is>
      </c>
      <c r="C165" s="15" t="inlineStr">
        <is>
          <t>Phân tích · API và cách tính</t>
        </is>
      </c>
      <c r="D165" s="15" t="inlineStr">
        <is>
          <t>Analytics users phản ánh dữ liệu mới: tạo user mới làm newUsers/totalUsers tăng 1</t>
        </is>
      </c>
      <c r="E165" s="15" t="inlineStr">
        <is>
          <t>Chức năng</t>
        </is>
      </c>
      <c r="F165" s="16" t="inlineStr">
        <is>
          <t>Cao</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65" s="15" t="inlineStr">
        <is>
          <t>1. GET /analytics/users?range=7 ghi totalUsers.value và newUsers.value
2. POST /api/auth/register tạo user mới (email duy nhất)
3. GET /analytics/users?range=7 lại</t>
        </is>
      </c>
      <c r="K165" s="15" t="inlineStr">
        <is>
          <t>user mới</t>
        </is>
      </c>
      <c r="L165" s="15" t="inlineStr">
        <is>
          <t>totalUsers.value +1, newUsers.value +1, series ngày hôm nay (cuối mảng) newUsers +1; mọi KPI không liên quan không đổi nhiều.</t>
        </is>
      </c>
      <c r="M165" s="15" t="inlineStr"/>
      <c r="N165" s="18" t="inlineStr">
        <is>
          <t>Chưa test</t>
        </is>
      </c>
      <c r="O165" s="15" t="inlineStr"/>
      <c r="P165" s="15" t="inlineStr"/>
      <c r="Q165" s="18" t="inlineStr">
        <is>
          <t>Chưa test</t>
        </is>
      </c>
      <c r="R165" s="15" t="inlineStr"/>
    </row>
    <row r="166" ht="60" customHeight="1">
      <c r="A166" s="14" t="inlineStr">
        <is>
          <t>TC-ADM3-165</t>
        </is>
      </c>
      <c r="B166" s="15" t="inlineStr">
        <is>
          <t>Admin Console (đợt 3: Phân tích, Hỗ trợ, Hệ thống)</t>
        </is>
      </c>
      <c r="C166" s="15" t="inlineStr">
        <is>
          <t>Phân tích · API và cách tính</t>
        </is>
      </c>
      <c r="D166" s="15" t="inlineStr">
        <is>
          <t>Analytics communities đối chiếu SQL: total, created, paid, avgMembers, top 10</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6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66" s="15" t="inlineStr">
        <is>
          <t>range=30</t>
        </is>
      </c>
      <c r="L166" s="15" t="inlineStr">
        <is>
          <t>kpis và top[] khớp SQL; top có tối đa 10 phần tử giảm dần theo members; suspended = số cộng đồng đang suspended (previous=null); byCategory tổng = total.</t>
        </is>
      </c>
      <c r="M166" s="15" t="inlineStr"/>
      <c r="N166" s="18" t="inlineStr">
        <is>
          <t>Chưa test</t>
        </is>
      </c>
      <c r="O166" s="15" t="inlineStr"/>
      <c r="P166" s="15" t="inlineStr"/>
      <c r="Q166" s="18" t="inlineStr">
        <is>
          <t>Chưa test</t>
        </is>
      </c>
      <c r="R166" s="15" t="inlineStr"/>
    </row>
    <row r="167" ht="45" customHeight="1">
      <c r="A167" s="14" t="inlineStr">
        <is>
          <t>TC-ADM3-166</t>
        </is>
      </c>
      <c r="B167" s="15" t="inlineStr">
        <is>
          <t>Admin Console (đợt 3: Phân tích, Hỗ trợ, Hệ thống)</t>
        </is>
      </c>
      <c r="C167" s="15" t="inlineStr">
        <is>
          <t>Phân tích · API và cách tính</t>
        </is>
      </c>
      <c r="D167" s="15" t="inlineStr">
        <is>
          <t>Analytics engagement đối chiếu SQL: posts, comments, likes, lessonCompletions, eventParticipation</t>
        </is>
      </c>
      <c r="E167" s="15" t="inlineStr">
        <is>
          <t>Chức năng</t>
        </is>
      </c>
      <c r="F167" s="16" t="inlineStr">
        <is>
          <t>Cao</t>
        </is>
      </c>
      <c r="G167" s="17" t="inlineStr">
        <is>
          <t>Đã hoàn thiện</t>
        </is>
      </c>
      <c r="H167" s="20" t="inlineStr">
        <is>
          <t>Một phần</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67" s="15" t="inlineStr">
        <is>
          <t>1. GET /analytics/engagement?range=30
2. SQL: Post/PostComment/PostLike/EventRsvp theo createdAt trong kỳ; LessonProgress theo completedAt
3. So series[].posts... với SQL theo ngày UTC</t>
        </is>
      </c>
      <c r="K167" s="15" t="inlineStr">
        <is>
          <t>range=30</t>
        </is>
      </c>
      <c r="L167" s="15" t="inlineStr">
        <is>
          <t>kpis.*.value = tổng series tương ứng = SQL; kpis.*.previous = SQL kỳ trước; mix[] gồm posts/comments/likes/completions/rsvps với pct theo tổng.</t>
        </is>
      </c>
      <c r="M167" s="15" t="inlineStr"/>
      <c r="N167" s="18" t="inlineStr">
        <is>
          <t>Chưa test</t>
        </is>
      </c>
      <c r="O167" s="15" t="inlineStr"/>
      <c r="P167" s="15" t="inlineStr"/>
      <c r="Q167" s="18" t="inlineStr">
        <is>
          <t>Chưa test</t>
        </is>
      </c>
      <c r="R167" s="15" t="inlineStr"/>
    </row>
    <row r="168" ht="45" customHeight="1">
      <c r="A168" s="14" t="inlineStr">
        <is>
          <t>TC-ADM3-167</t>
        </is>
      </c>
      <c r="B168" s="15" t="inlineStr">
        <is>
          <t>Admin Console (đợt 3: Phân tích, Hỗ trợ, Hệ thống)</t>
        </is>
      </c>
      <c r="C168" s="15" t="inlineStr">
        <is>
          <t>Phân tích · API và cách tính</t>
        </is>
      </c>
      <c r="D168" s="15" t="inlineStr">
        <is>
          <t>Analytics retention: 6 cohort, tuần chưa đủ thời gian = null, user mới nằm trong cohort tháng hiện tại</t>
        </is>
      </c>
      <c r="E168" s="15" t="inlineStr">
        <is>
          <t>Chức năng</t>
        </is>
      </c>
      <c r="F168" s="16" t="inlineStr">
        <is>
          <t>Cao</t>
        </is>
      </c>
      <c r="G168" s="17" t="inlineStr">
        <is>
          <t>Đã hoàn thiện</t>
        </is>
      </c>
      <c r="H168" s="20" t="inlineStr">
        <is>
          <t>Một phần</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68" s="15" t="inlineStr">
        <is>
          <t>1. GET /analytics/retention?range=30
2. Đếm cohorts (6 phần tử), kiểm tra weeks.wN null ở cohort mới
3. Đăng ký user mới rồi gọi lại, xem users của cohort tháng hiện tại</t>
        </is>
      </c>
      <c r="K168" s="15" t="inlineStr">
        <is>
          <t>-</t>
        </is>
      </c>
      <c r="L168" s="15" t="inlineStr">
        <is>
          <t>cohorts.length = 6 theo tháng đăng ký (nhãn kiểu 'Oct 2026'); cohort mới có w8/w12 = null; users cohort tháng hiện tại +1 sau khi đăng ký; wN là % (0-100). Seed đã rải đăng ký/phiên quay lại nên các cohort cũ có số lẻ khác 0.</t>
        </is>
      </c>
      <c r="M168" s="15" t="inlineStr"/>
      <c r="N168" s="18" t="inlineStr">
        <is>
          <t>Chưa test</t>
        </is>
      </c>
      <c r="O168" s="15" t="inlineStr"/>
      <c r="P168" s="15" t="inlineStr"/>
      <c r="Q168" s="18" t="inlineStr">
        <is>
          <t>Chưa test</t>
        </is>
      </c>
      <c r="R168" s="15" t="inlineStr"/>
    </row>
    <row r="169" ht="60" customHeight="1">
      <c r="A169" s="14" t="inlineStr">
        <is>
          <t>TC-ADM3-168</t>
        </is>
      </c>
      <c r="B169" s="15" t="inlineStr">
        <is>
          <t>Admin Console (đợt 3: Phân tích, Hỗ trợ, Hệ thống)</t>
        </is>
      </c>
      <c r="C169" s="15" t="inlineStr">
        <is>
          <t>Phân tích · API và cách tính</t>
        </is>
      </c>
      <c r="D169" s="15" t="inlineStr">
        <is>
          <t>Analytics retention day7/day30/churn/renewalRate theo định nghĩa</t>
        </is>
      </c>
      <c r="E169" s="15" t="inlineStr">
        <is>
          <t>Chức năng</t>
        </is>
      </c>
      <c r="F169" s="20" t="inlineStr">
        <is>
          <t>Trung bình</t>
        </is>
      </c>
      <c r="G169" s="17" t="inlineStr">
        <is>
          <t>Đã hoàn thiện</t>
        </is>
      </c>
      <c r="H169" s="16" t="inlineStr">
        <is>
          <t>Không</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6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69" s="15" t="inlineStr">
        <is>
          <t>range=90</t>
        </is>
      </c>
      <c r="L169" s="15" t="inlineStr">
        <is>
          <t>Số khớp tính tay trong sai số làm tròn; mọi tỷ lệ trong 0-100; kpis.*.previous hợp lý. Đây là xấp xỉ theo bảng sự kiện hiện có (không có log phiên lịch sử).</t>
        </is>
      </c>
      <c r="M169" s="15" t="inlineStr"/>
      <c r="N169" s="18" t="inlineStr">
        <is>
          <t>Chưa test</t>
        </is>
      </c>
      <c r="O169" s="15" t="inlineStr"/>
      <c r="P169" s="15" t="inlineStr"/>
      <c r="Q169" s="18" t="inlineStr">
        <is>
          <t>Chưa test</t>
        </is>
      </c>
      <c r="R169" s="15" t="inlineStr"/>
    </row>
    <row r="170" ht="90" customHeight="1">
      <c r="A170" s="14" t="inlineStr">
        <is>
          <t>TC-ADM3-169</t>
        </is>
      </c>
      <c r="B170" s="15" t="inlineStr">
        <is>
          <t>Admin Console (đợt 3: Phân tích, Hỗ trợ, Hệ thống)</t>
        </is>
      </c>
      <c r="C170" s="15" t="inlineStr">
        <is>
          <t>Phân tích · API và cách tính</t>
        </is>
      </c>
      <c r="D170" s="15" t="inlineStr">
        <is>
          <t>Analytics revenue đối chiếu SQL: gross, refunds, mrr, arpu, byCommunity, byPlan</t>
        </is>
      </c>
      <c r="E170" s="15" t="inlineStr">
        <is>
          <t>Chức năng</t>
        </is>
      </c>
      <c r="F170" s="16" t="inlineStr">
        <is>
          <t>Cao</t>
        </is>
      </c>
      <c r="G170" s="17" t="inlineStr">
        <is>
          <t>Đã hoàn thiện</t>
        </is>
      </c>
      <c r="H170" s="20" t="inlineStr">
        <is>
          <t>Một phần</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7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70" s="15" t="inlineStr">
        <is>
          <t>range=90</t>
        </is>
      </c>
      <c r="L170" s="15" t="inlineStr">
        <is>
          <t>Mọi số khớp SQL; series[].netCents = gross - refunds; byCommunity.pct tổng ≤ 100%; byPlan chỉ có new_subscription/renewal (hệ thống chỉ có 1 gói theo cộng đồng, không có monthly/annual).</t>
        </is>
      </c>
      <c r="M170" s="15" t="inlineStr"/>
      <c r="N170" s="18" t="inlineStr">
        <is>
          <t>Chưa test</t>
        </is>
      </c>
      <c r="O170" s="15" t="inlineStr"/>
      <c r="P170" s="15" t="inlineStr"/>
      <c r="Q170" s="18" t="inlineStr">
        <is>
          <t>Chưa test</t>
        </is>
      </c>
      <c r="R170" s="15" t="inlineStr"/>
    </row>
    <row r="171" ht="60" customHeight="1">
      <c r="A171" s="14" t="inlineStr">
        <is>
          <t>TC-ADM3-170</t>
        </is>
      </c>
      <c r="B171" s="15" t="inlineStr">
        <is>
          <t>Admin Console (đợt 3: Phân tích, Hỗ trợ, Hệ thống)</t>
        </is>
      </c>
      <c r="C171" s="15" t="inlineStr">
        <is>
          <t>Phân tích · API và cách tính</t>
        </is>
      </c>
      <c r="D171" s="15" t="inlineStr">
        <is>
          <t>Phí nền tảng (platformFeesCents) là xấp xỉ = gross × hoa hồng HIỆN TẠI, đổi theo Cài đặt chung</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71" s="15" t="inlineStr">
        <is>
          <t>1. GET /analytics/revenue?range=90 ghi platformFeesCents và grossCents
2. PATCH /admin/system/settings {payments:{commissionPct:20}}
3. GET /analytics/revenue?range=90 lại
4. POST /admin/system/settings/reset {keys:['payments.commissionPct']}</t>
        </is>
      </c>
      <c r="K171" s="15" t="inlineStr">
        <is>
          <t>commissionPct 10 -&gt; 20</t>
        </is>
      </c>
      <c r="L171" s="15" t="inlineStr">
        <is>
          <t>Trước: platformFeesCents ≈ gross × 10%; sau: ≈ gross × 20% (gấp đôi) cho TOÀN BỘ kỳ - không phải số đã chốt theo từng giao dịch (so với /admin/payments/creators dùng tỷ lệ hiện hành cũng đổi); sau reset về ≈10%.</t>
        </is>
      </c>
      <c r="M171" s="15" t="inlineStr"/>
      <c r="N171" s="18" t="inlineStr">
        <is>
          <t>Chưa test</t>
        </is>
      </c>
      <c r="O171" s="15" t="inlineStr"/>
      <c r="P171" s="15" t="inlineStr"/>
      <c r="Q171" s="18" t="inlineStr">
        <is>
          <t>Chưa test</t>
        </is>
      </c>
      <c r="R171" s="15" t="inlineStr"/>
    </row>
    <row r="172" ht="45" customHeight="1">
      <c r="A172" s="14" t="inlineStr">
        <is>
          <t>TC-ADM3-171</t>
        </is>
      </c>
      <c r="B172" s="15" t="inlineStr">
        <is>
          <t>Admin Console (đợt 3: Phân tích, Hỗ trợ, Hệ thống)</t>
        </is>
      </c>
      <c r="C172" s="15" t="inlineStr">
        <is>
          <t>Phân tích · API và cách tính</t>
        </is>
      </c>
      <c r="D172" s="15" t="inlineStr">
        <is>
          <t>Analytics conversion: phễu signup -&gt; joined -&gt; trial -&gt; paid tính trên nhóm đăng ký trong kỳ</t>
        </is>
      </c>
      <c r="E172" s="15" t="inlineStr">
        <is>
          <t>Chức năng</t>
        </is>
      </c>
      <c r="F172" s="16" t="inlineStr">
        <is>
          <t>Cao</t>
        </is>
      </c>
      <c r="G172" s="17" t="inlineStr">
        <is>
          <t>Đã hoàn thiện</t>
        </is>
      </c>
      <c r="H172" s="20" t="inlineStr">
        <is>
          <t>Một phần</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72" s="15" t="inlineStr">
        <is>
          <t>1. GET /analytics/conversion?range=90
2. SQL signup: User tạo trong kỳ; joined: trong nhóm đó có Enrollment; trial: có Subscription.trialEndsAt; paid: có Payment &gt; 0 thành công (bất kể thời điểm)
3. pctOfFirst = count/signup</t>
        </is>
      </c>
      <c r="K172" s="15" t="inlineStr">
        <is>
          <t>range=90</t>
        </is>
      </c>
      <c r="L172" s="15" t="inlineStr">
        <is>
          <t>funnel có đúng 4 key signup/joined/trial/paid, pctOfFirst của signup = 100; không có bước 'visit'; signupToJoinPct = joined/signup...; KPI khớp SQL.</t>
        </is>
      </c>
      <c r="M172" s="15" t="inlineStr"/>
      <c r="N172" s="18" t="inlineStr">
        <is>
          <t>Chưa test</t>
        </is>
      </c>
      <c r="O172" s="15" t="inlineStr"/>
      <c r="P172" s="15" t="inlineStr"/>
      <c r="Q172" s="18" t="inlineStr">
        <is>
          <t>Chưa test</t>
        </is>
      </c>
      <c r="R172" s="15" t="inlineStr"/>
    </row>
    <row r="173" ht="45" customHeight="1">
      <c r="A173" s="14" t="inlineStr">
        <is>
          <t>TC-ADM3-172</t>
        </is>
      </c>
      <c r="B173" s="15" t="inlineStr">
        <is>
          <t>Admin Console (đợt 3: Phân tích, Hỗ trợ, Hệ thống)</t>
        </is>
      </c>
      <c r="C173" s="15" t="inlineStr">
        <is>
          <t>Phân tích · API và cách tính</t>
        </is>
      </c>
      <c r="D173" s="15" t="inlineStr">
        <is>
          <t>Analytics revenue/conversion phản ánh giao dịch mới: thanh toán thành công làm gross tăng</t>
        </is>
      </c>
      <c r="E173" s="15" t="inlineStr">
        <is>
          <t>Chức năng</t>
        </is>
      </c>
      <c r="F173" s="16" t="inlineStr">
        <is>
          <t>Cao</t>
        </is>
      </c>
      <c r="G173" s="17" t="inlineStr">
        <is>
          <t>Đã hoàn thiện</t>
        </is>
      </c>
      <c r="H173" s="20" t="inlineStr">
        <is>
          <t>Một phần</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73" s="15" t="inlineStr">
        <is>
          <t>1. GET /analytics/revenue?range=7 ghi grossCents
2. newbie@: POST /api/courses/paid-demo/checkout rồi POST /api/payments/&lt;intent&gt;/confirm
3. GET /analytics/revenue?range=7 và /conversion lại</t>
        </is>
      </c>
      <c r="K173" s="15" t="inlineStr">
        <is>
          <t>newbie@, paid-demo $19</t>
        </is>
      </c>
      <c r="L173" s="15" t="inlineStr">
        <is>
          <t>grossCents tăng $19 (1900 cent) ở ngày hôm nay, byPlan.new_subscription tăng; conversion: paid/signupToPaidPct có thể tăng nếu newbie thuộc nhóm đăng ký trong kỳ.</t>
        </is>
      </c>
      <c r="M173" s="15" t="inlineStr"/>
      <c r="N173" s="18" t="inlineStr">
        <is>
          <t>Chưa test</t>
        </is>
      </c>
      <c r="O173" s="15" t="inlineStr"/>
      <c r="P173" s="15" t="inlineStr"/>
      <c r="Q173" s="18" t="inlineStr">
        <is>
          <t>Chưa test</t>
        </is>
      </c>
      <c r="R173" s="15" t="inlineStr"/>
    </row>
    <row r="174" ht="30" customHeight="1">
      <c r="A174" s="14" t="inlineStr">
        <is>
          <t>TC-ADM3-173</t>
        </is>
      </c>
      <c r="B174" s="15" t="inlineStr">
        <is>
          <t>Admin Console (đợt 3: Phân tích, Hỗ trợ, Hệ thống)</t>
        </is>
      </c>
      <c r="C174" s="15" t="inlineStr">
        <is>
          <t>Phân tích · API và cách tính</t>
        </is>
      </c>
      <c r="D174" s="15" t="inlineStr">
        <is>
          <t>Không có CSV/Xuất cho Phân tích (nút bị ẩn, không có endpoint)</t>
        </is>
      </c>
      <c r="E174" s="15" t="inlineStr">
        <is>
          <t>Chức năng</t>
        </is>
      </c>
      <c r="F174" s="17" t="inlineStr">
        <is>
          <t>Thấp</t>
        </is>
      </c>
      <c r="G174" s="17" t="inlineStr">
        <is>
          <t>Đã hoàn thiện</t>
        </is>
      </c>
      <c r="H174" s="20" t="inlineStr">
        <is>
          <t>Một phần</t>
        </is>
      </c>
      <c r="I1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4" s="15" t="inlineStr">
        <is>
          <t>1. Mở từng trang Phân tích, tìm nút 'Xuất' / Download CSV
2. GET /api/admin/analytics/users/export</t>
        </is>
      </c>
      <c r="K174" s="15" t="inlineStr">
        <is>
          <t>-</t>
        </is>
      </c>
      <c r="L174" s="15" t="inlineStr">
        <is>
          <t>HIỆN TẠI: không có nút Xuất ở 6 trang và endpoint export không tồn tại (khoảng trống đã biết - xem case Kế hoạch).</t>
        </is>
      </c>
      <c r="M174" s="15" t="inlineStr"/>
      <c r="N174" s="18" t="inlineStr">
        <is>
          <t>Chưa test</t>
        </is>
      </c>
      <c r="O174" s="15" t="inlineStr"/>
      <c r="P174" s="15" t="inlineStr"/>
      <c r="Q174" s="18" t="inlineStr">
        <is>
          <t>Chưa test</t>
        </is>
      </c>
      <c r="R174" s="15" t="inlineStr"/>
    </row>
    <row r="175" ht="30" customHeight="1">
      <c r="A175" s="14" t="inlineStr">
        <is>
          <t>TC-ADM3-174</t>
        </is>
      </c>
      <c r="B175" s="15" t="inlineStr">
        <is>
          <t>Admin Console (đợt 3: Phân tích, Hỗ trợ, Hệ thống)</t>
        </is>
      </c>
      <c r="C175" s="15" t="inlineStr">
        <is>
          <t>Phân tích · API và cách tính</t>
        </is>
      </c>
      <c r="D175" s="15" t="inlineStr">
        <is>
          <t>Hiệu năng Phân tích: 6 endpoint tính trực tiếp bằng SQL phản hồi dưới 3 giây trên seed</t>
        </is>
      </c>
      <c r="E175" s="15" t="inlineStr">
        <is>
          <t>Hiệu năng</t>
        </is>
      </c>
      <c r="F175" s="20" t="inlineStr">
        <is>
          <t>Trung bình</t>
        </is>
      </c>
      <c r="G175" s="17" t="inlineStr">
        <is>
          <t>Đã hoàn thiện</t>
        </is>
      </c>
      <c r="H175" s="16" t="inlineStr">
        <is>
          <t>Không</t>
        </is>
      </c>
      <c r="I1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75" s="15" t="inlineStr">
        <is>
          <t>1. Đo thời gian GET /analytics/{users,communities,engagement,retention,revenue,conversion}?range=90 (mỗi cái 3 lần)</t>
        </is>
      </c>
      <c r="K175" s="15" t="inlineStr">
        <is>
          <t>range=90</t>
        </is>
      </c>
      <c r="L175" s="15" t="inlineStr">
        <is>
          <t>Mỗi request &lt; 3 giây trên DB seed (≈1,5K người dùng); không có bảng tổng hợp/cache nên chi phí tăng theo dữ liệu - theo dõi khi số bản ghi hoạt động lên hàng triệu.</t>
        </is>
      </c>
      <c r="M175" s="15" t="inlineStr"/>
      <c r="N175" s="18" t="inlineStr">
        <is>
          <t>Chưa test</t>
        </is>
      </c>
      <c r="O175" s="15" t="inlineStr"/>
      <c r="P175" s="15" t="inlineStr"/>
      <c r="Q175" s="18" t="inlineStr">
        <is>
          <t>Chưa test</t>
        </is>
      </c>
      <c r="R175" s="15" t="inlineStr"/>
    </row>
    <row r="176" ht="45" customHeight="1">
      <c r="A176" s="14" t="inlineStr">
        <is>
          <t>TC-ADM3-175</t>
        </is>
      </c>
      <c r="B176" s="15" t="inlineStr">
        <is>
          <t>Admin Console (đợt 3: Phân tích, Hỗ trợ, Hệ thống)</t>
        </is>
      </c>
      <c r="C176" s="15" t="inlineStr">
        <is>
          <t>Hỗ trợ · danh sách ticket (UI)</t>
        </is>
      </c>
      <c r="D176" s="15" t="inlineStr">
        <is>
          <t>Trang 'Ticket hỗ trợ': tiêu đề, nút 'Tạo ticket', 4 thẻ KPI đúng số seed</t>
        </is>
      </c>
      <c r="E176" s="15" t="inlineStr">
        <is>
          <t>Giao diện</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76" s="15" t="inlineStr">
        <is>
          <t>1. Mở /admin/support/tickets
2. Đọc 4 thẻ KPI
3. Đối chiếu GET /api/admin/support/summary</t>
        </is>
      </c>
      <c r="K176" s="15" t="inlineStr">
        <is>
          <t>-</t>
        </is>
      </c>
      <c r="L17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76" s="15" t="inlineStr"/>
      <c r="N176" s="18" t="inlineStr">
        <is>
          <t>Chưa test</t>
        </is>
      </c>
      <c r="O176" s="15" t="inlineStr"/>
      <c r="P176" s="15" t="inlineStr"/>
      <c r="Q176" s="18" t="inlineStr">
        <is>
          <t>Chưa test</t>
        </is>
      </c>
      <c r="R176" s="15" t="inlineStr"/>
    </row>
    <row r="177" ht="30" customHeight="1">
      <c r="A177" s="14" t="inlineStr">
        <is>
          <t>TC-ADM3-176</t>
        </is>
      </c>
      <c r="B177" s="15" t="inlineStr">
        <is>
          <t>Admin Console (đợt 3: Phân tích, Hỗ trợ, Hệ thống)</t>
        </is>
      </c>
      <c r="C177" s="15" t="inlineStr">
        <is>
          <t>Hỗ trợ · danh sách ticket (UI)</t>
        </is>
      </c>
      <c r="D177" s="15" t="inlineStr">
        <is>
          <t>Trang 'Ticket hỗ trợ': các cột bảng và định dạng một dòng (T-2004)</t>
        </is>
      </c>
      <c r="E177" s="15" t="inlineStr">
        <is>
          <t>Giao diện</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77" s="15" t="inlineStr">
        <is>
          <t>1. Ô tìm kiếm gõ 'T-2004'
2. Đọc dòng kết quả</t>
        </is>
      </c>
      <c r="K177" s="15" t="inlineStr">
        <is>
          <t>T-2004</t>
        </is>
      </c>
      <c r="L17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77" s="15" t="inlineStr"/>
      <c r="N177" s="18" t="inlineStr">
        <is>
          <t>Chưa test</t>
        </is>
      </c>
      <c r="O177" s="15" t="inlineStr"/>
      <c r="P177" s="15" t="inlineStr"/>
      <c r="Q177" s="18" t="inlineStr">
        <is>
          <t>Chưa test</t>
        </is>
      </c>
      <c r="R177" s="15" t="inlineStr"/>
    </row>
    <row r="178" ht="45" customHeight="1">
      <c r="A178" s="14" t="inlineStr">
        <is>
          <t>TC-ADM3-177</t>
        </is>
      </c>
      <c r="B178" s="15" t="inlineStr">
        <is>
          <t>Admin Console (đợt 3: Phân tích, Hỗ trợ, Hệ thống)</t>
        </is>
      </c>
      <c r="C178" s="15" t="inlineStr">
        <is>
          <t>Hỗ trợ · danh sách ticket (UI)</t>
        </is>
      </c>
      <c r="D178" s="15" t="inlineStr">
        <is>
          <t>Tab trạng thái: Tất cả / Mới / Đang mở / Chờ phản hồi / Đã xử lý (không có tab 'Đã đóng', không hiện số đếm)</t>
        </is>
      </c>
      <c r="E178" s="15" t="inlineStr">
        <is>
          <t>Giao diện</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78" s="15" t="inlineStr">
        <is>
          <t>1. Mở /admin/support/tickets
2. Bấm lần lượt 5 tab, đếm tổng ở chân bảng
3. Tìm T-2007 (Đã đóng) trong từng tab</t>
        </is>
      </c>
      <c r="K178" s="15" t="inlineStr">
        <is>
          <t>-</t>
        </is>
      </c>
      <c r="L17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78" s="15" t="inlineStr"/>
      <c r="N178" s="18" t="inlineStr">
        <is>
          <t>Chưa test</t>
        </is>
      </c>
      <c r="O178" s="15" t="inlineStr"/>
      <c r="P178" s="15" t="inlineStr"/>
      <c r="Q178" s="18" t="inlineStr">
        <is>
          <t>Chưa test</t>
        </is>
      </c>
      <c r="R178" s="15" t="inlineStr"/>
    </row>
    <row r="179" ht="60" customHeight="1">
      <c r="A179" s="14" t="inlineStr">
        <is>
          <t>TC-ADM3-178</t>
        </is>
      </c>
      <c r="B179" s="15" t="inlineStr">
        <is>
          <t>Admin Console (đợt 3: Phân tích, Hỗ trợ, Hệ thống)</t>
        </is>
      </c>
      <c r="C179" s="15" t="inlineStr">
        <is>
          <t>Hỗ trợ · danh sách ticket (UI)</t>
        </is>
      </c>
      <c r="D179" s="15" t="inlineStr">
        <is>
          <t>Trang 'Vấn đề người dùng/creator/thanh toán' lọc đúng nhóm và ẩn cột 'Nhóm'</t>
        </is>
      </c>
      <c r="E179" s="15" t="inlineStr">
        <is>
          <t>Chức năng</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79" s="15" t="inlineStr">
        <is>
          <t>1. Mở /admin/support/user, đọc tổng và các cột
2. Mở /admin/support/creator
3. Mở /admin/support/payment
4. Đọc tiêu đề và thẻ 'Đang mở (…)'</t>
        </is>
      </c>
      <c r="K179" s="15" t="inlineStr">
        <is>
          <t>-</t>
        </is>
      </c>
      <c r="L17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79" s="15" t="inlineStr"/>
      <c r="N179" s="18" t="inlineStr">
        <is>
          <t>Chưa test</t>
        </is>
      </c>
      <c r="O179" s="15" t="inlineStr"/>
      <c r="P179" s="15" t="inlineStr"/>
      <c r="Q179" s="18" t="inlineStr">
        <is>
          <t>Chưa test</t>
        </is>
      </c>
      <c r="R179" s="15" t="inlineStr"/>
    </row>
    <row r="180" ht="60" customHeight="1">
      <c r="A180" s="14" t="inlineStr">
        <is>
          <t>TC-ADM3-179</t>
        </is>
      </c>
      <c r="B180" s="15" t="inlineStr">
        <is>
          <t>Admin Console (đợt 3: Phân tích, Hỗ trợ, Hệ thống)</t>
        </is>
      </c>
      <c r="C180" s="15" t="inlineStr">
        <is>
          <t>Hỗ trợ · danh sách ticket (UI)</t>
        </is>
      </c>
      <c r="D180" s="15" t="inlineStr">
        <is>
          <t>Tìm ticket theo chủ đề, tên/email người gửi và mã T-xxxx</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80" s="15" t="inlineStr">
        <is>
          <t>1. Gõ 'avatar' vào ô 'Tìm ticket...'
2. Xóa, gõ 'daniel'
3. Xóa, gõ 'sarah@sofinhub.test'
4. Xóa, gõ 't-2014' (chữ thường)</t>
        </is>
      </c>
      <c r="K180" s="15" t="inlineStr">
        <is>
          <t>avatar | daniel | sarah@sofinhub.test | t-2014</t>
        </is>
      </c>
      <c r="L18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80" s="15" t="inlineStr"/>
      <c r="N180" s="18" t="inlineStr">
        <is>
          <t>Chưa test</t>
        </is>
      </c>
      <c r="O180" s="15" t="inlineStr"/>
      <c r="P180" s="15" t="inlineStr"/>
      <c r="Q180" s="18" t="inlineStr">
        <is>
          <t>Chưa test</t>
        </is>
      </c>
      <c r="R180" s="15" t="inlineStr"/>
    </row>
    <row r="181" ht="30" customHeight="1">
      <c r="A181" s="14" t="inlineStr">
        <is>
          <t>TC-ADM3-180</t>
        </is>
      </c>
      <c r="B181" s="15" t="inlineStr">
        <is>
          <t>Admin Console (đợt 3: Phân tích, Hỗ trợ, Hệ thống)</t>
        </is>
      </c>
      <c r="C181" s="15" t="inlineStr">
        <is>
          <t>Hỗ trợ · danh sách ticket (UI)</t>
        </is>
      </c>
      <c r="D181" s="15" t="inlineStr">
        <is>
          <t>Tìm ticket không có kết quả: 'Không có ticket nào.' và bộ lọc 'Xóa bộ lọc'</t>
        </is>
      </c>
      <c r="E181" s="15" t="inlineStr">
        <is>
          <t>Giao diện</t>
        </is>
      </c>
      <c r="F181" s="17" t="inlineStr">
        <is>
          <t>Thấp</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81" s="15" t="inlineStr">
        <is>
          <t>1. Gõ 'zzzkhongcoketqua123'
2. Chọn lọc Ưu tiên 'Khẩn cấp' rồi bấm 'Xóa bộ lọc'</t>
        </is>
      </c>
      <c r="K181" s="15" t="inlineStr">
        <is>
          <t>zzzkhongcoketqua123</t>
        </is>
      </c>
      <c r="L181" s="15" t="inlineStr">
        <is>
          <t>Bảng hiện 'Không có ticket nào.'; KPI không đổi; 'Xóa bộ lọc' đưa bộ lọc ưu tiên/phụ trách về rỗng và về trang 1.</t>
        </is>
      </c>
      <c r="M181" s="15" t="inlineStr"/>
      <c r="N181" s="18" t="inlineStr">
        <is>
          <t>Chưa test</t>
        </is>
      </c>
      <c r="O181" s="15" t="inlineStr"/>
      <c r="P181" s="15" t="inlineStr"/>
      <c r="Q181" s="18" t="inlineStr">
        <is>
          <t>Chưa test</t>
        </is>
      </c>
      <c r="R181" s="15" t="inlineStr"/>
    </row>
    <row r="182" ht="60" customHeight="1">
      <c r="A182" s="14" t="inlineStr">
        <is>
          <t>TC-ADM3-181</t>
        </is>
      </c>
      <c r="B182" s="15" t="inlineStr">
        <is>
          <t>Admin Console (đợt 3: Phân tích, Hỗ trợ, Hệ thống)</t>
        </is>
      </c>
      <c r="C182" s="15" t="inlineStr">
        <is>
          <t>Hỗ trợ · danh sách ticket (UI)</t>
        </is>
      </c>
      <c r="D182" s="15" t="inlineStr">
        <is>
          <t>Lọc theo Ưu tiên (Thấp/Trung bình/Cao/Khẩn cấp) và theo Phụ trách (Của tôi/Chưa giao/tên)</t>
        </is>
      </c>
      <c r="E182" s="15" t="inlineStr">
        <is>
          <t>Chức năng</t>
        </is>
      </c>
      <c r="F182" s="16" t="inlineStr">
        <is>
          <t>Cao</t>
        </is>
      </c>
      <c r="G182" s="17" t="inlineStr">
        <is>
          <t>Đã hoàn thiện</t>
        </is>
      </c>
      <c r="H182" s="17" t="inlineStr">
        <is>
          <t>Có</t>
        </is>
      </c>
      <c r="I18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82" s="15" t="inlineStr">
        <is>
          <t>1. Lọc Ưu tiên = 'Khẩn cấp'
2. Xóa, lọc Phụ trách = 'Chưa giao'
3. Phụ trách = 'Của tôi' (đăng nhập support@)
4. Phụ trách = 'Tom Baker'</t>
        </is>
      </c>
      <c r="K182" s="15" t="inlineStr">
        <is>
          <t>-</t>
        </is>
      </c>
      <c r="L18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82" s="15" t="inlineStr"/>
      <c r="N182" s="18" t="inlineStr">
        <is>
          <t>Chưa test</t>
        </is>
      </c>
      <c r="O182" s="15" t="inlineStr"/>
      <c r="P182" s="15" t="inlineStr"/>
      <c r="Q182" s="18" t="inlineStr">
        <is>
          <t>Chưa test</t>
        </is>
      </c>
      <c r="R182" s="15" t="inlineStr"/>
    </row>
    <row r="183" ht="45" customHeight="1">
      <c r="A183" s="14" t="inlineStr">
        <is>
          <t>TC-ADM3-182</t>
        </is>
      </c>
      <c r="B183" s="15" t="inlineStr">
        <is>
          <t>Admin Console (đợt 3: Phân tích, Hỗ trợ, Hệ thống)</t>
        </is>
      </c>
      <c r="C183" s="15" t="inlineStr">
        <is>
          <t>Hỗ trợ · danh sách ticket (UI)</t>
        </is>
      </c>
      <c r="D183" s="15" t="inlineStr">
        <is>
          <t>Sắp xếp mặc định theo hoạt động gần nhất và phân trang 15 dòng/trang</t>
        </is>
      </c>
      <c r="E183" s="15" t="inlineStr">
        <is>
          <t>Chức năng</t>
        </is>
      </c>
      <c r="F183" s="20" t="inlineStr">
        <is>
          <t>Trung bình</t>
        </is>
      </c>
      <c r="G183" s="17" t="inlineStr">
        <is>
          <t>Đã hoàn thiện</t>
        </is>
      </c>
      <c r="H183" s="17" t="inlineStr">
        <is>
          <t>Có</t>
        </is>
      </c>
      <c r="I18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83" s="15" t="inlineStr">
        <is>
          <t>1. Mở /admin/support/tickets, đọc dòng đầu
2. Bấm 'Trang sau'
3. Bấm 'Trang trước'</t>
        </is>
      </c>
      <c r="K183" s="15" t="inlineStr">
        <is>
          <t>-</t>
        </is>
      </c>
      <c r="L18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83" s="15" t="inlineStr"/>
      <c r="N183" s="18" t="inlineStr">
        <is>
          <t>Chưa test</t>
        </is>
      </c>
      <c r="O183" s="15" t="inlineStr"/>
      <c r="P183" s="15" t="inlineStr"/>
      <c r="Q183" s="18" t="inlineStr">
        <is>
          <t>Chưa test</t>
        </is>
      </c>
      <c r="R183" s="15" t="inlineStr"/>
    </row>
    <row r="184" ht="75" customHeight="1">
      <c r="A184" s="14" t="inlineStr">
        <is>
          <t>TC-ADM3-183</t>
        </is>
      </c>
      <c r="B184" s="15" t="inlineStr">
        <is>
          <t>Admin Console (đợt 3: Phân tích, Hỗ trợ, Hệ thống)</t>
        </is>
      </c>
      <c r="C184" s="15" t="inlineStr">
        <is>
          <t>Hỗ trợ · danh sách ticket (UI)</t>
        </is>
      </c>
      <c r="D184" s="15" t="inlineStr">
        <is>
          <t>Menu thao tác dòng theo trạng thái: mở -&gt; Trả lời/Nhận xử lý/Giao cho…/Đã xử lý/Chuyển cấp trên; đã xử lý/đóng -&gt; Xem/Mở lại</t>
        </is>
      </c>
      <c r="E184" s="15" t="inlineStr">
        <is>
          <t>Chức năng</t>
        </is>
      </c>
      <c r="F184" s="16" t="inlineStr">
        <is>
          <t>Cao</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84" s="15" t="inlineStr">
        <is>
          <t>1. Mở menu dòng T-2002 (Mới, chưa giao)
2. Mở menu T-2001 (Đang mở, có người phụ trách)
3. Mở menu T-2004 (đã chuyển cấp)
4. Mở menu T-2005 (Đã xử lý)
5. Mở menu T-2007 (Đã đóng)</t>
        </is>
      </c>
      <c r="K184" s="15" t="inlineStr">
        <is>
          <t>-</t>
        </is>
      </c>
      <c r="L18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84" s="15" t="inlineStr"/>
      <c r="N184" s="18" t="inlineStr">
        <is>
          <t>Chưa test</t>
        </is>
      </c>
      <c r="O184" s="15" t="inlineStr"/>
      <c r="P184" s="15" t="inlineStr"/>
      <c r="Q184" s="18" t="inlineStr">
        <is>
          <t>Chưa test</t>
        </is>
      </c>
      <c r="R184" s="15" t="inlineStr"/>
    </row>
    <row r="185" ht="45" customHeight="1">
      <c r="A185" s="14" t="inlineStr">
        <is>
          <t>TC-ADM3-184</t>
        </is>
      </c>
      <c r="B185" s="15" t="inlineStr">
        <is>
          <t>Admin Console (đợt 3: Phân tích, Hỗ trợ, Hệ thống)</t>
        </is>
      </c>
      <c r="C185" s="15" t="inlineStr">
        <is>
          <t>Hỗ trợ · danh sách ticket (UI)</t>
        </is>
      </c>
      <c r="D185" s="15" t="inlineStr">
        <is>
          <t>Nhận xử lý ticket chưa giao: toast, cột Phụ trách đổi, trạng thái Mới -&gt; Đang mở</t>
        </is>
      </c>
      <c r="E185" s="15" t="inlineStr">
        <is>
          <t>Chức năng</t>
        </is>
      </c>
      <c r="F185" s="16" t="inlineStr">
        <is>
          <t>Cao</t>
        </is>
      </c>
      <c r="G185" s="17" t="inlineStr">
        <is>
          <t>Đã hoàn thiện</t>
        </is>
      </c>
      <c r="H185" s="17" t="inlineStr">
        <is>
          <t>Có</t>
        </is>
      </c>
      <c r="I18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85" s="15" t="inlineStr">
        <is>
          <t>1. Menu dòng T-2002 (Mới, chưa giao) &gt; 'Nhận xử lý'
2. Quan sát toast và dòng
3. Mở chi tiết T-2002 xem hội thoại</t>
        </is>
      </c>
      <c r="K185" s="15" t="inlineStr">
        <is>
          <t>T-2002</t>
        </is>
      </c>
      <c r="L185" s="15" t="inlineStr">
        <is>
          <t>Toast 'Bạn đã nhận xử lý T-2002'; cột Phụ trách = Ryan Cho; trạng thái 'Đang mở'; hội thoại có dòng hệ thống 'Đã giao cho Ryan Cho'; audit support.ticket.assign.</t>
        </is>
      </c>
      <c r="M185" s="15" t="inlineStr"/>
      <c r="N185" s="18" t="inlineStr">
        <is>
          <t>Chưa test</t>
        </is>
      </c>
      <c r="O185" s="15" t="inlineStr"/>
      <c r="P185" s="15" t="inlineStr"/>
      <c r="Q185" s="18" t="inlineStr">
        <is>
          <t>Chưa test</t>
        </is>
      </c>
      <c r="R185" s="15" t="inlineStr"/>
    </row>
    <row r="186" ht="60" customHeight="1">
      <c r="A186" s="14" t="inlineStr">
        <is>
          <t>TC-ADM3-185</t>
        </is>
      </c>
      <c r="B186" s="15" t="inlineStr">
        <is>
          <t>Admin Console (đợt 3: Phân tích, Hỗ trợ, Hệ thống)</t>
        </is>
      </c>
      <c r="C186" s="15" t="inlineStr">
        <is>
          <t>Hỗ trợ · danh sách ticket (UI)</t>
        </is>
      </c>
      <c r="D186" s="15" t="inlineStr">
        <is>
          <t>Giao ticket cho người khác và bỏ giao qua dialog 'Giao ticket · T-xxxx'</t>
        </is>
      </c>
      <c r="E186" s="15" t="inlineStr">
        <is>
          <t>Chức năng</t>
        </is>
      </c>
      <c r="F186" s="16" t="inlineStr">
        <is>
          <t>Cao</t>
        </is>
      </c>
      <c r="G186" s="17" t="inlineStr">
        <is>
          <t>Đã hoàn thiện</t>
        </is>
      </c>
      <c r="H186" s="17" t="inlineStr">
        <is>
          <t>Có</t>
        </is>
      </c>
      <c r="I18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86" s="15" t="inlineStr">
        <is>
          <t>1. Menu dòng T-2001 &gt; 'Giao cho…'
2. Chọn chip 'Tom Baker' &gt; 'Lưu'
3. Mở lại dialog, chọn 'Bỏ gán' &gt; 'Lưu'
4. Quan sát nút 'Lưu' khi chưa chọn gì (ticket chưa giao)</t>
        </is>
      </c>
      <c r="K186" s="15" t="inlineStr">
        <is>
          <t>T-2001</t>
        </is>
      </c>
      <c r="L18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86" s="15" t="inlineStr"/>
      <c r="N186" s="18" t="inlineStr">
        <is>
          <t>Chưa test</t>
        </is>
      </c>
      <c r="O186" s="15" t="inlineStr"/>
      <c r="P186" s="15" t="inlineStr"/>
      <c r="Q186" s="18" t="inlineStr">
        <is>
          <t>Chưa test</t>
        </is>
      </c>
      <c r="R186" s="15" t="inlineStr"/>
    </row>
    <row r="187" ht="30" customHeight="1">
      <c r="A187" s="14" t="inlineStr">
        <is>
          <t>TC-ADM3-186</t>
        </is>
      </c>
      <c r="B187" s="15" t="inlineStr">
        <is>
          <t>Admin Console (đợt 3: Phân tích, Hỗ trợ, Hệ thống)</t>
        </is>
      </c>
      <c r="C187" s="15" t="inlineStr">
        <is>
          <t>Hỗ trợ · danh sách ticket (UI)</t>
        </is>
      </c>
      <c r="D187" s="15" t="inlineStr">
        <is>
          <t>Dialog 'Giao ticket' chỉ liệt kê nhân viên có quyền support.manage (không có Moderator/Finance)</t>
        </is>
      </c>
      <c r="E187" s="15" t="inlineStr">
        <is>
          <t>Chức năng</t>
        </is>
      </c>
      <c r="F187" s="20" t="inlineStr">
        <is>
          <t>Trung bình</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87" s="15" t="inlineStr">
        <is>
          <t>1. Mở dialog Giao cho… ở bất kỳ ticket mở
2. Đọc danh sách chip</t>
        </is>
      </c>
      <c r="K187" s="15" t="inlineStr">
        <is>
          <t>-</t>
        </is>
      </c>
      <c r="L187" s="15" t="inlineStr">
        <is>
          <t>Chip gồm: Bỏ gán, Ryan Cho (Support), Tom Baker (Support), Platform Admin (Super Admin env). KHÔNG có moderator@, finance@, nina@ (suspended), john, mia.</t>
        </is>
      </c>
      <c r="M187" s="15" t="inlineStr"/>
      <c r="N187" s="18" t="inlineStr">
        <is>
          <t>Chưa test</t>
        </is>
      </c>
      <c r="O187" s="15" t="inlineStr"/>
      <c r="P187" s="15" t="inlineStr"/>
      <c r="Q187" s="18" t="inlineStr">
        <is>
          <t>Chưa test</t>
        </is>
      </c>
      <c r="R187" s="15" t="inlineStr"/>
    </row>
    <row r="188" ht="45" customHeight="1">
      <c r="A188" s="14" t="inlineStr">
        <is>
          <t>TC-ADM3-187</t>
        </is>
      </c>
      <c r="B188" s="15" t="inlineStr">
        <is>
          <t>Admin Console (đợt 3: Phân tích, Hỗ trợ, Hệ thống)</t>
        </is>
      </c>
      <c r="C188" s="15" t="inlineStr">
        <is>
          <t>Hỗ trợ · danh sách ticket (UI)</t>
        </is>
      </c>
      <c r="D188" s="15" t="inlineStr">
        <is>
          <t>Đánh dấu đã xử lý từ dialog: tiêu đề, ghi chú tùy chọn, toast, trạng thái</t>
        </is>
      </c>
      <c r="E188" s="15" t="inlineStr">
        <is>
          <t>Chức năng</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88" s="15" t="inlineStr">
        <is>
          <t>1. Menu dòng T-2008 &gt; 'Đã xử lý'
2. Nhập ghi chú 'Đã kiểm tra, upload ổn' và bấm 'Đã xử lý'
3. Mở chi tiết T-2008</t>
        </is>
      </c>
      <c r="K188" s="15" t="inlineStr">
        <is>
          <t>T-2008</t>
        </is>
      </c>
      <c r="L18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88" s="15" t="inlineStr"/>
      <c r="N188" s="18" t="inlineStr">
        <is>
          <t>Chưa test</t>
        </is>
      </c>
      <c r="O188" s="15" t="inlineStr"/>
      <c r="P188" s="15" t="inlineStr"/>
      <c r="Q188" s="18" t="inlineStr">
        <is>
          <t>Chưa test</t>
        </is>
      </c>
      <c r="R188" s="15" t="inlineStr"/>
    </row>
    <row r="189" ht="45" customHeight="1">
      <c r="A189" s="14" t="inlineStr">
        <is>
          <t>TC-ADM3-188</t>
        </is>
      </c>
      <c r="B189" s="15" t="inlineStr">
        <is>
          <t>Admin Console (đợt 3: Phân tích, Hỗ trợ, Hệ thống)</t>
        </is>
      </c>
      <c r="C189" s="15" t="inlineStr">
        <is>
          <t>Hỗ trợ · danh sách ticket (UI)</t>
        </is>
      </c>
      <c r="D189" s="15" t="inlineStr">
        <is>
          <t>Chuyển cấp trên: bắt buộc lý do, toast, nâng ưu tiên lên Khẩn cấp, nhãn 'đã chuyển cấp'</t>
        </is>
      </c>
      <c r="E189" s="15" t="inlineStr">
        <is>
          <t>Chức năng</t>
        </is>
      </c>
      <c r="F189" s="16" t="inlineStr">
        <is>
          <t>Cao</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89" s="15" t="inlineStr">
        <is>
          <t>1. Menu dòng T-2010 (Cao, chưa giao) &gt; 'Chuyển cấp trên'
2. Quan sát nút 'Chuyển cấp trên' khi ô lý do trống
3. Nhập 'Cần engineering xem' và xác nhận</t>
        </is>
      </c>
      <c r="K189" s="15" t="inlineStr">
        <is>
          <t>T-2010</t>
        </is>
      </c>
      <c r="L18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89" s="15" t="inlineStr"/>
      <c r="N189" s="18" t="inlineStr">
        <is>
          <t>Chưa test</t>
        </is>
      </c>
      <c r="O189" s="15" t="inlineStr"/>
      <c r="P189" s="15" t="inlineStr"/>
      <c r="Q189" s="18" t="inlineStr">
        <is>
          <t>Chưa test</t>
        </is>
      </c>
      <c r="R189" s="15" t="inlineStr"/>
    </row>
    <row r="190" ht="30" customHeight="1">
      <c r="A190" s="14" t="inlineStr">
        <is>
          <t>TC-ADM3-189</t>
        </is>
      </c>
      <c r="B190" s="15" t="inlineStr">
        <is>
          <t>Admin Console (đợt 3: Phân tích, Hỗ trợ, Hệ thống)</t>
        </is>
      </c>
      <c r="C190" s="15" t="inlineStr">
        <is>
          <t>Hỗ trợ · danh sách ticket (UI)</t>
        </is>
      </c>
      <c r="D190" s="15" t="inlineStr">
        <is>
          <t>Mở lại ticket đã xử lý/đã đóng từ menu dòng</t>
        </is>
      </c>
      <c r="E190" s="15" t="inlineStr">
        <is>
          <t>Chức năng</t>
        </is>
      </c>
      <c r="F190" s="16" t="inlineStr">
        <is>
          <t>Cao</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90" s="15" t="inlineStr">
        <is>
          <t>1. Menu dòng T-2005 (Đã xử lý) &gt; 'Mở lại'
2. Menu dòng T-2007 (Đã đóng) &gt; 'Mở lại'</t>
        </is>
      </c>
      <c r="K190" s="15" t="inlineStr">
        <is>
          <t>T-2005, T-2007</t>
        </is>
      </c>
      <c r="L190" s="15" t="inlineStr">
        <is>
          <t>Toast 'Đã mở lại T-2005' / 'Đã mở lại T-2007'; trạng thái 'Đang mở'; resolvedAt/closedAt bị xóa; hội thoại thêm 'Đã mở lại ticket'; audit support.ticket.reopen.</t>
        </is>
      </c>
      <c r="M190" s="15" t="inlineStr"/>
      <c r="N190" s="18" t="inlineStr">
        <is>
          <t>Chưa test</t>
        </is>
      </c>
      <c r="O190" s="15" t="inlineStr"/>
      <c r="P190" s="15" t="inlineStr"/>
      <c r="Q190" s="18" t="inlineStr">
        <is>
          <t>Chưa test</t>
        </is>
      </c>
      <c r="R190" s="15" t="inlineStr"/>
    </row>
    <row r="191" ht="60" customHeight="1">
      <c r="A191" s="14" t="inlineStr">
        <is>
          <t>TC-ADM3-190</t>
        </is>
      </c>
      <c r="B191" s="15" t="inlineStr">
        <is>
          <t>Admin Console (đợt 3: Phân tích, Hỗ trợ, Hệ thống)</t>
        </is>
      </c>
      <c r="C191" s="15" t="inlineStr">
        <is>
          <t>Hỗ trợ · danh sách ticket (UI)</t>
        </is>
      </c>
      <c r="D191" s="15" t="inlineStr">
        <is>
          <t>Tạo ticket hộ khách: dialog, trường bắt buộc, liên kết tài khoản theo 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91" s="15" t="inlineStr">
        <is>
          <t>1. Bấm 'Tạo ticket'
2. Nhập Chủ đề 'QA: khách gọi điện', Nội dung 'Khách hỏi về hoàn tiền', chọn Nhóm 'Thanh toán', Ưu tiên 'Cao'
3. Nhập Email khách 'daniel@sofinhub.test' và Tên khách để trống
4. Bấm 'Tạo ticket'</t>
        </is>
      </c>
      <c r="K191" s="15" t="inlineStr">
        <is>
          <t>daniel@sofinhub.test</t>
        </is>
      </c>
      <c r="L19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91" s="15" t="inlineStr"/>
      <c r="N191" s="18" t="inlineStr">
        <is>
          <t>Chưa test</t>
        </is>
      </c>
      <c r="O191" s="15" t="inlineStr"/>
      <c r="P191" s="15" t="inlineStr"/>
      <c r="Q191" s="18" t="inlineStr">
        <is>
          <t>Chưa test</t>
        </is>
      </c>
      <c r="R191" s="15" t="inlineStr"/>
    </row>
    <row r="192" ht="45" customHeight="1">
      <c r="A192" s="14" t="inlineStr">
        <is>
          <t>TC-ADM3-191</t>
        </is>
      </c>
      <c r="B192" s="15" t="inlineStr">
        <is>
          <t>Admin Console (đợt 3: Phân tích, Hỗ trợ, Hệ thống)</t>
        </is>
      </c>
      <c r="C192" s="15" t="inlineStr">
        <is>
          <t>Hỗ trợ · danh sách ticket (UI)</t>
        </is>
      </c>
      <c r="D192" s="15" t="inlineStr">
        <is>
          <t>Tạo ticket hộ khách khi để trống 'Email khách (tùy chọn)': giao diện nói tùy chọn nhưng API yêu cầu email</t>
        </is>
      </c>
      <c r="E192" s="15" t="inlineStr">
        <is>
          <t>Chức năng</t>
        </is>
      </c>
      <c r="F192" s="16" t="inlineStr">
        <is>
          <t>Cao</t>
        </is>
      </c>
      <c r="G192" s="20" t="inlineStr">
        <is>
          <t>Kế hoạch</t>
        </is>
      </c>
      <c r="H192" s="20" t="inlineStr">
        <is>
          <t>Một phần</t>
        </is>
      </c>
      <c r="I19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92" s="15" t="inlineStr">
        <is>
          <t>1. Bấm 'Tạo ticket'
2. Nhập Chủ đề và Nội dung, KHÔNG nhập email
3. Bấm 'Tạo ticket'</t>
        </is>
      </c>
      <c r="K192" s="15" t="inlineStr">
        <is>
          <t>email trống</t>
        </is>
      </c>
      <c r="L19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92" s="15" t="inlineStr"/>
      <c r="N192" s="18" t="inlineStr">
        <is>
          <t>Chưa test</t>
        </is>
      </c>
      <c r="O192" s="15" t="inlineStr"/>
      <c r="P192" s="15" t="inlineStr"/>
      <c r="Q192" s="18" t="inlineStr">
        <is>
          <t>Chưa test</t>
        </is>
      </c>
      <c r="R192" s="15" t="inlineStr"/>
    </row>
    <row r="193" ht="30" customHeight="1">
      <c r="A193" s="14" t="inlineStr">
        <is>
          <t>TC-ADM3-192</t>
        </is>
      </c>
      <c r="B193" s="15" t="inlineStr">
        <is>
          <t>Admin Console (đợt 3: Phân tích, Hỗ trợ, Hệ thống)</t>
        </is>
      </c>
      <c r="C193" s="15" t="inlineStr">
        <is>
          <t>Hỗ trợ · danh sách ticket (UI)</t>
        </is>
      </c>
      <c r="D193" s="15" t="inlineStr">
        <is>
          <t>Tạo ticket hộ khách với email chưa có tài khoản: Người gửi = tên đã nhập hoặc chính email</t>
        </is>
      </c>
      <c r="E193" s="15" t="inlineStr">
        <is>
          <t>Chức năng</t>
        </is>
      </c>
      <c r="F193" s="20" t="inlineStr">
        <is>
          <t>Trung bình</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93" s="15" t="inlineStr">
        <is>
          <t>1. Bấm 'Tạo ticket', nhập email 'khach.moi@example.com', Tên khách 'Khách Mới', Chủ đề/Nội dung
2. Lặp lại với Tên khách để trống</t>
        </is>
      </c>
      <c r="K193" s="15" t="inlineStr">
        <is>
          <t>khach.moi@example.com</t>
        </is>
      </c>
      <c r="L193" s="15" t="inlineStr">
        <is>
          <t>Ticket 1: Người gửi 'Khách Mới', KHÔNG có nút 'Xem người dùng' (requester.id=null); ticket 2: Người gửi hiển thị chính email. Cả hai nguồn 'admin'.</t>
        </is>
      </c>
      <c r="M193" s="15" t="inlineStr"/>
      <c r="N193" s="18" t="inlineStr">
        <is>
          <t>Chưa test</t>
        </is>
      </c>
      <c r="O193" s="15" t="inlineStr"/>
      <c r="P193" s="15" t="inlineStr"/>
      <c r="Q193" s="18" t="inlineStr">
        <is>
          <t>Chưa test</t>
        </is>
      </c>
      <c r="R193" s="15" t="inlineStr"/>
    </row>
    <row r="194" ht="30" customHeight="1">
      <c r="A194" s="14" t="inlineStr">
        <is>
          <t>TC-ADM3-193</t>
        </is>
      </c>
      <c r="B194" s="15" t="inlineStr">
        <is>
          <t>Admin Console (đợt 3: Phân tích, Hỗ trợ, Hệ thống)</t>
        </is>
      </c>
      <c r="C194" s="15" t="inlineStr">
        <is>
          <t>Hỗ trợ · danh sách ticket (UI)</t>
        </is>
      </c>
      <c r="D194" s="15" t="inlineStr">
        <is>
          <t>Mở chi tiết ticket (T-2001): đầu trang, nút, hội thoại 4 kiểu tin, lịch sử</t>
        </is>
      </c>
      <c r="E194" s="15" t="inlineStr">
        <is>
          <t>Giao diện</t>
        </is>
      </c>
      <c r="F194" s="16" t="inlineStr">
        <is>
          <t>Cao</t>
        </is>
      </c>
      <c r="G194" s="17" t="inlineStr">
        <is>
          <t>Đã hoàn thiện</t>
        </is>
      </c>
      <c r="H194" s="17" t="inlineStr">
        <is>
          <t>Có</t>
        </is>
      </c>
      <c r="I19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94" s="15" t="inlineStr">
        <is>
          <t>1. Bấm dòng T-2001
2. Đọc tiêu đề dialog, badge, các nút, mục 'Hội thoại (N)', 'Trả lời', 'Lịch sử thao tác'</t>
        </is>
      </c>
      <c r="K194" s="15" t="inlineStr">
        <is>
          <t>T-2001</t>
        </is>
      </c>
      <c r="L19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94" s="15" t="inlineStr"/>
      <c r="N194" s="18" t="inlineStr">
        <is>
          <t>Chưa test</t>
        </is>
      </c>
      <c r="O194" s="15" t="inlineStr"/>
      <c r="P194" s="15" t="inlineStr"/>
      <c r="Q194" s="18" t="inlineStr">
        <is>
          <t>Chưa test</t>
        </is>
      </c>
      <c r="R194" s="15" t="inlineStr"/>
    </row>
    <row r="195" ht="30" customHeight="1">
      <c r="A195" s="14" t="inlineStr">
        <is>
          <t>TC-ADM3-194</t>
        </is>
      </c>
      <c r="B195" s="15" t="inlineStr">
        <is>
          <t>Admin Console (đợt 3: Phân tích, Hỗ trợ, Hệ thống)</t>
        </is>
      </c>
      <c r="C195" s="15" t="inlineStr">
        <is>
          <t>Hỗ trợ · danh sách ticket (UI)</t>
        </is>
      </c>
      <c r="D195" s="15" t="inlineStr">
        <is>
          <t>Chi tiết ticket đã chuyển cấp (T-2004): có tin 'Hệ thống' và không còn nút 'Chuyển cấp trên'</t>
        </is>
      </c>
      <c r="E195" s="15" t="inlineStr">
        <is>
          <t>Giao diện</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95" s="15" t="inlineStr">
        <is>
          <t>1. Mở chi tiết T-2004
2. Đọc badge và hội thoại</t>
        </is>
      </c>
      <c r="K195" s="15" t="inlineStr">
        <is>
          <t>T-2004</t>
        </is>
      </c>
      <c r="L195" s="15" t="inlineStr">
        <is>
          <t>Badge 'Đã chuyển cấp' (đỏ) + 'Khẩn cấp'; hội thoại có tin kiểu 'Hệ thống' 'Escalated (urgent): needs review by the payments/trust team.'; các nút: Phụ trách, Đã xử lý, Đóng, Sửa, Xem người dùng (không có 'Chuyển cấp trên').</t>
        </is>
      </c>
      <c r="M195" s="15" t="inlineStr"/>
      <c r="N195" s="18" t="inlineStr">
        <is>
          <t>Chưa test</t>
        </is>
      </c>
      <c r="O195" s="15" t="inlineStr"/>
      <c r="P195" s="15" t="inlineStr"/>
      <c r="Q195" s="18" t="inlineStr">
        <is>
          <t>Chưa test</t>
        </is>
      </c>
      <c r="R195" s="15" t="inlineStr"/>
    </row>
    <row r="196" ht="60" customHeight="1">
      <c r="A196" s="14" t="inlineStr">
        <is>
          <t>TC-ADM3-195</t>
        </is>
      </c>
      <c r="B196" s="15" t="inlineStr">
        <is>
          <t>Admin Console (đợt 3: Phân tích, Hỗ trợ, Hệ thống)</t>
        </is>
      </c>
      <c r="C196" s="15" t="inlineStr">
        <is>
          <t>Hỗ trợ · danh sách ticket (UI)</t>
        </is>
      </c>
      <c r="D196" s="15" t="inlineStr">
        <is>
          <t>Chi tiết ticket đã xử lý/đóng: nút Mở lại, ẩn Đã xử lý/Chuyển cấp; đóng thì khóa ô trả lời</t>
        </is>
      </c>
      <c r="E196" s="15" t="inlineStr">
        <is>
          <t>Giao diện</t>
        </is>
      </c>
      <c r="F196" s="16" t="inlineStr">
        <is>
          <t>Cao</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96" s="15" t="inlineStr">
        <is>
          <t>1. Mở chi tiết T-2005 (Đã xử lý)
2. Đọc nút và ô 'Trả lời'
3. Mở chi tiết T-2007 (Đã đóng)
4. Đọc nút và vùng 'Trả lời'</t>
        </is>
      </c>
      <c r="K196" s="15" t="inlineStr">
        <is>
          <t>T-2005, T-2007</t>
        </is>
      </c>
      <c r="L196" s="15" t="inlineStr">
        <is>
          <t>T-2005: có 'Mở lại' và 'Đóng', KHÔNG có 'Đã xử lý'/'Chuyển cấp trên'; ô trả lời vẫn dùng được. T-2007: có 'Mở lại', KHÔNG có 'Đóng'; vùng 'Trả lời' thay bằng 'Ticket đã đóng. Mở lại để tiếp tục phản hồi.'.</t>
        </is>
      </c>
      <c r="M196" s="15" t="inlineStr"/>
      <c r="N196" s="18" t="inlineStr">
        <is>
          <t>Chưa test</t>
        </is>
      </c>
      <c r="O196" s="15" t="inlineStr"/>
      <c r="P196" s="15" t="inlineStr"/>
      <c r="Q196" s="18" t="inlineStr">
        <is>
          <t>Chưa test</t>
        </is>
      </c>
      <c r="R196" s="15" t="inlineStr"/>
    </row>
    <row r="197" ht="60" customHeight="1">
      <c r="A197" s="14" t="inlineStr">
        <is>
          <t>TC-ADM3-196</t>
        </is>
      </c>
      <c r="B197" s="15" t="inlineStr">
        <is>
          <t>Admin Console (đợt 3: Phân tích, Hỗ trợ, Hệ thống)</t>
        </is>
      </c>
      <c r="C197" s="15" t="inlineStr">
        <is>
          <t>Hỗ trợ · danh sách ticket (UI)</t>
        </is>
      </c>
      <c r="D197" s="15" t="inlineStr">
        <is>
          <t>Gửi phản hồi cho khách: trạng thái sau gửi, toast, email và thông báo trong app</t>
        </is>
      </c>
      <c r="E197" s="15" t="inlineStr">
        <is>
          <t>Chức năng</t>
        </is>
      </c>
      <c r="F197" s="16" t="inlineStr">
        <is>
          <t>Cao</t>
        </is>
      </c>
      <c r="G197" s="17" t="inlineStr">
        <is>
          <t>Đã hoàn thiện</t>
        </is>
      </c>
      <c r="H197" s="20" t="inlineStr">
        <is>
          <t>Một phần</t>
        </is>
      </c>
      <c r="I19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9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97" s="15" t="inlineStr">
        <is>
          <t>T-2002, alex@</t>
        </is>
      </c>
      <c r="L19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97" s="15" t="inlineStr"/>
      <c r="N197" s="18" t="inlineStr">
        <is>
          <t>Chưa test</t>
        </is>
      </c>
      <c r="O197" s="15" t="inlineStr"/>
      <c r="P197" s="15" t="inlineStr"/>
      <c r="Q197" s="18" t="inlineStr">
        <is>
          <t>Chưa test</t>
        </is>
      </c>
      <c r="R197" s="15" t="inlineStr"/>
    </row>
    <row r="198" ht="30" customHeight="1">
      <c r="A198" s="14" t="inlineStr">
        <is>
          <t>TC-ADM3-197</t>
        </is>
      </c>
      <c r="B198" s="15" t="inlineStr">
        <is>
          <t>Admin Console (đợt 3: Phân tích, Hỗ trợ, Hệ thống)</t>
        </is>
      </c>
      <c r="C198" s="15" t="inlineStr">
        <is>
          <t>Hỗ trợ · danh sách ticket (UI)</t>
        </is>
      </c>
      <c r="D198" s="15" t="inlineStr">
        <is>
          <t>Gửi phản hồi và chọn 'Đã xử lý' / 'Giữ đang mở' sau khi gửi</t>
        </is>
      </c>
      <c r="E198" s="15" t="inlineStr">
        <is>
          <t>Chức năng</t>
        </is>
      </c>
      <c r="F198" s="16" t="inlineStr">
        <is>
          <t>Cao</t>
        </is>
      </c>
      <c r="G198" s="17" t="inlineStr">
        <is>
          <t>Đã hoàn thiện</t>
        </is>
      </c>
      <c r="H198" s="17" t="inlineStr">
        <is>
          <t>Có</t>
        </is>
      </c>
      <c r="I19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98" s="15" t="inlineStr">
        <is>
          <t>1. Mở T-2010 (Đang mở), trả lời với chip 'Đã xử lý'
2. Mở T-2012 (Mới), trả lời với chip 'Giữ đang mở'</t>
        </is>
      </c>
      <c r="K198" s="15" t="inlineStr">
        <is>
          <t>T-2010, T-2012</t>
        </is>
      </c>
      <c r="L198" s="15" t="inlineStr">
        <is>
          <t>T-2010 -&gt; 'Đã xử lý' (resolvedAt có giá trị); T-2012 -&gt; 'Đang mở' (không đổi thành 'Chờ phản hồi'); cả hai ghi firstResponseAt lần đầu và audit support.ticket.reply metadata.status.</t>
        </is>
      </c>
      <c r="M198" s="15" t="inlineStr"/>
      <c r="N198" s="18" t="inlineStr">
        <is>
          <t>Chưa test</t>
        </is>
      </c>
      <c r="O198" s="15" t="inlineStr"/>
      <c r="P198" s="15" t="inlineStr"/>
      <c r="Q198" s="18" t="inlineStr">
        <is>
          <t>Chưa test</t>
        </is>
      </c>
      <c r="R198" s="15" t="inlineStr"/>
    </row>
    <row r="199" ht="60" customHeight="1">
      <c r="A199" s="14" t="inlineStr">
        <is>
          <t>TC-ADM3-198</t>
        </is>
      </c>
      <c r="B199" s="15" t="inlineStr">
        <is>
          <t>Admin Console (đợt 3: Phân tích, Hỗ trợ, Hệ thống)</t>
        </is>
      </c>
      <c r="C199" s="15" t="inlineStr">
        <is>
          <t>Hỗ trợ · danh sách ticket (UI)</t>
        </is>
      </c>
      <c r="D199" s="15" t="inlineStr">
        <is>
          <t>Ghi chú nội bộ: chuyển chip 'Ghi chú nội bộ', nút 'Lưu ghi chú', không gửi email</t>
        </is>
      </c>
      <c r="E199" s="15" t="inlineStr">
        <is>
          <t>Chức năng</t>
        </is>
      </c>
      <c r="F199" s="16" t="inlineStr">
        <is>
          <t>Cao</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99" s="15" t="inlineStr">
        <is>
          <t>1. Mở T-2013, chọn chip 'Ghi chú nội bộ'
2. Quan sát ô nhập và các chip trạng thái
3. Nhập 'Đã gọi khách, hẹn 15h' &gt; 'Lưu ghi chú'
4. GET /api/dev/outbox?to=noah@sofinhub.test</t>
        </is>
      </c>
      <c r="K199" s="15" t="inlineStr">
        <is>
          <t>T-2013</t>
        </is>
      </c>
      <c r="L19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99" s="15" t="inlineStr"/>
      <c r="N199" s="18" t="inlineStr">
        <is>
          <t>Chưa test</t>
        </is>
      </c>
      <c r="O199" s="15" t="inlineStr"/>
      <c r="P199" s="15" t="inlineStr"/>
      <c r="Q199" s="18" t="inlineStr">
        <is>
          <t>Chưa test</t>
        </is>
      </c>
      <c r="R199" s="15" t="inlineStr"/>
    </row>
    <row r="200" ht="60" customHeight="1">
      <c r="A200" s="14" t="inlineStr">
        <is>
          <t>TC-ADM3-199</t>
        </is>
      </c>
      <c r="B200" s="15" t="inlineStr">
        <is>
          <t>Admin Console (đợt 3: Phân tích, Hỗ trợ, Hệ thống)</t>
        </is>
      </c>
      <c r="C200" s="15" t="inlineStr">
        <is>
          <t>Hỗ trợ · danh sách ticket (UI)</t>
        </is>
      </c>
      <c r="D200" s="15" t="inlineStr">
        <is>
          <t>Nút gửi bị khóa khi nội dung rỗng/chỉ khoảng trắng và hiện 'Đang gửi…' khi đang gửi</t>
        </is>
      </c>
      <c r="E200" s="15" t="inlineStr">
        <is>
          <t>Giao diện</t>
        </is>
      </c>
      <c r="F200" s="17" t="inlineStr">
        <is>
          <t>Thấp</t>
        </is>
      </c>
      <c r="G200" s="17" t="inlineStr">
        <is>
          <t>Đã hoàn thiện</t>
        </is>
      </c>
      <c r="H200" s="17" t="inlineStr">
        <is>
          <t>Có</t>
        </is>
      </c>
      <c r="I20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200" s="15" t="inlineStr">
        <is>
          <t>1. Mở chi tiết một ticket mở
2. Để trống ô trả lời, quan sát nút
3. Gõ vài dấu cách
4. Gõ nội dung và bấm gửi, quan sát nhãn nút</t>
        </is>
      </c>
      <c r="K200" s="15" t="inlineStr">
        <is>
          <t>-</t>
        </is>
      </c>
      <c r="L200" s="15" t="inlineStr">
        <is>
          <t>Nút 'Gửi phản hồi' vô hiệu khi trống/khoảng trắng; khi gửi nhãn thành 'Đang gửi…' rồi trở lại; ô nhập được xóa sau khi gửi thành công; tối đa 5000 ký tự (maxLength).</t>
        </is>
      </c>
      <c r="M200" s="15" t="inlineStr"/>
      <c r="N200" s="18" t="inlineStr">
        <is>
          <t>Chưa test</t>
        </is>
      </c>
      <c r="O200" s="15" t="inlineStr"/>
      <c r="P200" s="15" t="inlineStr"/>
      <c r="Q200" s="18" t="inlineStr">
        <is>
          <t>Chưa test</t>
        </is>
      </c>
      <c r="R200" s="15" t="inlineStr"/>
    </row>
    <row r="201" ht="60" customHeight="1">
      <c r="A201" s="14" t="inlineStr">
        <is>
          <t>TC-ADM3-200</t>
        </is>
      </c>
      <c r="B201" s="15" t="inlineStr">
        <is>
          <t>Admin Console (đợt 3: Phân tích, Hỗ trợ, Hệ thống)</t>
        </is>
      </c>
      <c r="C201" s="15" t="inlineStr">
        <is>
          <t>Hỗ trợ · danh sách ticket (UI)</t>
        </is>
      </c>
      <c r="D201" s="15" t="inlineStr">
        <is>
          <t>Sửa ticket (chủ đề, ưu tiên, nhóm) qua dialog 'Sửa ticket · T-xxxx'</t>
        </is>
      </c>
      <c r="E201" s="15" t="inlineStr">
        <is>
          <t>Chức năng</t>
        </is>
      </c>
      <c r="F201" s="20" t="inlineStr">
        <is>
          <t>Trung bình</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201" s="15" t="inlineStr">
        <is>
          <t>1. Mở chi tiết T-2012 &gt; 'Sửa'
2. Đổi Chủ đề thành 'Đề xuất nổi bật (đã sửa)', Ưu tiên 'Trung bình', Nhóm 'Người dùng'
3. Bấm 'Lưu'
4. Xóa trắng Chủ đề và quan sát nút Lưu</t>
        </is>
      </c>
      <c r="K201" s="15" t="inlineStr">
        <is>
          <t>T-2012</t>
        </is>
      </c>
      <c r="L201" s="15" t="inlineStr">
        <is>
          <t>Toast 'Đã cập nhật ticket'; chi tiết/danh sách phản ánh chủ đề, ưu tiên, nhóm mới (ticket chuyển sang trang 'Vấn đề người dùng'); nút 'Lưu' khóa khi Chủ đề rỗng; audit support.ticket.update metadata.changes.</t>
        </is>
      </c>
      <c r="M201" s="15" t="inlineStr"/>
      <c r="N201" s="18" t="inlineStr">
        <is>
          <t>Chưa test</t>
        </is>
      </c>
      <c r="O201" s="15" t="inlineStr"/>
      <c r="P201" s="15" t="inlineStr"/>
      <c r="Q201" s="18" t="inlineStr">
        <is>
          <t>Chưa test</t>
        </is>
      </c>
      <c r="R201" s="15" t="inlineStr"/>
    </row>
    <row r="202" ht="45" customHeight="1">
      <c r="A202" s="14" t="inlineStr">
        <is>
          <t>TC-ADM3-201</t>
        </is>
      </c>
      <c r="B202" s="15" t="inlineStr">
        <is>
          <t>Admin Console (đợt 3: Phân tích, Hỗ trợ, Hệ thống)</t>
        </is>
      </c>
      <c r="C202" s="15" t="inlineStr">
        <is>
          <t>Hỗ trợ · danh sách ticket (UI)</t>
        </is>
      </c>
      <c r="D202" s="15" t="inlineStr">
        <is>
          <t>Đóng ticket từ chi tiết: dialog 'Đóng ticket · T-xxxx' và hiệu lực</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202" s="15" t="inlineStr">
        <is>
          <t>1. Mở chi tiết T-2016 (Chờ phản hồi) &gt; 'Đóng'
2. Nhập ghi chú và bấm 'Đóng ticket'
3. Thử gửi phản hồi vào ticket vừa đóng</t>
        </is>
      </c>
      <c r="K202" s="15" t="inlineStr">
        <is>
          <t>T-2016</t>
        </is>
      </c>
      <c r="L202" s="15" t="inlineStr">
        <is>
          <t>Dialog 'Đóng ticket · T-2016' (mô tả 'Ticket đóng sẽ không nhận thêm phản hồi (có thể mở lại).'); toast 'Đã đóng T-2016'; badge 'Đã đóng'; vùng 'Trả lời' đổi thành thông báo đã đóng; API reply trả 409.</t>
        </is>
      </c>
      <c r="M202" s="15" t="inlineStr"/>
      <c r="N202" s="18" t="inlineStr">
        <is>
          <t>Chưa test</t>
        </is>
      </c>
      <c r="O202" s="15" t="inlineStr"/>
      <c r="P202" s="15" t="inlineStr"/>
      <c r="Q202" s="18" t="inlineStr">
        <is>
          <t>Chưa test</t>
        </is>
      </c>
      <c r="R202" s="15" t="inlineStr"/>
    </row>
    <row r="203" ht="30" customHeight="1">
      <c r="A203" s="14" t="inlineStr">
        <is>
          <t>TC-ADM3-202</t>
        </is>
      </c>
      <c r="B203" s="15" t="inlineStr">
        <is>
          <t>Admin Console (đợt 3: Phân tích, Hỗ trợ, Hệ thống)</t>
        </is>
      </c>
      <c r="C203" s="15" t="inlineStr">
        <is>
          <t>Hỗ trợ · danh sách ticket (UI)</t>
        </is>
      </c>
      <c r="D203" s="15" t="inlineStr">
        <is>
          <t>'Xem người dùng' từ ticket dẫn tới hồ sơ admin của người gửi</t>
        </is>
      </c>
      <c r="E203" s="15" t="inlineStr">
        <is>
          <t>Chức năng</t>
        </is>
      </c>
      <c r="F203" s="17" t="inlineStr">
        <is>
          <t>Thấp</t>
        </is>
      </c>
      <c r="G203" s="17" t="inlineStr">
        <is>
          <t>Đã hoàn thiện</t>
        </is>
      </c>
      <c r="H203" s="17" t="inlineStr">
        <is>
          <t>Có</t>
        </is>
      </c>
      <c r="I20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203" s="15" t="inlineStr">
        <is>
          <t>1. Menu dòng T-2001 &gt; 'Xem người dùng'
2. Hoặc mở chi tiết và bấm 'Xem người dùng'</t>
        </is>
      </c>
      <c r="K203" s="15" t="inlineStr">
        <is>
          <t>T-2001</t>
        </is>
      </c>
      <c r="L203" s="15" t="inlineStr">
        <is>
          <t>Chuyển tới /admin/users/&lt;id Sarah Kim&gt; hiển thị hồ sơ đúng người. Với vai trò không có users.view (vd Finance không có support.manage nên không vào được Hỗ trợ) trang đích hiện 'Không đủ quyền'.</t>
        </is>
      </c>
      <c r="M203" s="15" t="inlineStr"/>
      <c r="N203" s="18" t="inlineStr">
        <is>
          <t>Chưa test</t>
        </is>
      </c>
      <c r="O203" s="15" t="inlineStr"/>
      <c r="P203" s="15" t="inlineStr"/>
      <c r="Q203" s="18" t="inlineStr">
        <is>
          <t>Chưa test</t>
        </is>
      </c>
      <c r="R203" s="15" t="inlineStr"/>
    </row>
    <row r="204" ht="45" customHeight="1">
      <c r="A204" s="14" t="inlineStr">
        <is>
          <t>TC-ADM3-203</t>
        </is>
      </c>
      <c r="B204" s="15" t="inlineStr">
        <is>
          <t>Admin Console (đợt 3: Phân tích, Hỗ trợ, Hệ thống)</t>
        </is>
      </c>
      <c r="C204" s="15" t="inlineStr">
        <is>
          <t>Hỗ trợ · danh sách ticket (UI)</t>
        </is>
      </c>
      <c r="D204" s="15" t="inlineStr">
        <is>
          <t>Cập nhật tức thì: thao tác ở ticket làm KPI và bảng làm mới (invalidate)</t>
        </is>
      </c>
      <c r="E204" s="15" t="inlineStr">
        <is>
          <t>Chức năng</t>
        </is>
      </c>
      <c r="F204" s="20" t="inlineStr">
        <is>
          <t>Trung bình</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204" s="15" t="inlineStr">
        <is>
          <t>1. Ghi 'Đang mở' và 'Đã xử lý (7 ngày)'
2. Đánh dấu đã xử lý T-2013
3. Quan sát KPI và dòng</t>
        </is>
      </c>
      <c r="K204" s="15" t="inlineStr">
        <is>
          <t>T-2013</t>
        </is>
      </c>
      <c r="L204" s="15" t="inlineStr">
        <is>
          <t>Không cần F5: 'Đang mở' -1, 'Đã xử lý (7 ngày)' +1, dòng chuyển 'Đã xử lý' hoặc rời tab đang lọc.</t>
        </is>
      </c>
      <c r="M204" s="15" t="inlineStr"/>
      <c r="N204" s="18" t="inlineStr">
        <is>
          <t>Chưa test</t>
        </is>
      </c>
      <c r="O204" s="15" t="inlineStr"/>
      <c r="P204" s="15" t="inlineStr"/>
      <c r="Q204" s="18" t="inlineStr">
        <is>
          <t>Chưa test</t>
        </is>
      </c>
      <c r="R204" s="15" t="inlineStr"/>
    </row>
    <row r="205" ht="45" customHeight="1">
      <c r="A205" s="14" t="inlineStr">
        <is>
          <t>TC-ADM3-204</t>
        </is>
      </c>
      <c r="B205" s="15" t="inlineStr">
        <is>
          <t>Admin Console (đợt 3: Phân tích, Hỗ trợ, Hệ thống)</t>
        </is>
      </c>
      <c r="C205" s="15" t="inlineStr">
        <is>
          <t>Hỗ trợ · danh sách ticket (UI)</t>
        </is>
      </c>
      <c r="D205" s="15" t="inlineStr">
        <is>
          <t>Trạng thái tải/lỗi/rỗng của bảng và dialog chi tiết (Thử lại)</t>
        </is>
      </c>
      <c r="E205" s="15" t="inlineStr">
        <is>
          <t>Giao diện</t>
        </is>
      </c>
      <c r="F205" s="17" t="inlineStr">
        <is>
          <t>Thấp</t>
        </is>
      </c>
      <c r="G205" s="17" t="inlineStr">
        <is>
          <t>Đã hoàn thiện</t>
        </is>
      </c>
      <c r="H205" s="20" t="inlineStr">
        <is>
          <t>Một phần</t>
        </is>
      </c>
      <c r="I20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205" s="15" t="inlineStr">
        <is>
          <t>1. Chặn /api/admin/support/tickets rồi F5
2. Chặn /api/admin/support/tickets/&lt;id&gt; rồi mở một dòng
3. Bỏ chặn, bấm 'Thử lại'</t>
        </is>
      </c>
      <c r="K205" s="15" t="inlineStr">
        <is>
          <t>-</t>
        </is>
      </c>
      <c r="L205" s="15" t="inlineStr">
        <is>
          <t>Bảng: 'Đang tải…' / khối lỗi + 'Thử lại'; dialog chi tiết: LoadingBlock rồi ErrorBlock + Thử lại; sau khi bỏ chặn dữ liệu hiện bình thường.</t>
        </is>
      </c>
      <c r="M205" s="15" t="inlineStr"/>
      <c r="N205" s="18" t="inlineStr">
        <is>
          <t>Chưa test</t>
        </is>
      </c>
      <c r="O205" s="15" t="inlineStr"/>
      <c r="P205" s="15" t="inlineStr"/>
      <c r="Q205" s="18" t="inlineStr">
        <is>
          <t>Chưa test</t>
        </is>
      </c>
      <c r="R205" s="15" t="inlineStr"/>
    </row>
    <row r="206" ht="30" customHeight="1">
      <c r="A206" s="14" t="inlineStr">
        <is>
          <t>TC-ADM3-205</t>
        </is>
      </c>
      <c r="B206" s="15" t="inlineStr">
        <is>
          <t>Admin Console (đợt 3: Phân tích, Hỗ trợ, Hệ thống)</t>
        </is>
      </c>
      <c r="C206" s="15" t="inlineStr">
        <is>
          <t>Hỗ trợ · danh sách ticket (UI)</t>
        </is>
      </c>
      <c r="D206" s="15" t="inlineStr">
        <is>
          <t>Support được vào trang Hỗ trợ; Finance và Content Reviewer thấy 'Không đủ quyền'</t>
        </is>
      </c>
      <c r="E206" s="15" t="inlineStr">
        <is>
          <t>Bảo mật</t>
        </is>
      </c>
      <c r="F206" s="16" t="inlineStr">
        <is>
          <t>Cao</t>
        </is>
      </c>
      <c r="G206" s="17" t="inlineStr">
        <is>
          <t>Đã hoàn thiện</t>
        </is>
      </c>
      <c r="H206" s="17" t="inlineStr">
        <is>
          <t>Có</t>
        </is>
      </c>
      <c r="I206" s="15" t="inlineStr">
        <is>
          <t>DB sạch sau npm run db:reset (có seed/admin-batch3.ts, chạy sau seed admin đợt 1-2; mật khẩu mọi tài khoản seed Passw0rd!x; xem sheet 'Tài khoản &amp; dữ liệu test' mục A5-A6). Đăng nhập lần lượt support@ và finance@.</t>
        </is>
      </c>
      <c r="J206" s="15" t="inlineStr">
        <is>
          <t>1. support@: mở /admin/support/tickets
2. finance@: gõ thẳng /admin/support/tickets</t>
        </is>
      </c>
      <c r="K206" s="15" t="inlineStr">
        <is>
          <t>-</t>
        </is>
      </c>
      <c r="L206" s="15" t="inlineStr">
        <is>
          <t>support@ thấy danh sách; finance@ thấy trang 'Không đủ quyền' và sidebar không có nhóm 'Hỗ trợ'.</t>
        </is>
      </c>
      <c r="M206" s="15" t="inlineStr"/>
      <c r="N206" s="18" t="inlineStr">
        <is>
          <t>Chưa test</t>
        </is>
      </c>
      <c r="O206" s="15" t="inlineStr"/>
      <c r="P206" s="15" t="inlineStr"/>
      <c r="Q206" s="18" t="inlineStr">
        <is>
          <t>Chưa test</t>
        </is>
      </c>
      <c r="R206" s="15" t="inlineStr"/>
    </row>
    <row r="207" ht="30" customHeight="1">
      <c r="A207" s="14" t="inlineStr">
        <is>
          <t>TC-ADM3-206</t>
        </is>
      </c>
      <c r="B207" s="15" t="inlineStr">
        <is>
          <t>Admin Console (đợt 3: Phân tích, Hỗ trợ, Hệ thống)</t>
        </is>
      </c>
      <c r="C207" s="15" t="inlineStr">
        <is>
          <t>Hỗ trợ · API admin</t>
        </is>
      </c>
      <c r="D207" s="15" t="inlineStr">
        <is>
          <t>GET /admin/support/summary trả đủ trường và khớp seed</t>
        </is>
      </c>
      <c r="E207" s="15" t="inlineStr">
        <is>
          <t>Chức năng</t>
        </is>
      </c>
      <c r="F207" s="16" t="inlineStr">
        <is>
          <t>Cao</t>
        </is>
      </c>
      <c r="G207" s="17" t="inlineStr">
        <is>
          <t>Đã hoàn thiện</t>
        </is>
      </c>
      <c r="H207" s="20" t="inlineStr">
        <is>
          <t>Một phần</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207" s="15" t="inlineStr">
        <is>
          <t>1. GET /api/admin/support/summary
2. Đối chiếu SQL theo status/assigneeId/escalated/category</t>
        </is>
      </c>
      <c r="K207" s="15" t="inlineStr">
        <is>
          <t>-</t>
        </is>
      </c>
      <c r="L207" s="15" t="inlineStr">
        <is>
          <t>200 {data:{open:16, newToday, unassigned:7, escalated:2, avgFirstResponseMin, avgFirstResponseMinChangePct, resolved7d, resolved7dChangePct, byCategory:{user:6,creator:5,payment:5}}} (open = new+open+awaiting_reply; resolved7d đếm resolvedAt trong 7 ngày).</t>
        </is>
      </c>
      <c r="M207" s="15" t="inlineStr"/>
      <c r="N207" s="18" t="inlineStr">
        <is>
          <t>Chưa test</t>
        </is>
      </c>
      <c r="O207" s="15" t="inlineStr"/>
      <c r="P207" s="15" t="inlineStr"/>
      <c r="Q207" s="18" t="inlineStr">
        <is>
          <t>Chưa test</t>
        </is>
      </c>
      <c r="R207" s="15" t="inlineStr"/>
    </row>
    <row r="208" ht="30" customHeight="1">
      <c r="A208" s="14" t="inlineStr">
        <is>
          <t>TC-ADM3-207</t>
        </is>
      </c>
      <c r="B208" s="15" t="inlineStr">
        <is>
          <t>Admin Console (đợt 3: Phân tích, Hỗ trợ, Hệ thống)</t>
        </is>
      </c>
      <c r="C208" s="15" t="inlineStr">
        <is>
          <t>Hỗ trợ · API admin</t>
        </is>
      </c>
      <c r="D208" s="15" t="inlineStr">
        <is>
          <t>GET /admin/support/assignees trả nhân viên có support.manage đang hoạt động</t>
        </is>
      </c>
      <c r="E208" s="15" t="inlineStr">
        <is>
          <t>Chức năng</t>
        </is>
      </c>
      <c r="F208" s="20" t="inlineStr">
        <is>
          <t>Trung bình</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208" s="15" t="inlineStr">
        <is>
          <t>1. GET /api/admin/support/assignees</t>
        </is>
      </c>
      <c r="K208" s="15" t="inlineStr">
        <is>
          <t>-</t>
        </is>
      </c>
      <c r="L208" s="15" t="inlineStr">
        <is>
          <t>200 data gồm Ryan Cho (Support), Tom Baker (Support) và Super Admin env (role 'Super Admin'), sắp theo tên; KHÔNG có moderator/finance/nina (suspended)/john/mia; mỗi phần tử {id,name,email,role}.</t>
        </is>
      </c>
      <c r="M208" s="15" t="inlineStr"/>
      <c r="N208" s="18" t="inlineStr">
        <is>
          <t>Chưa test</t>
        </is>
      </c>
      <c r="O208" s="15" t="inlineStr"/>
      <c r="P208" s="15" t="inlineStr"/>
      <c r="Q208" s="18" t="inlineStr">
        <is>
          <t>Chưa test</t>
        </is>
      </c>
      <c r="R208" s="15" t="inlineStr"/>
    </row>
    <row r="209" ht="105" customHeight="1">
      <c r="A209" s="14" t="inlineStr">
        <is>
          <t>TC-ADM3-208</t>
        </is>
      </c>
      <c r="B209" s="15" t="inlineStr">
        <is>
          <t>Admin Console (đợt 3: Phân tích, Hỗ trợ, Hệ thống)</t>
        </is>
      </c>
      <c r="C209" s="15" t="inlineStr">
        <is>
          <t>Hỗ trợ · API admin</t>
        </is>
      </c>
      <c r="D209" s="15" t="inlineStr">
        <is>
          <t>GET /admin/support/tickets lọc category/status/priority nhận csv, giá trị lạ trả 400</t>
        </is>
      </c>
      <c r="E209" s="15" t="inlineStr">
        <is>
          <t>Chức năng</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209"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209" s="15" t="inlineStr">
        <is>
          <t>-</t>
        </is>
      </c>
      <c r="L209" s="15" t="inlineStr">
        <is>
          <t>Lần 1: ticket thanh toán trạng thái new/open (T-2014, T-2015, T-2018, T-2020); lần 2: 7 ticket (2 urgent + 5 high); lần 3-5 và 7: 400 VALIDATION_ERROR (vd 'Giá trị "bogus" không hợp lệ cho status'); lần 6: T-2004 và T-2014.</t>
        </is>
      </c>
      <c r="M209" s="15" t="inlineStr"/>
      <c r="N209" s="18" t="inlineStr">
        <is>
          <t>Chưa test</t>
        </is>
      </c>
      <c r="O209" s="15" t="inlineStr"/>
      <c r="P209" s="15" t="inlineStr"/>
      <c r="Q209" s="18" t="inlineStr">
        <is>
          <t>Chưa test</t>
        </is>
      </c>
      <c r="R209" s="15" t="inlineStr"/>
    </row>
    <row r="210" ht="60" customHeight="1">
      <c r="A210" s="14" t="inlineStr">
        <is>
          <t>TC-ADM3-209</t>
        </is>
      </c>
      <c r="B210" s="15" t="inlineStr">
        <is>
          <t>Admin Console (đợt 3: Phân tích, Hỗ trợ, Hệ thống)</t>
        </is>
      </c>
      <c r="C210" s="15" t="inlineStr">
        <is>
          <t>Hỗ trợ · API admin</t>
        </is>
      </c>
      <c r="D210" s="15" t="inlineStr">
        <is>
          <t>GET /admin/support/tickets lọc assignee=me|unassigned|&lt;userId&gt;</t>
        </is>
      </c>
      <c r="E210" s="15" t="inlineStr">
        <is>
          <t>Chức năng</t>
        </is>
      </c>
      <c r="F210" s="16" t="inlineStr">
        <is>
          <t>Cao</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210" s="15" t="inlineStr">
        <is>
          <t>1. GET /support/tickets?assignee=me
2. GET /support/tickets?assignee=unassigned
3. GET /support/tickets?assignee=&lt;id Tom Baker&gt;
4. GET /support/tickets?assignee=khong-co</t>
        </is>
      </c>
      <c r="K210" s="15" t="inlineStr">
        <is>
          <t>-</t>
        </is>
      </c>
      <c r="L210" s="15" t="inlineStr">
        <is>
          <t>me: 9 ticket của Ryan; unassigned: 7 ticket; Tom: 6 ticket; id lạ: data rỗng, 200 (không lỗi).</t>
        </is>
      </c>
      <c r="M210" s="15" t="inlineStr"/>
      <c r="N210" s="18" t="inlineStr">
        <is>
          <t>Chưa test</t>
        </is>
      </c>
      <c r="O210" s="15" t="inlineStr"/>
      <c r="P210" s="15" t="inlineStr"/>
      <c r="Q210" s="18" t="inlineStr">
        <is>
          <t>Chưa test</t>
        </is>
      </c>
      <c r="R210" s="15" t="inlineStr"/>
    </row>
    <row r="211" ht="135" customHeight="1">
      <c r="A211" s="14" t="inlineStr">
        <is>
          <t>TC-ADM3-210</t>
        </is>
      </c>
      <c r="B211" s="15" t="inlineStr">
        <is>
          <t>Admin Console (đợt 3: Phân tích, Hỗ trợ, Hệ thống)</t>
        </is>
      </c>
      <c r="C211" s="15" t="inlineStr">
        <is>
          <t>Hỗ trợ · API admin</t>
        </is>
      </c>
      <c r="D211" s="15" t="inlineStr">
        <is>
          <t>GET /admin/support/tickets: q tìm theo chủ đề/tên/email/mã T-xxxx; sort newest/oldest/updated/priority; phân trang</t>
        </is>
      </c>
      <c r="E211" s="15" t="inlineStr">
        <is>
          <t>Chức năng</t>
        </is>
      </c>
      <c r="F211" s="16" t="inlineStr">
        <is>
          <t>Cao</t>
        </is>
      </c>
      <c r="G211" s="17" t="inlineStr">
        <is>
          <t>Đã hoàn thiện</t>
        </is>
      </c>
      <c r="H211" s="17" t="inlineStr">
        <is>
          <t>Có</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211" s="15" t="inlineStr">
        <is>
          <t>1. GET ?q=card declined
2. GET ?q=T-2005
3. GET ?q=t-2005
4. GET ?q=sarah@sofinhub
5. GET ?sort=oldest&amp;limit=3
6. GET ?sort=priority&amp;limit=5
7. GET ?sort=bogus
8. GET ?limit=101
9. GET ?page=0</t>
        </is>
      </c>
      <c r="K211" s="15" t="inlineStr">
        <is>
          <t>-</t>
        </is>
      </c>
      <c r="L211"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211" s="15" t="inlineStr"/>
      <c r="N211" s="18" t="inlineStr">
        <is>
          <t>Chưa test</t>
        </is>
      </c>
      <c r="O211" s="15" t="inlineStr"/>
      <c r="P211" s="15" t="inlineStr"/>
      <c r="Q211" s="18" t="inlineStr">
        <is>
          <t>Chưa test</t>
        </is>
      </c>
      <c r="R211" s="15" t="inlineStr"/>
    </row>
    <row r="212" ht="75" customHeight="1">
      <c r="A212" s="14" t="inlineStr">
        <is>
          <t>TC-ADM3-211</t>
        </is>
      </c>
      <c r="B212" s="15" t="inlineStr">
        <is>
          <t>Admin Console (đợt 3: Phân tích, Hỗ trợ, Hệ thống)</t>
        </is>
      </c>
      <c r="C212" s="15" t="inlineStr">
        <is>
          <t>Hỗ trợ · API admin</t>
        </is>
      </c>
      <c r="D212" s="15" t="inlineStr">
        <is>
          <t>GET /admin/support/tickets/:id nhận cả uuid lẫn mã T-xxxx và trả messages + history + related</t>
        </is>
      </c>
      <c r="E212" s="15" t="inlineStr">
        <is>
          <t>Chức năng</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12" s="15" t="inlineStr">
        <is>
          <t>1. GET /support/tickets/T-2001
2. GET /support/tickets/&lt;uuid của T-2001&gt;
3. GET /support/tickets/t-2001
4. GET /support/tickets/T-9999
5. GET /support/tickets/abc</t>
        </is>
      </c>
      <c r="K212" s="15" t="inlineStr">
        <is>
          <t>T-2001</t>
        </is>
      </c>
      <c r="L212" s="15" t="inlineStr">
        <is>
          <t>3 lần đầu 200 cùng một ticket {code:'T-2001', messages (4 phần tử kiểu customer/staff/internal_note/customer), history (&lt;=10 dòng audit gồm support.ticket.reply), related:{userId:&lt;Sarah&gt;}}; T-9999 và 'abc' -&gt; 404 NOT_FOUND 'Không tìm thấy ticket'.</t>
        </is>
      </c>
      <c r="M212" s="15" t="inlineStr"/>
      <c r="N212" s="18" t="inlineStr">
        <is>
          <t>Chưa test</t>
        </is>
      </c>
      <c r="O212" s="15" t="inlineStr"/>
      <c r="P212" s="15" t="inlineStr"/>
      <c r="Q212" s="18" t="inlineStr">
        <is>
          <t>Chưa test</t>
        </is>
      </c>
      <c r="R212" s="15" t="inlineStr"/>
    </row>
    <row r="213" ht="105" customHeight="1">
      <c r="A213" s="14" t="inlineStr">
        <is>
          <t>TC-ADM3-212</t>
        </is>
      </c>
      <c r="B213" s="15" t="inlineStr">
        <is>
          <t>Admin Console (đợt 3: Phân tích, Hỗ trợ, Hệ thống)</t>
        </is>
      </c>
      <c r="C213" s="15" t="inlineStr">
        <is>
          <t>Hỗ trợ · API admin</t>
        </is>
      </c>
      <c r="D213" s="15" t="inlineStr">
        <is>
          <t>POST /admin/support/tickets tạo hộ khách: 201, source=admin, liên kết user theo email; thiếu trường 400</t>
        </is>
      </c>
      <c r="E213" s="15" t="inlineStr">
        <is>
          <t>Chức năng</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13"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213" s="15" t="inlineStr">
        <is>
          <t>daniel@sofinhub.test</t>
        </is>
      </c>
      <c r="L213"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213" s="15" t="inlineStr"/>
      <c r="N213" s="18" t="inlineStr">
        <is>
          <t>Chưa test</t>
        </is>
      </c>
      <c r="O213" s="15" t="inlineStr"/>
      <c r="P213" s="15" t="inlineStr"/>
      <c r="Q213" s="18" t="inlineStr">
        <is>
          <t>Chưa test</t>
        </is>
      </c>
      <c r="R213" s="15" t="inlineStr"/>
    </row>
    <row r="214" ht="75" customHeight="1">
      <c r="A214" s="14" t="inlineStr">
        <is>
          <t>TC-ADM3-213</t>
        </is>
      </c>
      <c r="B214" s="15" t="inlineStr">
        <is>
          <t>Admin Console (đợt 3: Phân tích, Hỗ trợ, Hệ thống)</t>
        </is>
      </c>
      <c r="C214" s="15" t="inlineStr">
        <is>
          <t>Hỗ trợ · API admin</t>
        </is>
      </c>
      <c r="D214" s="15" t="inlineStr">
        <is>
          <t>PATCH /admin/support/tickets/:id đổi priority/category/subject; body rỗng 400</t>
        </is>
      </c>
      <c r="E214" s="15" t="inlineStr">
        <is>
          <t>Chức năng</t>
        </is>
      </c>
      <c r="F214" s="20" t="inlineStr">
        <is>
          <t>Trung bình</t>
        </is>
      </c>
      <c r="G214" s="17" t="inlineStr">
        <is>
          <t>Đã hoàn thiện</t>
        </is>
      </c>
      <c r="H214" s="17" t="inlineStr">
        <is>
          <t>Có</t>
        </is>
      </c>
      <c r="I2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14" s="15" t="inlineStr">
        <is>
          <t>1. PATCH /support/tickets/T-2012 {priority:'high'}
2. PATCH {category:'user', subject:'Đã sửa'}
3. PATCH {}
4. PATCH {priority:'x'}
5. PATCH /support/tickets/T-9999 {priority:'low'}</t>
        </is>
      </c>
      <c r="K214" s="15" t="inlineStr">
        <is>
          <t>T-2012</t>
        </is>
      </c>
      <c r="L214" s="15" t="inlineStr">
        <is>
          <t>200 phản ánh thay đổi (updatedAt/lastActivityAt mới, audit support.ticket.update); {} -&gt; 400 'Không có gì để cập nhật'; priority lạ -&gt; 400; ticket lạ -&gt; 404.</t>
        </is>
      </c>
      <c r="M214" s="15" t="inlineStr"/>
      <c r="N214" s="18" t="inlineStr">
        <is>
          <t>Chưa test</t>
        </is>
      </c>
      <c r="O214" s="15" t="inlineStr"/>
      <c r="P214" s="15" t="inlineStr"/>
      <c r="Q214" s="18" t="inlineStr">
        <is>
          <t>Chưa test</t>
        </is>
      </c>
      <c r="R214" s="15" t="inlineStr"/>
    </row>
    <row r="215" ht="90" customHeight="1">
      <c r="A215" s="14" t="inlineStr">
        <is>
          <t>TC-ADM3-214</t>
        </is>
      </c>
      <c r="B215" s="15" t="inlineStr">
        <is>
          <t>Admin Console (đợt 3: Phân tích, Hỗ trợ, Hệ thống)</t>
        </is>
      </c>
      <c r="C215" s="15" t="inlineStr">
        <is>
          <t>Hỗ trợ · API admin</t>
        </is>
      </c>
      <c r="D215" s="15" t="inlineStr">
        <is>
          <t>POST assign: về mình ('me'), người khác, bỏ gán (null); new -&gt; open; người nhận không có quyền -&gt; 400</t>
        </is>
      </c>
      <c r="E215" s="15" t="inlineStr">
        <is>
          <t>Chức năng</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215" s="15" t="inlineStr">
        <is>
          <t xml:space="preserve">1. POST /support/tickets/T-2002/assign {assigneeId:'me'}
2. POST .../assign {assigneeId:&lt;id Tom&gt;}
3. POST .../assign {assigneeId:null}
4. POST .../assign {assigneeId:&lt;id moderator@&gt;}
5. POST .../assign {assigneeId:&lt;id member1@&gt;}
6. POST .../assign {} </t>
        </is>
      </c>
      <c r="K215" s="15" t="inlineStr">
        <is>
          <t>T-2002</t>
        </is>
      </c>
      <c r="L215"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215" s="15" t="inlineStr"/>
      <c r="N215" s="18" t="inlineStr">
        <is>
          <t>Chưa test</t>
        </is>
      </c>
      <c r="O215" s="15" t="inlineStr"/>
      <c r="P215" s="15" t="inlineStr"/>
      <c r="Q215" s="18" t="inlineStr">
        <is>
          <t>Chưa test</t>
        </is>
      </c>
      <c r="R215" s="15" t="inlineStr"/>
    </row>
    <row r="216" ht="30" customHeight="1">
      <c r="A216" s="14" t="inlineStr">
        <is>
          <t>TC-ADM3-215</t>
        </is>
      </c>
      <c r="B216" s="15" t="inlineStr">
        <is>
          <t>Admin Console (đợt 3: Phân tích, Hỗ trợ, Hệ thống)</t>
        </is>
      </c>
      <c r="C216" s="15" t="inlineStr">
        <is>
          <t>Hỗ trợ · API admin</t>
        </is>
      </c>
      <c r="D216" s="15" t="inlineStr">
        <is>
          <t>POST assign trên ticket đã đóng trả 409</t>
        </is>
      </c>
      <c r="E216" s="15" t="inlineStr">
        <is>
          <t>Chức năng</t>
        </is>
      </c>
      <c r="F216" s="17" t="inlineStr">
        <is>
          <t>Thấp</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16" s="15" t="inlineStr">
        <is>
          <t>1. POST /support/tickets/T-2007/assign {assigneeId:'me'} (T-2007 đã đóng)</t>
        </is>
      </c>
      <c r="K216" s="15" t="inlineStr">
        <is>
          <t>T-2007</t>
        </is>
      </c>
      <c r="L216" s="15" t="inlineStr">
        <is>
          <t>409 CONFLICT 'Ticket đã đóng'.</t>
        </is>
      </c>
      <c r="M216" s="15" t="inlineStr"/>
      <c r="N216" s="18" t="inlineStr">
        <is>
          <t>Chưa test</t>
        </is>
      </c>
      <c r="O216" s="15" t="inlineStr"/>
      <c r="P216" s="15" t="inlineStr"/>
      <c r="Q216" s="18" t="inlineStr">
        <is>
          <t>Chưa test</t>
        </is>
      </c>
      <c r="R216" s="15" t="inlineStr"/>
    </row>
    <row r="217" ht="60" customHeight="1">
      <c r="A217" s="14" t="inlineStr">
        <is>
          <t>TC-ADM3-216</t>
        </is>
      </c>
      <c r="B217" s="15" t="inlineStr">
        <is>
          <t>Admin Console (đợt 3: Phân tích, Hỗ trợ, Hệ thống)</t>
        </is>
      </c>
      <c r="C217" s="15" t="inlineStr">
        <is>
          <t>Hỗ trợ · API admin</t>
        </is>
      </c>
      <c r="D217" s="15" t="inlineStr">
        <is>
          <t>POST reply: mặc định awaiting_reply, ghi firstResponseAt lần đầu, tự gán người trả lời, gửi email + thông báo</t>
        </is>
      </c>
      <c r="E217" s="15" t="inlineStr">
        <is>
          <t>Chức năng</t>
        </is>
      </c>
      <c r="F217" s="16" t="inlineStr">
        <is>
          <t>Cao</t>
        </is>
      </c>
      <c r="G217" s="17" t="inlineStr">
        <is>
          <t>Đã hoàn thiện</t>
        </is>
      </c>
      <c r="H217" s="20" t="inlineStr">
        <is>
          <t>Một phần</t>
        </is>
      </c>
      <c r="I2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217" s="15" t="inlineStr">
        <is>
          <t>1. POST /support/tickets/T-2006/reply {body:'Chúng tôi sẽ xử lý yêu cầu xóa dữ liệu.'}
2. GET /api/dev/outbox?to=ethan@sofinhub.test
3. Đăng nhập ethan@ xem thông báo
4. SQL firstResponseAt, assigneeId của T-2006</t>
        </is>
      </c>
      <c r="K217" s="15" t="inlineStr">
        <is>
          <t>T-2006 (ethan, Mới, chưa giao)</t>
        </is>
      </c>
      <c r="L217"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217" s="15" t="inlineStr"/>
      <c r="N217" s="18" t="inlineStr">
        <is>
          <t>Chưa test</t>
        </is>
      </c>
      <c r="O217" s="15" t="inlineStr"/>
      <c r="P217" s="15" t="inlineStr"/>
      <c r="Q217" s="18" t="inlineStr">
        <is>
          <t>Chưa test</t>
        </is>
      </c>
      <c r="R217" s="15" t="inlineStr"/>
    </row>
    <row r="218" ht="60" customHeight="1">
      <c r="A218" s="14" t="inlineStr">
        <is>
          <t>TC-ADM3-217</t>
        </is>
      </c>
      <c r="B218" s="15" t="inlineStr">
        <is>
          <t>Admin Console (đợt 3: Phân tích, Hỗ trợ, Hệ thống)</t>
        </is>
      </c>
      <c r="C218" s="15" t="inlineStr">
        <is>
          <t>Hỗ trợ · API admin</t>
        </is>
      </c>
      <c r="D218" s="15" t="inlineStr">
        <is>
          <t>POST reply với status resolved/open và status không hợp lệ</t>
        </is>
      </c>
      <c r="E218" s="15" t="inlineStr">
        <is>
          <t>Chức năng</t>
        </is>
      </c>
      <c r="F218" s="16" t="inlineStr">
        <is>
          <t>Cao</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18" s="15" t="inlineStr">
        <is>
          <t>1. POST /support/tickets/T-2020/reply {body:'Đã sửa biên lai', status:'resolved'}
2. POST /support/tickets/T-2015/reply {body:'Đang kiểm tra', status:'open'}
3. POST .../reply {body:'x', status:'closed'}
4. POST .../reply {body:'x', status:'new'}</t>
        </is>
      </c>
      <c r="K218" s="15" t="inlineStr">
        <is>
          <t>T-2020, T-2015</t>
        </is>
      </c>
      <c r="L218" s="15" t="inlineStr">
        <is>
          <t>Lần 1: status resolved + resolvedAt; lần 2: status open; lần 3-4: 400 VALIDATION_ERROR (chỉ nhận awaiting_reply|resolved|open; muốn đóng dùng /close).</t>
        </is>
      </c>
      <c r="M218" s="15" t="inlineStr"/>
      <c r="N218" s="18" t="inlineStr">
        <is>
          <t>Chưa test</t>
        </is>
      </c>
      <c r="O218" s="15" t="inlineStr"/>
      <c r="P218" s="15" t="inlineStr"/>
      <c r="Q218" s="18" t="inlineStr">
        <is>
          <t>Chưa test</t>
        </is>
      </c>
      <c r="R218" s="15" t="inlineStr"/>
    </row>
    <row r="219" ht="60" customHeight="1">
      <c r="A219" s="14" t="inlineStr">
        <is>
          <t>TC-ADM3-218</t>
        </is>
      </c>
      <c r="B219" s="15" t="inlineStr">
        <is>
          <t>Admin Console (đợt 3: Phân tích, Hỗ trợ, Hệ thống)</t>
        </is>
      </c>
      <c r="C219" s="15" t="inlineStr">
        <is>
          <t>Hỗ trợ · API admin</t>
        </is>
      </c>
      <c r="D219" s="15" t="inlineStr">
        <is>
          <t>POST reply validate: body rỗng, quá 5000 ký tự; ticket đã đóng trả 409</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19" s="15" t="inlineStr">
        <is>
          <t>1. POST /support/tickets/T-2012/reply {body:''}
2. POST {body:'&lt;5001 ký tự&gt;'}
3. POST /support/tickets/T-2007/reply {body:'x'} (đã đóng)
4. POST /support/tickets/T-9999/reply {body:'x'}</t>
        </is>
      </c>
      <c r="K219" s="15" t="inlineStr">
        <is>
          <t>-</t>
        </is>
      </c>
      <c r="L219" s="15" t="inlineStr">
        <is>
          <t>Lần 1: 400 'Vui lòng nhập nội dung'; lần 2: 400 'Nội dung tối đa 5000 ký tự'; lần 3: 409 'Ticket đã đóng, hãy mở lại trước khi trả lời'; lần 4: 404.</t>
        </is>
      </c>
      <c r="M219" s="15" t="inlineStr"/>
      <c r="N219" s="18" t="inlineStr">
        <is>
          <t>Chưa test</t>
        </is>
      </c>
      <c r="O219" s="15" t="inlineStr"/>
      <c r="P219" s="15" t="inlineStr"/>
      <c r="Q219" s="18" t="inlineStr">
        <is>
          <t>Chưa test</t>
        </is>
      </c>
      <c r="R219" s="15" t="inlineStr"/>
    </row>
    <row r="220" ht="30" customHeight="1">
      <c r="A220" s="14" t="inlineStr">
        <is>
          <t>TC-ADM3-219</t>
        </is>
      </c>
      <c r="B220" s="15" t="inlineStr">
        <is>
          <t>Admin Console (đợt 3: Phân tích, Hỗ trợ, Hệ thống)</t>
        </is>
      </c>
      <c r="C220" s="15" t="inlineStr">
        <is>
          <t>Hỗ trợ · API admin</t>
        </is>
      </c>
      <c r="D220" s="15" t="inlineStr">
        <is>
          <t>Reply vào ticket đã resolved làm resolvedAt bị xóa (mở lại ngầm) khi dùng trạng thái mặc định</t>
        </is>
      </c>
      <c r="E220" s="15" t="inlineStr">
        <is>
          <t>Chức năng</t>
        </is>
      </c>
      <c r="F220" s="17" t="inlineStr">
        <is>
          <t>Thấp</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20" s="15" t="inlineStr">
        <is>
          <t>1. POST /support/tickets/T-2005/reply {body:'Cần thêm thông tin'} (T-2005 đã xử lý)
2. GET /support/tickets/T-2005</t>
        </is>
      </c>
      <c r="K220" s="15" t="inlineStr">
        <is>
          <t>T-2005</t>
        </is>
      </c>
      <c r="L220" s="15" t="inlineStr">
        <is>
          <t>status chuyển 'awaiting_reply' và resolvedAt = null (không cần gọi /reopen). Ghi nhận hành vi: trả lời mặc định sẽ mở lại ticket đã xử lý.</t>
        </is>
      </c>
      <c r="M220" s="15" t="inlineStr"/>
      <c r="N220" s="18" t="inlineStr">
        <is>
          <t>Chưa test</t>
        </is>
      </c>
      <c r="O220" s="15" t="inlineStr"/>
      <c r="P220" s="15" t="inlineStr"/>
      <c r="Q220" s="18" t="inlineStr">
        <is>
          <t>Chưa test</t>
        </is>
      </c>
      <c r="R220" s="15" t="inlineStr"/>
    </row>
    <row r="221" ht="60" customHeight="1">
      <c r="A221" s="14" t="inlineStr">
        <is>
          <t>TC-ADM3-220</t>
        </is>
      </c>
      <c r="B221" s="15" t="inlineStr">
        <is>
          <t>Admin Console (đợt 3: Phân tích, Hỗ trợ, Hệ thống)</t>
        </is>
      </c>
      <c r="C221" s="15" t="inlineStr">
        <is>
          <t>Hỗ trợ · API admin</t>
        </is>
      </c>
      <c r="D221" s="15" t="inlineStr">
        <is>
          <t>POST note: thêm ghi chú nội bộ (≤2000 ký tự), khách không thấy, không đổi trạng thái</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21" s="15" t="inlineStr">
        <is>
          <t>1. POST /support/tickets/T-2009/note {body:'Hẹn gọi lại'}
2. POST {body:''}
3. POST {body:'&lt;2001 ký tự&gt;'}
4. GET ticket bằng token sarah@ (người gửi) qua /api/support/tickets/T-2009</t>
        </is>
      </c>
      <c r="K221" s="15" t="inlineStr">
        <is>
          <t>T-2009</t>
        </is>
      </c>
      <c r="L221" s="15" t="inlineStr">
        <is>
          <t>Lần 1: 200 messages có kind='internal_note'; lần 2: 400 'Vui lòng nhập ghi chú'; lần 3: 400; Sarah KHÔNG thấy ghi chú trong /api/support/tickets/T-2009 và messageCount không tính ghi chú.</t>
        </is>
      </c>
      <c r="M221" s="15" t="inlineStr"/>
      <c r="N221" s="18" t="inlineStr">
        <is>
          <t>Chưa test</t>
        </is>
      </c>
      <c r="O221" s="15" t="inlineStr"/>
      <c r="P221" s="15" t="inlineStr"/>
      <c r="Q221" s="18" t="inlineStr">
        <is>
          <t>Chưa test</t>
        </is>
      </c>
      <c r="R221" s="15" t="inlineStr"/>
    </row>
    <row r="222" ht="90" customHeight="1">
      <c r="A222" s="14" t="inlineStr">
        <is>
          <t>TC-ADM3-221</t>
        </is>
      </c>
      <c r="B222" s="15" t="inlineStr">
        <is>
          <t>Admin Console (đợt 3: Phân tích, Hỗ trợ, Hệ thống)</t>
        </is>
      </c>
      <c r="C222" s="15" t="inlineStr">
        <is>
          <t>Hỗ trợ · API admin</t>
        </is>
      </c>
      <c r="D222" s="15" t="inlineStr">
        <is>
          <t>POST escalate: nâng ưu tiên, escalated=true, tin hệ thống; lần 2 trả 409; ticket đã giải quyết trả 409</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22"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222" s="15" t="inlineStr">
        <is>
          <t>T-2012, T-2013</t>
        </is>
      </c>
      <c r="L222"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222" s="15" t="inlineStr"/>
      <c r="N222" s="18" t="inlineStr">
        <is>
          <t>Chưa test</t>
        </is>
      </c>
      <c r="O222" s="15" t="inlineStr"/>
      <c r="P222" s="15" t="inlineStr"/>
      <c r="Q222" s="18" t="inlineStr">
        <is>
          <t>Chưa test</t>
        </is>
      </c>
      <c r="R222" s="15" t="inlineStr"/>
    </row>
    <row r="223" ht="120" customHeight="1">
      <c r="A223" s="14" t="inlineStr">
        <is>
          <t>TC-ADM3-222</t>
        </is>
      </c>
      <c r="B223" s="15" t="inlineStr">
        <is>
          <t>Admin Console (đợt 3: Phân tích, Hỗ trợ, Hệ thống)</t>
        </is>
      </c>
      <c r="C223" s="15" t="inlineStr">
        <is>
          <t>Hỗ trợ · API admin</t>
        </is>
      </c>
      <c r="D223" s="15" t="inlineStr">
        <is>
          <t>POST resolve/close/reopen đúng luồng trạng thái và 409 sai trạng thái</t>
        </is>
      </c>
      <c r="E223" s="15" t="inlineStr">
        <is>
          <t>Chức năng</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23" s="15" t="inlineStr">
        <is>
          <t>1. resolve T-2013 {note:'Xong'}
2. resolve T-2013 lần 2
3. close T-2013
4. close T-2013 lần 2
5. resolve T-2013 (đã đóng)
6. reopen T-2013
7. reopen T-2013 lần 2
8. resolve T-2012 (Mới) rồi close</t>
        </is>
      </c>
      <c r="K223" s="15" t="inlineStr">
        <is>
          <t>T-2013</t>
        </is>
      </c>
      <c r="L223"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223" s="15" t="inlineStr"/>
      <c r="N223" s="18" t="inlineStr">
        <is>
          <t>Chưa test</t>
        </is>
      </c>
      <c r="O223" s="15" t="inlineStr"/>
      <c r="P223" s="15" t="inlineStr"/>
      <c r="Q223" s="18" t="inlineStr">
        <is>
          <t>Chưa test</t>
        </is>
      </c>
      <c r="R223" s="15" t="inlineStr"/>
    </row>
    <row r="224" ht="30" customHeight="1">
      <c r="A224" s="14" t="inlineStr">
        <is>
          <t>TC-ADM3-223</t>
        </is>
      </c>
      <c r="B224" s="15" t="inlineStr">
        <is>
          <t>Admin Console (đợt 3: Phân tích, Hỗ trợ, Hệ thống)</t>
        </is>
      </c>
      <c r="C224" s="15" t="inlineStr">
        <is>
          <t>Hỗ trợ · API admin</t>
        </is>
      </c>
      <c r="D224" s="15" t="inlineStr">
        <is>
          <t>Mỗi thao tác ghi của Hỗ trợ tạo 1 dòng audit đúng mã action</t>
        </is>
      </c>
      <c r="E224" s="15" t="inlineStr">
        <is>
          <t>Chức năng</t>
        </is>
      </c>
      <c r="F224" s="20" t="inlineStr">
        <is>
          <t>Trung bình</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24" s="15" t="inlineStr">
        <is>
          <t>1. Thực hiện create, update, assign, reply, note, escalate, resolve, close, reopen trên một ticket QA
2. GET /admin/audit-logs?targetType=ticket&amp;limit=50</t>
        </is>
      </c>
      <c r="K224" s="15" t="inlineStr">
        <is>
          <t>-</t>
        </is>
      </c>
      <c r="L224" s="15" t="inlineStr">
        <is>
          <t>9 dòng với action: support.ticket.create/update/assign/reply/note/escalate/resolve/close/reopen; targetType=ticket; targetLabel dạng 'T-xxxx · &lt;80 ký tự đầu chủ đề&gt;'; escalate có reason; resolve/close/reopen có note; có ip.</t>
        </is>
      </c>
      <c r="M224" s="15" t="inlineStr"/>
      <c r="N224" s="18" t="inlineStr">
        <is>
          <t>Chưa test</t>
        </is>
      </c>
      <c r="O224" s="15" t="inlineStr"/>
      <c r="P224" s="15" t="inlineStr"/>
      <c r="Q224" s="18" t="inlineStr">
        <is>
          <t>Chưa test</t>
        </is>
      </c>
      <c r="R224" s="15" t="inlineStr"/>
    </row>
    <row r="225" ht="30" customHeight="1">
      <c r="A225" s="14" t="inlineStr">
        <is>
          <t>TC-ADM3-224</t>
        </is>
      </c>
      <c r="B225" s="15" t="inlineStr">
        <is>
          <t>Admin Console (đợt 3: Phân tích, Hỗ trợ, Hệ thống)</t>
        </is>
      </c>
      <c r="C225" s="15" t="inlineStr">
        <is>
          <t>Hỗ trợ · API admin</t>
        </is>
      </c>
      <c r="D225" s="15" t="inlineStr">
        <is>
          <t>Quyền support.manage: Moderator/Finance 403 ở mọi route Hỗ trợ, Support và Super Admin qua</t>
        </is>
      </c>
      <c r="E225" s="15" t="inlineStr">
        <is>
          <t>Bảo mật</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 finance@, support@.</t>
        </is>
      </c>
      <c r="J225" s="15" t="inlineStr">
        <is>
          <t>1. GET /admin/support/summary và POST /admin/support/tickets bằng 3 token</t>
        </is>
      </c>
      <c r="K225" s="15" t="inlineStr">
        <is>
          <t>-</t>
        </is>
      </c>
      <c r="L225" s="15" t="inlineStr">
        <is>
          <t>support@ qua; moderator@ và finance@ 403 'Vai trò ... không có quyền "support.manage"'.</t>
        </is>
      </c>
      <c r="M225" s="15" t="inlineStr"/>
      <c r="N225" s="18" t="inlineStr">
        <is>
          <t>Chưa test</t>
        </is>
      </c>
      <c r="O225" s="15" t="inlineStr"/>
      <c r="P225" s="15" t="inlineStr"/>
      <c r="Q225" s="18" t="inlineStr">
        <is>
          <t>Chưa test</t>
        </is>
      </c>
      <c r="R225" s="15" t="inlineStr"/>
    </row>
    <row r="226" ht="30" customHeight="1">
      <c r="A226" s="14" t="inlineStr">
        <is>
          <t>TC-ADM3-225</t>
        </is>
      </c>
      <c r="B226" s="15" t="inlineStr">
        <is>
          <t>Admin Console (đợt 3: Phân tích, Hỗ trợ, Hệ thống)</t>
        </is>
      </c>
      <c r="C226" s="15" t="inlineStr">
        <is>
          <t>Hỗ trợ · API admin</t>
        </is>
      </c>
      <c r="D226" s="15" t="inlineStr">
        <is>
          <t>Race: 2 nhân viên cùng giao/đóng một ticket đồng thời không làm hỏng dữ liệu</t>
        </is>
      </c>
      <c r="E226" s="15" t="inlineStr">
        <is>
          <t>Chức năng</t>
        </is>
      </c>
      <c r="F226" s="17" t="inlineStr">
        <is>
          <t>Thấp</t>
        </is>
      </c>
      <c r="G226" s="17" t="inlineStr">
        <is>
          <t>Đã hoàn thiện</t>
        </is>
      </c>
      <c r="H226" s="16" t="inlineStr">
        <is>
          <t>Không</t>
        </is>
      </c>
      <c r="I2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26" s="15" t="inlineStr">
        <is>
          <t>1. Song song: POST /support/tickets/T-2018/assign {assigneeId:'me'} bằng support@ và assign cho Tom bằng admin@
2. Song song 2 request close cùng ticket</t>
        </is>
      </c>
      <c r="K226" s="15" t="inlineStr">
        <is>
          <t>T-2018</t>
        </is>
      </c>
      <c r="L226" s="15" t="inlineStr">
        <is>
          <t>Kết quả cuối nhất quán (1 người phụ trách); 2 lệnh close: 1 request 200, 1 request 409 'Ticket đã đóng'; không có tin trùng/ghi nửa chừng.</t>
        </is>
      </c>
      <c r="M226" s="15" t="inlineStr"/>
      <c r="N226" s="18" t="inlineStr">
        <is>
          <t>Chưa test</t>
        </is>
      </c>
      <c r="O226" s="15" t="inlineStr"/>
      <c r="P226" s="15" t="inlineStr"/>
      <c r="Q226" s="18" t="inlineStr">
        <is>
          <t>Chưa test</t>
        </is>
      </c>
      <c r="R226" s="15" t="inlineStr"/>
    </row>
    <row r="227" ht="45" customHeight="1">
      <c r="A227" s="14" t="inlineStr">
        <is>
          <t>TC-ADM3-226</t>
        </is>
      </c>
      <c r="B227" s="15" t="inlineStr">
        <is>
          <t>Admin Console (đợt 3: Phân tích, Hỗ trợ, Hệ thống)</t>
        </is>
      </c>
      <c r="C227" s="15" t="inlineStr">
        <is>
          <t>Hỗ trợ · API phía người dùng và form liên hệ</t>
        </is>
      </c>
      <c r="D227" s="15" t="inlineStr">
        <is>
          <t>POST /api/support/tickets tạo ticket của tôi: 201, nguồn 'user', không lộ trường nội bộ</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27" s="15" t="inlineStr">
        <is>
          <t>1. POST /api/support/tickets {subject:'Không vào được lớp học', message:'Tôi bấm vào bài học nhưng bị khóa', category:'creator'} bằng token sarah@
2. Đọc response
3. Mở /admin/support/tickets bằng admin@ tìm ticket mới</t>
        </is>
      </c>
      <c r="K227" s="15" t="inlineStr">
        <is>
          <t>category creator</t>
        </is>
      </c>
      <c r="L227"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227" s="15" t="inlineStr"/>
      <c r="N227" s="18" t="inlineStr">
        <is>
          <t>Chưa test</t>
        </is>
      </c>
      <c r="O227" s="15" t="inlineStr"/>
      <c r="P227" s="15" t="inlineStr"/>
      <c r="Q227" s="18" t="inlineStr">
        <is>
          <t>Chưa test</t>
        </is>
      </c>
      <c r="R227" s="15" t="inlineStr"/>
    </row>
    <row r="228" ht="105" customHeight="1">
      <c r="A228" s="14" t="inlineStr">
        <is>
          <t>TC-ADM3-227</t>
        </is>
      </c>
      <c r="B228" s="15" t="inlineStr">
        <is>
          <t>Admin Console (đợt 3: Phân tích, Hỗ trợ, Hệ thống)</t>
        </is>
      </c>
      <c r="C228" s="15" t="inlineStr">
        <is>
          <t>Hỗ trợ · API phía người dùng và form liên hệ</t>
        </is>
      </c>
      <c r="D228" s="15" t="inlineStr">
        <is>
          <t>POST /api/support/tickets: category mặc định 'user'; validate subject/message/category; 401 khi chưa đăng nhập</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28" s="15" t="inlineStr">
        <is>
          <t>1. POST {subject:'A', message:'B'} (không category)
2. POST {subject:'', message:'B'}
3. POST {subject:'A', message:''}
4. POST {subject:'A', message:'&lt;5001 ký tự&gt;'}
5. POST {subject:'&lt;201 ký tự&gt;', message:'B'}
6. POST {subject:'A', message:'B', category:'other'}
7. POST không token</t>
        </is>
      </c>
      <c r="K228" s="15" t="inlineStr">
        <is>
          <t>-</t>
        </is>
      </c>
      <c r="L228" s="15" t="inlineStr">
        <is>
          <t>Lần 1: 201 category 'user'. Lần 2: 400 'Vui lòng nhập tiêu đề'; lần 3: 400 'Vui lòng nhập nội dung'; lần 4: 400 'Nội dung tối đa 5000 ký tự'; lần 5-6: 400; lần 7: 401 UNAUTHORIZED.</t>
        </is>
      </c>
      <c r="M228" s="15" t="inlineStr"/>
      <c r="N228" s="18" t="inlineStr">
        <is>
          <t>Chưa test</t>
        </is>
      </c>
      <c r="O228" s="15" t="inlineStr"/>
      <c r="P228" s="15" t="inlineStr"/>
      <c r="Q228" s="18" t="inlineStr">
        <is>
          <t>Chưa test</t>
        </is>
      </c>
      <c r="R228" s="15" t="inlineStr"/>
    </row>
    <row r="229" ht="75" customHeight="1">
      <c r="A229" s="14" t="inlineStr">
        <is>
          <t>TC-ADM3-228</t>
        </is>
      </c>
      <c r="B229" s="15" t="inlineStr">
        <is>
          <t>Admin Console (đợt 3: Phân tích, Hỗ trợ, Hệ thống)</t>
        </is>
      </c>
      <c r="C229" s="15" t="inlineStr">
        <is>
          <t>Hỗ trợ · API phía người dùng và form liên hệ</t>
        </is>
      </c>
      <c r="D229" s="15" t="inlineStr">
        <is>
          <t>GET /api/support/tickets chỉ trả ticket của chính tôi, phân trang, mới cập nhật trước</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229" s="15" t="inlineStr">
        <is>
          <t>1. GET /api/support/tickets bằng token sarah@
2. GET ?limit=1&amp;page=2
3. GET ?limit=51
4. GET bằng token member1@ (chưa có ticket)
5. GET không token</t>
        </is>
      </c>
      <c r="K229" s="15" t="inlineStr">
        <is>
          <t>sarah@</t>
        </is>
      </c>
      <c r="L229"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229" s="15" t="inlineStr"/>
      <c r="N229" s="18" t="inlineStr">
        <is>
          <t>Chưa test</t>
        </is>
      </c>
      <c r="O229" s="15" t="inlineStr"/>
      <c r="P229" s="15" t="inlineStr"/>
      <c r="Q229" s="18" t="inlineStr">
        <is>
          <t>Chưa test</t>
        </is>
      </c>
      <c r="R229" s="15" t="inlineStr"/>
    </row>
    <row r="230" ht="45" customHeight="1">
      <c r="A230" s="14" t="inlineStr">
        <is>
          <t>TC-ADM3-229</t>
        </is>
      </c>
      <c r="B230" s="15" t="inlineStr">
        <is>
          <t>Admin Console (đợt 3: Phân tích, Hỗ trợ, Hệ thống)</t>
        </is>
      </c>
      <c r="C230" s="15" t="inlineStr">
        <is>
          <t>Hỗ trợ · API phía người dùng và form liên hệ</t>
        </is>
      </c>
      <c r="D230" s="15" t="inlineStr">
        <is>
          <t>GET /api/support/tickets/:id: người gửi thấy hội thoại, KHÔNG thấy ghi chú nội bộ và tin hệ thống</t>
        </is>
      </c>
      <c r="E230" s="15" t="inlineStr">
        <is>
          <t>Bảo mật</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230" s="15" t="inlineStr">
        <is>
          <t>1. GET /api/support/tickets/T-2001 bằng token sarah@
2. GET /api/support/tickets/&lt;uuid&gt; cùng ticket
3. Đối chiếu với GET /api/admin/support/tickets/T-2001</t>
        </is>
      </c>
      <c r="K230" s="15" t="inlineStr">
        <is>
          <t>T-2001</t>
        </is>
      </c>
      <c r="L230"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230" s="15" t="inlineStr"/>
      <c r="N230" s="18" t="inlineStr">
        <is>
          <t>Chưa test</t>
        </is>
      </c>
      <c r="O230" s="15" t="inlineStr"/>
      <c r="P230" s="15" t="inlineStr"/>
      <c r="Q230" s="18" t="inlineStr">
        <is>
          <t>Chưa test</t>
        </is>
      </c>
      <c r="R230" s="15" t="inlineStr"/>
    </row>
    <row r="231" ht="60" customHeight="1">
      <c r="A231" s="14" t="inlineStr">
        <is>
          <t>TC-ADM3-230</t>
        </is>
      </c>
      <c r="B231" s="15" t="inlineStr">
        <is>
          <t>Admin Console (đợt 3: Phân tích, Hỗ trợ, Hệ thống)</t>
        </is>
      </c>
      <c r="C231" s="15" t="inlineStr">
        <is>
          <t>Hỗ trợ · API phía người dùng và form liên hệ</t>
        </is>
      </c>
      <c r="D231" s="15" t="inlineStr">
        <is>
          <t>Người dùng không xem/trả lời được ticket của người khác (404, không lộ tồn tại)</t>
        </is>
      </c>
      <c r="E231" s="15" t="inlineStr">
        <is>
          <t>Bảo mật</t>
        </is>
      </c>
      <c r="F231" s="16" t="inlineStr">
        <is>
          <t>Cao</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231" s="15" t="inlineStr">
        <is>
          <t>1. Bằng token member1@: GET /api/support/tickets/T-2001
2. POST /api/support/tickets/T-2001/reply {body:'x'}
3. GET /api/support/tickets/T-9999
4. Bằng token sarah@: GET /api/support/tickets/T-2002 (của alex)</t>
        </is>
      </c>
      <c r="K231" s="15" t="inlineStr">
        <is>
          <t>member1@, sarah@</t>
        </is>
      </c>
      <c r="L231" s="15" t="inlineStr">
        <is>
          <t>Mọi lệnh 404 NOT_FOUND 'Không tìm thấy ticket' (cùng thông điệp cho ticket không tồn tại và ticket của người khác); không 403 để tránh lộ.</t>
        </is>
      </c>
      <c r="M231" s="15" t="inlineStr"/>
      <c r="N231" s="18" t="inlineStr">
        <is>
          <t>Chưa test</t>
        </is>
      </c>
      <c r="O231" s="15" t="inlineStr"/>
      <c r="P231" s="15" t="inlineStr"/>
      <c r="Q231" s="18" t="inlineStr">
        <is>
          <t>Chưa test</t>
        </is>
      </c>
      <c r="R231" s="15" t="inlineStr"/>
    </row>
    <row r="232" ht="60" customHeight="1">
      <c r="A232" s="14" t="inlineStr">
        <is>
          <t>TC-ADM3-231</t>
        </is>
      </c>
      <c r="B232" s="15" t="inlineStr">
        <is>
          <t>Admin Console (đợt 3: Phân tích, Hỗ trợ, Hệ thống)</t>
        </is>
      </c>
      <c r="C232" s="15" t="inlineStr">
        <is>
          <t>Hỗ trợ · API phía người dùng và form liên hệ</t>
        </is>
      </c>
      <c r="D232" s="15" t="inlineStr">
        <is>
          <t>POST /api/support/tickets/:id/reply: thêm tin khách, mở lại ticket đang chờ/đã xử lý</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232" s="15" t="inlineStr">
        <is>
          <t>1. Bằng token daniel@: POST /api/support/tickets/T-2003/reply {body:'Email cũ của tôi: abc@x.com'} (T-2003 Chờ phản hồi)
2. GET ticket bằng admin@
3. Bằng token liam@: reply T-2005 (Đã xử lý)
4. Bằng token alex@: reply T-2002 (Mới)</t>
        </is>
      </c>
      <c r="K232" s="15" t="inlineStr">
        <is>
          <t>T-2003, T-2005, T-2002</t>
        </is>
      </c>
      <c r="L232" s="15" t="inlineStr">
        <is>
          <t>T-2003: tin 'customer' mới, status -&gt; 'open'; T-2005 (resolved) -&gt; 'open' và resolvedAt = null; T-2002 (Mới) giữ 'new'. lastActivityAt mới nên ticket nổi lên đầu danh sách admin.</t>
        </is>
      </c>
      <c r="M232" s="15" t="inlineStr"/>
      <c r="N232" s="18" t="inlineStr">
        <is>
          <t>Chưa test</t>
        </is>
      </c>
      <c r="O232" s="15" t="inlineStr"/>
      <c r="P232" s="15" t="inlineStr"/>
      <c r="Q232" s="18" t="inlineStr">
        <is>
          <t>Chưa test</t>
        </is>
      </c>
      <c r="R232" s="15" t="inlineStr"/>
    </row>
    <row r="233" ht="45" customHeight="1">
      <c r="A233" s="14" t="inlineStr">
        <is>
          <t>TC-ADM3-232</t>
        </is>
      </c>
      <c r="B233" s="15" t="inlineStr">
        <is>
          <t>Admin Console (đợt 3: Phân tích, Hỗ trợ, Hệ thống)</t>
        </is>
      </c>
      <c r="C233" s="15" t="inlineStr">
        <is>
          <t>Hỗ trợ · API phía người dùng và form liên hệ</t>
        </is>
      </c>
      <c r="D233" s="15" t="inlineStr">
        <is>
          <t>Người dùng trả lời ticket đã đóng nhận 409 'Yêu cầu đã đóng'; body rỗng/quá dài 400</t>
        </is>
      </c>
      <c r="E233" s="15" t="inlineStr">
        <is>
          <t>Chức năng</t>
        </is>
      </c>
      <c r="F233" s="20" t="inlineStr">
        <is>
          <t>Trung bình</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233" s="15" t="inlineStr">
        <is>
          <t>1. Bằng token noah@: POST /api/support/tickets/T-2007/reply {body:'x'} (đã đóng)
2. POST ... {body:''}
3. POST ... {body:'&lt;5001 ký tự&gt;'} trên ticket mở của noah (T-2013)</t>
        </is>
      </c>
      <c r="K233" s="15" t="inlineStr">
        <is>
          <t>T-2007, T-2013</t>
        </is>
      </c>
      <c r="L233" s="15" t="inlineStr">
        <is>
          <t>Lần 1: 409 CONFLICT 'Yêu cầu đã đóng'; lần 2: 400 'Vui lòng nhập nội dung'; lần 3: 400 'Nội dung tối đa 5000 ký tự'.</t>
        </is>
      </c>
      <c r="M233" s="15" t="inlineStr"/>
      <c r="N233" s="18" t="inlineStr">
        <is>
          <t>Chưa test</t>
        </is>
      </c>
      <c r="O233" s="15" t="inlineStr"/>
      <c r="P233" s="15" t="inlineStr"/>
      <c r="Q233" s="18" t="inlineStr">
        <is>
          <t>Chưa test</t>
        </is>
      </c>
      <c r="R233" s="15" t="inlineStr"/>
    </row>
    <row r="234" ht="45" customHeight="1">
      <c r="A234" s="14" t="inlineStr">
        <is>
          <t>TC-ADM3-233</t>
        </is>
      </c>
      <c r="B234" s="15" t="inlineStr">
        <is>
          <t>Admin Console (đợt 3: Phân tích, Hỗ trợ, Hệ thống)</t>
        </is>
      </c>
      <c r="C234" s="15" t="inlineStr">
        <is>
          <t>Hỗ trợ · API phía người dùng và form liên hệ</t>
        </is>
      </c>
      <c r="D234" s="15" t="inlineStr">
        <is>
          <t>Phản hồi của nhân viên hiện cho người dùng, email trả lời nằm trong outbox</t>
        </is>
      </c>
      <c r="E234" s="15" t="inlineStr">
        <is>
          <t>Chức năng</t>
        </is>
      </c>
      <c r="F234" s="16" t="inlineStr">
        <is>
          <t>Cao</t>
        </is>
      </c>
      <c r="G234" s="17" t="inlineStr">
        <is>
          <t>Đã hoàn thiện</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234" s="15" t="inlineStr">
        <is>
          <t>1. admin@ trả lời T-2001 'Đã áp dụng bản sửa, bạn thử lại nhé' (chờ phản hồi)
2. sarah@ GET /api/support/tickets/T-2001
3. GET /api/dev/outbox?to=sarah@sofinhub.test</t>
        </is>
      </c>
      <c r="K234" s="15" t="inlineStr">
        <is>
          <t>T-2001</t>
        </is>
      </c>
      <c r="L234"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234" s="15" t="inlineStr"/>
      <c r="N234" s="18" t="inlineStr">
        <is>
          <t>Chưa test</t>
        </is>
      </c>
      <c r="O234" s="15" t="inlineStr"/>
      <c r="P234" s="15" t="inlineStr"/>
      <c r="Q234" s="18" t="inlineStr">
        <is>
          <t>Chưa test</t>
        </is>
      </c>
      <c r="R234" s="15" t="inlineStr"/>
    </row>
    <row r="235" ht="45" customHeight="1">
      <c r="A235" s="14" t="inlineStr">
        <is>
          <t>TC-ADM3-234</t>
        </is>
      </c>
      <c r="B235" s="15" t="inlineStr">
        <is>
          <t>Admin Console (đợt 3: Phân tích, Hỗ trợ, Hệ thống)</t>
        </is>
      </c>
      <c r="C235" s="15" t="inlineStr">
        <is>
          <t>Hỗ trợ · API phía người dùng và form liên hệ</t>
        </is>
      </c>
      <c r="D235" s="15" t="inlineStr">
        <is>
          <t>POST /api/contact (khách chưa đăng nhập): 202 và tạo ticket nguồn contact_form</t>
        </is>
      </c>
      <c r="E235" s="15" t="inlineStr">
        <is>
          <t>Chức năng</t>
        </is>
      </c>
      <c r="F235" s="16" t="inlineStr">
        <is>
          <t>Cao</t>
        </is>
      </c>
      <c r="G235" s="17" t="inlineStr">
        <is>
          <t>Đã hoàn thiện</t>
        </is>
      </c>
      <c r="H235" s="20" t="inlineStr">
        <is>
          <t>Một phần</t>
        </is>
      </c>
      <c r="I235"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235" s="15" t="inlineStr">
        <is>
          <t>1. POST /api/contact {name:'Khách QA', email:'khach.qa@example.com', subject:'Hỏi về gói', message:'Tôi muốn hỏi giá', category:'payment'} KHÔNG token
2. Mở /admin/support/payment bằng admin@
3. GET /api/dev/outbox?to=&lt;supportEmail&gt;</t>
        </is>
      </c>
      <c r="K235" s="15" t="inlineStr">
        <is>
          <t>khach.qa@example.com</t>
        </is>
      </c>
      <c r="L235"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235" s="15" t="inlineStr"/>
      <c r="N235" s="18" t="inlineStr">
        <is>
          <t>Chưa test</t>
        </is>
      </c>
      <c r="O235" s="15" t="inlineStr"/>
      <c r="P235" s="15" t="inlineStr"/>
      <c r="Q235" s="18" t="inlineStr">
        <is>
          <t>Chưa test</t>
        </is>
      </c>
      <c r="R235" s="15" t="inlineStr"/>
    </row>
    <row r="236" ht="30" customHeight="1">
      <c r="A236" s="14" t="inlineStr">
        <is>
          <t>TC-ADM3-235</t>
        </is>
      </c>
      <c r="B236" s="15" t="inlineStr">
        <is>
          <t>Admin Console (đợt 3: Phân tích, Hỗ trợ, Hệ thống)</t>
        </is>
      </c>
      <c r="C236" s="15" t="inlineStr">
        <is>
          <t>Hỗ trợ · API phía người dùng và form liên hệ</t>
        </is>
      </c>
      <c r="D236" s="15" t="inlineStr">
        <is>
          <t>POST /api/contact liên kết tài khoản khi email khớp người dùng</t>
        </is>
      </c>
      <c r="E236" s="15" t="inlineStr">
        <is>
          <t>Chức năng</t>
        </is>
      </c>
      <c r="F236" s="20" t="inlineStr">
        <is>
          <t>Trung bình</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236" s="15" t="inlineStr">
        <is>
          <t>1. POST /api/contact {name:'Alex', email:'ALEX@SOFINHUB.TEST', subject:'Liên hệ', message:'Hi'} (email viết hoa)
2. Mở ticket mới ở /admin/support/tickets</t>
        </is>
      </c>
      <c r="K236" s="15" t="inlineStr">
        <is>
          <t>ALEX@SOFINHUB.TEST</t>
        </is>
      </c>
      <c r="L236" s="15" t="inlineStr">
        <is>
          <t>Email được chuẩn hóa chữ thường; ticket gắn requester = Alex Rivera (có nút 'Xem người dùng'); category mặc định 'user'.</t>
        </is>
      </c>
      <c r="M236" s="15" t="inlineStr"/>
      <c r="N236" s="18" t="inlineStr">
        <is>
          <t>Chưa test</t>
        </is>
      </c>
      <c r="O236" s="15" t="inlineStr"/>
      <c r="P236" s="15" t="inlineStr"/>
      <c r="Q236" s="18" t="inlineStr">
        <is>
          <t>Chưa test</t>
        </is>
      </c>
      <c r="R236" s="15" t="inlineStr"/>
    </row>
    <row r="237" ht="90" customHeight="1">
      <c r="A237" s="14" t="inlineStr">
        <is>
          <t>TC-ADM3-236</t>
        </is>
      </c>
      <c r="B237" s="15" t="inlineStr">
        <is>
          <t>Admin Console (đợt 3: Phân tích, Hỗ trợ, Hệ thống)</t>
        </is>
      </c>
      <c r="C237" s="15" t="inlineStr">
        <is>
          <t>Hỗ trợ · API phía người dùng và form liên hệ</t>
        </is>
      </c>
      <c r="D237" s="15" t="inlineStr">
        <is>
          <t>POST /api/contact validate và giới hạn tốc độ 5 lần/khoảng</t>
        </is>
      </c>
      <c r="E237" s="15" t="inlineStr">
        <is>
          <t>Bảo mật</t>
        </is>
      </c>
      <c r="F237" s="20" t="inlineStr">
        <is>
          <t>Trung bình</t>
        </is>
      </c>
      <c r="G237" s="17" t="inlineStr">
        <is>
          <t>Đã hoàn thiện</t>
        </is>
      </c>
      <c r="H237" s="20" t="inlineStr">
        <is>
          <t>Một phần</t>
        </is>
      </c>
      <c r="I237"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237" s="15" t="inlineStr">
        <is>
          <t>1. POST /api/contact thiếu name
2. email sai định dạng
3. subject rỗng
4. message 5001 ký tự
5. category:'x'
6. Gửi liên tiếp 6 yêu cầu hợp lệ</t>
        </is>
      </c>
      <c r="K237" s="15" t="inlineStr">
        <is>
          <t>-</t>
        </is>
      </c>
      <c r="L237"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237" s="15" t="inlineStr"/>
      <c r="N237" s="18" t="inlineStr">
        <is>
          <t>Chưa test</t>
        </is>
      </c>
      <c r="O237" s="15" t="inlineStr"/>
      <c r="P237" s="15" t="inlineStr"/>
      <c r="Q237" s="18" t="inlineStr">
        <is>
          <t>Chưa test</t>
        </is>
      </c>
      <c r="R237" s="15" t="inlineStr"/>
    </row>
    <row r="238" ht="60" customHeight="1">
      <c r="A238" s="14" t="inlineStr">
        <is>
          <t>TC-ADM3-237</t>
        </is>
      </c>
      <c r="B238" s="15" t="inlineStr">
        <is>
          <t>Admin Console (đợt 3: Phân tích, Hỗ trợ, Hệ thống)</t>
        </is>
      </c>
      <c r="C238" s="15" t="inlineStr">
        <is>
          <t>Hỗ trợ · API phía người dùng và form liên hệ</t>
        </is>
      </c>
      <c r="D238" s="15" t="inlineStr">
        <is>
          <t>Email '[Liên hệ]' gửi tới email hỗ trợ lấy từ Cài đặt chung (đổi được không cần restart)</t>
        </is>
      </c>
      <c r="E238" s="15" t="inlineStr">
        <is>
          <t>Chức năng</t>
        </is>
      </c>
      <c r="F238" s="20" t="inlineStr">
        <is>
          <t>Trung bình</t>
        </is>
      </c>
      <c r="G238" s="17" t="inlineStr">
        <is>
          <t>Đã hoàn thiện</t>
        </is>
      </c>
      <c r="H238" s="20" t="inlineStr">
        <is>
          <t>Một phần</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238" s="15" t="inlineStr">
        <is>
          <t>1. PATCH /admin/system/settings {platform:{supportEmail:'ho-tro-qa@example.com'}}
2. POST /api/contact hợp lệ
3. GET /api/dev/outbox?to=ho-tro-qa@example.com
4. POST /admin/system/settings/reset {keys:['platform.supportEmail']}</t>
        </is>
      </c>
      <c r="K238" s="15" t="inlineStr">
        <is>
          <t>ho-tro-qa@example.com</t>
        </is>
      </c>
      <c r="L238" s="15" t="inlineStr">
        <is>
          <t>Thư '[Liên hệ] ...' nằm ở outbox của ho-tro-qa@example.com (cache cấu hình cập nhật ngay trong cùng tiến trình; nhiều instance lệch tối đa 10 giây); sau reset quay về email mặc định.</t>
        </is>
      </c>
      <c r="M238" s="15" t="inlineStr"/>
      <c r="N238" s="18" t="inlineStr">
        <is>
          <t>Chưa test</t>
        </is>
      </c>
      <c r="O238" s="15" t="inlineStr"/>
      <c r="P238" s="15" t="inlineStr"/>
      <c r="Q238" s="18" t="inlineStr">
        <is>
          <t>Chưa test</t>
        </is>
      </c>
      <c r="R238" s="15" t="inlineStr"/>
    </row>
    <row r="239" ht="30" customHeight="1">
      <c r="A239" s="14" t="inlineStr">
        <is>
          <t>TC-ADM3-238</t>
        </is>
      </c>
      <c r="B239" s="15" t="inlineStr">
        <is>
          <t>Admin Console (đợt 3: Phân tích, Hỗ trợ, Hệ thống)</t>
        </is>
      </c>
      <c r="C239" s="15" t="inlineStr">
        <is>
          <t>Hỗ trợ · API phía người dùng và form liên hệ</t>
        </is>
      </c>
      <c r="D239" s="15" t="inlineStr">
        <is>
          <t>Trang web người dùng hiện chưa có form liên hệ/ticket nối với /api/contact và /api/support/tickets</t>
        </is>
      </c>
      <c r="E239" s="15" t="inlineStr">
        <is>
          <t>Chức năng</t>
        </is>
      </c>
      <c r="F239" s="20" t="inlineStr">
        <is>
          <t>Trung bình</t>
        </is>
      </c>
      <c r="G239" s="20" t="inlineStr">
        <is>
          <t>Kế hoạch</t>
        </is>
      </c>
      <c r="H239" s="16" t="inlineStr">
        <is>
          <t>Không</t>
        </is>
      </c>
      <c r="I239" s="15" t="inlineStr">
        <is>
          <t>Frontend người dùng (không phải /admin).</t>
        </is>
      </c>
      <c r="J239" s="15" t="inlineStr">
        <is>
          <t>1. Mở trang chủ, footer, tìm liên kết 'Liên hệ'/'Hỗ trợ'/'Ticket của tôi'
2. Đăng nhập member1@ tìm mục 'Ticket của tôi' trong menu hồ sơ</t>
        </is>
      </c>
      <c r="K239" s="15" t="inlineStr">
        <is>
          <t>-</t>
        </is>
      </c>
      <c r="L239" s="15" t="inlineStr">
        <is>
          <t>KỲ VỌNG SAU KHI LÀM: form liên hệ và màn 'Ticket của tôi' (danh sách, chi tiết, trả lời). HIỆN TẠI: chưa có màn 'Ticket của tôi' (ngoài phạm vi khu Admin); chỉ API đã sẵn - xem frontend/ADMIN_BACKEND_GAPS.md.</t>
        </is>
      </c>
      <c r="M239" s="15" t="inlineStr"/>
      <c r="N239" s="18" t="inlineStr">
        <is>
          <t>Chưa test</t>
        </is>
      </c>
      <c r="O239" s="15" t="inlineStr"/>
      <c r="P239" s="15" t="inlineStr"/>
      <c r="Q239" s="18" t="inlineStr">
        <is>
          <t>Chưa test</t>
        </is>
      </c>
      <c r="R239" s="15" t="inlineStr"/>
    </row>
    <row r="240" ht="30" customHeight="1">
      <c r="A240" s="14" t="inlineStr">
        <is>
          <t>TC-ADM3-239</t>
        </is>
      </c>
      <c r="B240" s="15" t="inlineStr">
        <is>
          <t>Admin Console (đợt 3: Phân tích, Hỗ trợ, Hệ thống)</t>
        </is>
      </c>
      <c r="C240" s="15" t="inlineStr">
        <is>
          <t>Hệ thống · Tài khoản quản trị (UI)</t>
        </is>
      </c>
      <c r="D240" s="15" t="inlineStr">
        <is>
          <t>Trang 'Tài khoản quản trị': tiêu đề, nút, cột và 8 dòng seed</t>
        </is>
      </c>
      <c r="E240" s="15" t="inlineStr">
        <is>
          <t>Giao diện</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0" s="15" t="inlineStr">
        <is>
          <t>1. Mở /admin/system/admins
2. Đọc tiêu đề, nút, tiêu đề cột và danh sách</t>
        </is>
      </c>
      <c r="K240" s="15" t="inlineStr">
        <is>
          <t>-</t>
        </is>
      </c>
      <c r="L240"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240" s="15" t="inlineStr"/>
      <c r="N240" s="18" t="inlineStr">
        <is>
          <t>Chưa test</t>
        </is>
      </c>
      <c r="O240" s="15" t="inlineStr"/>
      <c r="P240" s="15" t="inlineStr"/>
      <c r="Q240" s="18" t="inlineStr">
        <is>
          <t>Chưa test</t>
        </is>
      </c>
      <c r="R240" s="15" t="inlineStr"/>
    </row>
    <row r="241" ht="45" customHeight="1">
      <c r="A241" s="14" t="inlineStr">
        <is>
          <t>TC-ADM3-240</t>
        </is>
      </c>
      <c r="B241" s="15" t="inlineStr">
        <is>
          <t>Admin Console (đợt 3: Phân tích, Hỗ trợ, Hệ thống)</t>
        </is>
      </c>
      <c r="C241" s="15" t="inlineStr">
        <is>
          <t>Hệ thống · Tài khoản quản trị (UI)</t>
        </is>
      </c>
      <c r="D241" s="15" t="inlineStr">
        <is>
          <t>Dòng Super Admin env: vai trò, 2FA tắt, mọi hành động khóa</t>
        </is>
      </c>
      <c r="E241" s="15" t="inlineStr">
        <is>
          <t>Giao diện</t>
        </is>
      </c>
      <c r="F241" s="16" t="inlineStr">
        <is>
          <t>Cao</t>
        </is>
      </c>
      <c r="G241" s="17" t="inlineStr">
        <is>
          <t>Đã hoàn thiện</t>
        </is>
      </c>
      <c r="H241" s="17" t="inlineStr">
        <is>
          <t>Có</t>
        </is>
      </c>
      <c r="I24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1" s="15" t="inlineStr">
        <is>
          <t>1. Tìm dòng admin@sofinhub.test
2. Mở menu thao tác của dòng
3. Bấm vào dòng mở chi tiết</t>
        </is>
      </c>
      <c r="K241" s="15" t="inlineStr">
        <is>
          <t>admin@sofinhub.test</t>
        </is>
      </c>
      <c r="L241"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241" s="15" t="inlineStr"/>
      <c r="N241" s="18" t="inlineStr">
        <is>
          <t>Chưa test</t>
        </is>
      </c>
      <c r="O241" s="15" t="inlineStr"/>
      <c r="P241" s="15" t="inlineStr"/>
      <c r="Q241" s="18" t="inlineStr">
        <is>
          <t>Chưa test</t>
        </is>
      </c>
      <c r="R241" s="15" t="inlineStr"/>
    </row>
    <row r="242" ht="45" customHeight="1">
      <c r="A242" s="14" t="inlineStr">
        <is>
          <t>TC-ADM3-241</t>
        </is>
      </c>
      <c r="B242" s="15" t="inlineStr">
        <is>
          <t>Admin Console (đợt 3: Phân tích, Hỗ trợ, Hệ thống)</t>
        </is>
      </c>
      <c r="C242" s="15" t="inlineStr">
        <is>
          <t>Hệ thống · Tài khoản quản trị (UI)</t>
        </is>
      </c>
      <c r="D242" s="15" t="inlineStr">
        <is>
          <t>Dòng của chính mình (đăng nhập bằng nhân viên có admin.manage) cũng bị khóa</t>
        </is>
      </c>
      <c r="E242" s="15" t="inlineStr">
        <is>
          <t>Giao diện</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242" s="15" t="inlineStr">
        <is>
          <t>1. Mở /admin/system/admins
2. Mở menu dòng của chính owner@
3. Mở menu dòng của Tom Baker</t>
        </is>
      </c>
      <c r="K242" s="15" t="inlineStr">
        <is>
          <t>owner@</t>
        </is>
      </c>
      <c r="L242" s="15" t="inlineStr">
        <is>
          <t>Dòng của owner@: 'Đổi vai trò', 'Tạm ngưng', 'Gỡ quyền quản trị' bị vô hiệu (locked=true); dòng Tom Baker các hành động dùng được.</t>
        </is>
      </c>
      <c r="M242" s="15" t="inlineStr"/>
      <c r="N242" s="18" t="inlineStr">
        <is>
          <t>Chưa test</t>
        </is>
      </c>
      <c r="O242" s="15" t="inlineStr"/>
      <c r="P242" s="15" t="inlineStr"/>
      <c r="Q242" s="18" t="inlineStr">
        <is>
          <t>Chưa test</t>
        </is>
      </c>
      <c r="R242" s="15" t="inlineStr"/>
    </row>
    <row r="243" ht="30" customHeight="1">
      <c r="A243" s="14" t="inlineStr">
        <is>
          <t>TC-ADM3-242</t>
        </is>
      </c>
      <c r="B243" s="15" t="inlineStr">
        <is>
          <t>Admin Console (đợt 3: Phân tích, Hỗ trợ, Hệ thống)</t>
        </is>
      </c>
      <c r="C243" s="15" t="inlineStr">
        <is>
          <t>Hệ thống · Tài khoản quản trị (UI)</t>
        </is>
      </c>
      <c r="D243" s="15" t="inlineStr">
        <is>
          <t>Badge vai trò dùng nhãn tiếng Việt: Kiểm duyệt viên / Hỗ trợ / Tài chính</t>
        </is>
      </c>
      <c r="E243" s="15" t="inlineStr">
        <is>
          <t>Giao diện</t>
        </is>
      </c>
      <c r="F243" s="17" t="inlineStr">
        <is>
          <t>Thấp</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3" s="15" t="inlineStr">
        <is>
          <t>1. Đọc cột Vai trò của 8 dòng</t>
        </is>
      </c>
      <c r="K243" s="15" t="inlineStr">
        <is>
          <t>-</t>
        </is>
      </c>
      <c r="L243" s="15" t="inlineStr">
        <is>
          <t>Moderator -&gt; 'Kiểm duyệt viên', Support -&gt; 'Hỗ trợ', Finance -&gt; 'Tài chính', Super Admin -&gt; 'Super Admin'; vai trò tùy chỉnh dùng đúng tên BE (vd 'Content Reviewer'). Lưu ý: tên API là Moderator/Support/Finance (khác nhãn giao diện).</t>
        </is>
      </c>
      <c r="M243" s="15" t="inlineStr"/>
      <c r="N243" s="18" t="inlineStr">
        <is>
          <t>Chưa test</t>
        </is>
      </c>
      <c r="O243" s="15" t="inlineStr"/>
      <c r="P243" s="15" t="inlineStr"/>
      <c r="Q243" s="18" t="inlineStr">
        <is>
          <t>Chưa test</t>
        </is>
      </c>
      <c r="R243" s="15" t="inlineStr"/>
    </row>
    <row r="244" ht="60" customHeight="1">
      <c r="A244" s="14" t="inlineStr">
        <is>
          <t>TC-ADM3-243</t>
        </is>
      </c>
      <c r="B244" s="15" t="inlineStr">
        <is>
          <t>Admin Console (đợt 3: Phân tích, Hỗ trợ, Hệ thống)</t>
        </is>
      </c>
      <c r="C244" s="15" t="inlineStr">
        <is>
          <t>Hệ thống · Tài khoản quản trị (UI)</t>
        </is>
      </c>
      <c r="D244" s="15" t="inlineStr">
        <is>
          <t>Lọc theo Vai trò và Trạng thái, tìm theo tên/email</t>
        </is>
      </c>
      <c r="E244" s="15" t="inlineStr">
        <is>
          <t>Chức năng</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4" s="15" t="inlineStr">
        <is>
          <t>1. Lọc Vai trò = 'Kiểm duyệt viên'
2. Xóa, lọc Trạng thái = 'Tạm ngưng'
3. Xóa, gõ 'tom' vào 'Tìm quản trị viên...'
4. Gõ 'sofinhub.test' rồi 'ryan'</t>
        </is>
      </c>
      <c r="K244" s="15" t="inlineStr">
        <is>
          <t>-</t>
        </is>
      </c>
      <c r="L244" s="15" t="inlineStr">
        <is>
          <t>Moderator: 4 dòng (Moderator Test, Nina Ross, John Carter, Mia Lopez); Tạm ngưng: chỉ Nina Ross; 'tom': Tom Baker; 'ryan': Ryan Cho; mỗi lần đổi bộ lọc về trang 1.</t>
        </is>
      </c>
      <c r="M244" s="15" t="inlineStr"/>
      <c r="N244" s="18" t="inlineStr">
        <is>
          <t>Chưa test</t>
        </is>
      </c>
      <c r="O244" s="15" t="inlineStr"/>
      <c r="P244" s="15" t="inlineStr"/>
      <c r="Q244" s="18" t="inlineStr">
        <is>
          <t>Chưa test</t>
        </is>
      </c>
      <c r="R244" s="15" t="inlineStr"/>
    </row>
    <row r="245" ht="45" customHeight="1">
      <c r="A245" s="14" t="inlineStr">
        <is>
          <t>TC-ADM3-244</t>
        </is>
      </c>
      <c r="B245" s="15" t="inlineStr">
        <is>
          <t>Admin Console (đợt 3: Phân tích, Hỗ trợ, Hệ thống)</t>
        </is>
      </c>
      <c r="C245" s="15" t="inlineStr">
        <is>
          <t>Hệ thống · Tài khoản quản trị (UI)</t>
        </is>
      </c>
      <c r="D245" s="15" t="inlineStr">
        <is>
          <t>Chi tiết một quản trị viên (bấm dòng): Vai trò, Nguồn, 2FA, Đăng nhập gần nhất, Tham gia, Trạng thái</t>
        </is>
      </c>
      <c r="E245" s="15" t="inlineStr">
        <is>
          <t>Giao diện</t>
        </is>
      </c>
      <c r="F245" s="20" t="inlineStr">
        <is>
          <t>Trung bình</t>
        </is>
      </c>
      <c r="G245" s="17" t="inlineStr">
        <is>
          <t>Đã hoàn thiện</t>
        </is>
      </c>
      <c r="H245" s="17" t="inlineStr">
        <is>
          <t>Có</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5" s="15" t="inlineStr">
        <is>
          <t>1. Bấm dòng Tom Baker
2. Đọc các cặp khóa-giá trị
3. Đóng và bấm dòng Nina Ross</t>
        </is>
      </c>
      <c r="K245" s="15" t="inlineStr">
        <is>
          <t>Tom Baker, Nina Ross</t>
        </is>
      </c>
      <c r="L245" s="15" t="inlineStr">
        <is>
          <t>Tom: Vai trò 'Hỗ trợ', Nguồn 'Nhân viên được cấp quyền', 2FA 'Chưa bật', Đăng nhập gần nhất ~30 giờ trước (ngày giờ), Trạng thái 'Hoạt động'. Nina: Trạng thái 'Tạm ngưng', không có chú thích khóa.</t>
        </is>
      </c>
      <c r="M245" s="15" t="inlineStr"/>
      <c r="N245" s="18" t="inlineStr">
        <is>
          <t>Chưa test</t>
        </is>
      </c>
      <c r="O245" s="15" t="inlineStr"/>
      <c r="P245" s="15" t="inlineStr"/>
      <c r="Q245" s="18" t="inlineStr">
        <is>
          <t>Chưa test</t>
        </is>
      </c>
      <c r="R245" s="15" t="inlineStr"/>
    </row>
    <row r="246" ht="60" customHeight="1">
      <c r="A246" s="14" t="inlineStr">
        <is>
          <t>TC-ADM3-245</t>
        </is>
      </c>
      <c r="B246" s="15" t="inlineStr">
        <is>
          <t>Admin Console (đợt 3: Phân tích, Hỗ trợ, Hệ thống)</t>
        </is>
      </c>
      <c r="C246" s="15" t="inlineStr">
        <is>
          <t>Hệ thống · Tài khoản quản trị (UI)</t>
        </is>
      </c>
      <c r="D246" s="15" t="inlineStr">
        <is>
          <t>Tạo quản trị viên từ tài khoản có sẵn: cấp vai trò, toast, xuất hiện trong danh sách</t>
        </is>
      </c>
      <c r="E246" s="15" t="inlineStr">
        <is>
          <t>Chức năng</t>
        </is>
      </c>
      <c r="F246" s="16" t="inlineStr">
        <is>
          <t>Cao</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6" s="15" t="inlineStr">
        <is>
          <t>1. Bấm 'Tạo quản trị viên'
2. Nhập email 'member2@sofinhub.test', chọn vai trò 'Hỗ trợ', giữ tích 2FA
3. Bấm 'Gửi lời mời'
4. Đăng nhập member2@ mở /admin</t>
        </is>
      </c>
      <c r="K246" s="15" t="inlineStr">
        <is>
          <t>member2@sofinhub.test</t>
        </is>
      </c>
      <c r="L246"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246" s="15" t="inlineStr"/>
      <c r="N246" s="18" t="inlineStr">
        <is>
          <t>Chưa test</t>
        </is>
      </c>
      <c r="O246" s="15" t="inlineStr"/>
      <c r="P246" s="15" t="inlineStr"/>
      <c r="Q246" s="18" t="inlineStr">
        <is>
          <t>Chưa test</t>
        </is>
      </c>
      <c r="R246" s="15" t="inlineStr"/>
    </row>
    <row r="247" ht="75" customHeight="1">
      <c r="A247" s="14" t="inlineStr">
        <is>
          <t>TC-ADM3-246</t>
        </is>
      </c>
      <c r="B247" s="15" t="inlineStr">
        <is>
          <t>Admin Console (đợt 3: Phân tích, Hỗ trợ, Hệ thống)</t>
        </is>
      </c>
      <c r="C247" s="15" t="inlineStr">
        <is>
          <t>Hệ thống · Tài khoản quản trị (UI)</t>
        </is>
      </c>
      <c r="D247" s="15" t="inlineStr">
        <is>
          <t>Tạo quản trị viên mới từ email chưa có tài khoản: tạo user + gửi email đặt mật khẩu</t>
        </is>
      </c>
      <c r="E247" s="15" t="inlineStr">
        <is>
          <t>Chức năng</t>
        </is>
      </c>
      <c r="F247" s="16" t="inlineStr">
        <is>
          <t>Cao</t>
        </is>
      </c>
      <c r="G247" s="17" t="inlineStr">
        <is>
          <t>Đã hoàn thiện</t>
        </is>
      </c>
      <c r="H247" s="20" t="inlineStr">
        <is>
          <t>Một phần</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7"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247" s="15" t="inlineStr">
        <is>
          <t>nhan.vien.moi@example.com</t>
        </is>
      </c>
      <c r="L247"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247" s="15" t="inlineStr"/>
      <c r="N247" s="18" t="inlineStr">
        <is>
          <t>Chưa test</t>
        </is>
      </c>
      <c r="O247" s="15" t="inlineStr"/>
      <c r="P247" s="15" t="inlineStr"/>
      <c r="Q247" s="18" t="inlineStr">
        <is>
          <t>Chưa test</t>
        </is>
      </c>
      <c r="R247" s="15" t="inlineStr"/>
    </row>
    <row r="248" ht="30" customHeight="1">
      <c r="A248" s="14" t="inlineStr">
        <is>
          <t>TC-ADM3-247</t>
        </is>
      </c>
      <c r="B248" s="15" t="inlineStr">
        <is>
          <t>Admin Console (đợt 3: Phân tích, Hỗ trợ, Hệ thống)</t>
        </is>
      </c>
      <c r="C248" s="15" t="inlineStr">
        <is>
          <t>Hệ thống · Tài khoản quản trị (UI)</t>
        </is>
      </c>
      <c r="D248" s="15" t="inlineStr">
        <is>
          <t>Tạo quản trị viên email chưa có tài khoản mà thiếu Tên: API 400, giao diện hiện lỗi trong dialog</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8" s="15" t="inlineStr">
        <is>
          <t>1. Bấm 'Tạo quản trị viên'
2. Email 'khong.ten@example.com', để trống Tên, chọn vai trò, bấm 'Gửi lời mời'</t>
        </is>
      </c>
      <c r="K248" s="15" t="inlineStr">
        <is>
          <t>khong.ten@example.com</t>
        </is>
      </c>
      <c r="L248" s="15" t="inlineStr">
        <is>
          <t>Dialog không đóng; hiện lỗi 'Email chưa có tài khoản: vui lòng nhập tên (firstName) để tạo tài khoản mời'; không tạo user.</t>
        </is>
      </c>
      <c r="M248" s="15" t="inlineStr"/>
      <c r="N248" s="18" t="inlineStr">
        <is>
          <t>Chưa test</t>
        </is>
      </c>
      <c r="O248" s="15" t="inlineStr"/>
      <c r="P248" s="15" t="inlineStr"/>
      <c r="Q248" s="18" t="inlineStr">
        <is>
          <t>Chưa test</t>
        </is>
      </c>
      <c r="R248" s="15" t="inlineStr"/>
    </row>
    <row r="249" ht="30" customHeight="1">
      <c r="A249" s="14" t="inlineStr">
        <is>
          <t>TC-ADM3-248</t>
        </is>
      </c>
      <c r="B249" s="15" t="inlineStr">
        <is>
          <t>Admin Console (đợt 3: Phân tích, Hỗ trợ, Hệ thống)</t>
        </is>
      </c>
      <c r="C249" s="15" t="inlineStr">
        <is>
          <t>Hệ thống · Tài khoản quản trị (UI)</t>
        </is>
      </c>
      <c r="D249" s="15" t="inlineStr">
        <is>
          <t>Tạo quản trị viên trùng: email đã là nhân viên hoặc là Super Admin env trả lỗi 409</t>
        </is>
      </c>
      <c r="E249" s="15" t="inlineStr">
        <is>
          <t>Chức năng</t>
        </is>
      </c>
      <c r="F249" s="20" t="inlineStr">
        <is>
          <t>Trung bình</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9" s="15" t="inlineStr">
        <is>
          <t>1. Bấm 'Tạo quản trị viên', email 'support@sofinhub.test' &gt; 'Gửi lời mời'
2. Lặp lại với 'admin@sofinhub.test'</t>
        </is>
      </c>
      <c r="K249" s="15" t="inlineStr">
        <is>
          <t>support@, admin@</t>
        </is>
      </c>
      <c r="L249" s="15" t="inlineStr">
        <is>
          <t>Cả hai: dialog hiện lỗi 'Người này đã là nhân viên admin' (409), không đổi dữ liệu.</t>
        </is>
      </c>
      <c r="M249" s="15" t="inlineStr"/>
      <c r="N249" s="18" t="inlineStr">
        <is>
          <t>Chưa test</t>
        </is>
      </c>
      <c r="O249" s="15" t="inlineStr"/>
      <c r="P249" s="15" t="inlineStr"/>
      <c r="Q249" s="18" t="inlineStr">
        <is>
          <t>Chưa test</t>
        </is>
      </c>
      <c r="R249" s="15" t="inlineStr"/>
    </row>
    <row r="250" ht="45" customHeight="1">
      <c r="A250" s="14" t="inlineStr">
        <is>
          <t>TC-ADM3-249</t>
        </is>
      </c>
      <c r="B250" s="15" t="inlineStr">
        <is>
          <t>Admin Console (đợt 3: Phân tích, Hỗ trợ, Hệ thống)</t>
        </is>
      </c>
      <c r="C250" s="15" t="inlineStr">
        <is>
          <t>Hệ thống · Tài khoản quản trị (UI)</t>
        </is>
      </c>
      <c r="D250" s="15" t="inlineStr">
        <is>
          <t>Dialog Tạo quản trị viên: kiểm tra email sai định dạng</t>
        </is>
      </c>
      <c r="E250" s="15" t="inlineStr">
        <is>
          <t>Giao diện</t>
        </is>
      </c>
      <c r="F250" s="17" t="inlineStr">
        <is>
          <t>Thấp</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0" s="15" t="inlineStr">
        <is>
          <t>1. Bấm 'Tạo quản trị viên'
2. Nhập 'abc' / 'abc@' / 'a@b' rồi 'a@b.co'
3. Quan sát nút 'Gửi lời mời'</t>
        </is>
      </c>
      <c r="K250" s="15" t="inlineStr">
        <is>
          <t>abc / a@b.co</t>
        </is>
      </c>
      <c r="L250" s="15" t="inlineStr">
        <is>
          <t>Nút khóa với 3 giá trị đầu, mở với 'a@b.co' (regex \S+@\S+\.\S+).</t>
        </is>
      </c>
      <c r="M250" s="15" t="inlineStr"/>
      <c r="N250" s="18" t="inlineStr">
        <is>
          <t>Chưa test</t>
        </is>
      </c>
      <c r="O250" s="15" t="inlineStr"/>
      <c r="P250" s="15" t="inlineStr"/>
      <c r="Q250" s="18" t="inlineStr">
        <is>
          <t>Chưa test</t>
        </is>
      </c>
      <c r="R250" s="15" t="inlineStr"/>
    </row>
    <row r="251" ht="60" customHeight="1">
      <c r="A251" s="14" t="inlineStr">
        <is>
          <t>TC-ADM3-250</t>
        </is>
      </c>
      <c r="B251" s="15" t="inlineStr">
        <is>
          <t>Admin Console (đợt 3: Phân tích, Hỗ trợ, Hệ thống)</t>
        </is>
      </c>
      <c r="C251" s="15" t="inlineStr">
        <is>
          <t>Hệ thống · Tài khoản quản trị (UI)</t>
        </is>
      </c>
      <c r="D251" s="15" t="inlineStr">
        <is>
          <t>Đổi vai trò nhân viên: dialog, nút 'Lưu vai trò' khóa khi chưa đổi, hiệu lực ngay</t>
        </is>
      </c>
      <c r="E251" s="15" t="inlineStr">
        <is>
          <t>Chức năng</t>
        </is>
      </c>
      <c r="F251" s="16" t="inlineStr">
        <is>
          <t>Cao</t>
        </is>
      </c>
      <c r="G251" s="17" t="inlineStr">
        <is>
          <t>Đã hoàn thiện</t>
        </is>
      </c>
      <c r="H251" s="20" t="inlineStr">
        <is>
          <t>Một phần</t>
        </is>
      </c>
      <c r="I25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1" s="15" t="inlineStr">
        <is>
          <t>1. Menu dòng Tom Baker &gt; 'Đổi vai trò'
2. Quan sát nút 'Lưu vai trò' khi vai trò còn là Hỗ trợ
3. Chọn 'Tài chính' &gt; 'Lưu vai trò'
4. Trình duyệt khác: tom@ đang mở /admin, F5</t>
        </is>
      </c>
      <c r="K251" s="15" t="inlineStr">
        <is>
          <t>tom@</t>
        </is>
      </c>
      <c r="L251" s="15" t="inlineStr">
        <is>
          <t>Toast 'Đã cập nhật vai trò · Tom Baker'; dòng đổi sang 'Tài chính'; sau F5, tom@ mất nhóm Hỗ trợ và có nhóm Thanh toán/Phân tích; audit admin.update (metadata.from='support', changes.roleKey='finance').</t>
        </is>
      </c>
      <c r="M251" s="15" t="inlineStr"/>
      <c r="N251" s="18" t="inlineStr">
        <is>
          <t>Chưa test</t>
        </is>
      </c>
      <c r="O251" s="15" t="inlineStr"/>
      <c r="P251" s="15" t="inlineStr"/>
      <c r="Q251" s="18" t="inlineStr">
        <is>
          <t>Chưa test</t>
        </is>
      </c>
      <c r="R251" s="15" t="inlineStr"/>
    </row>
    <row r="252" ht="45" customHeight="1">
      <c r="A252" s="14" t="inlineStr">
        <is>
          <t>TC-ADM3-251</t>
        </is>
      </c>
      <c r="B252" s="15" t="inlineStr">
        <is>
          <t>Admin Console (đợt 3: Phân tích, Hỗ trợ, Hệ thống)</t>
        </is>
      </c>
      <c r="C252" s="15" t="inlineStr">
        <is>
          <t>Hệ thống · Tài khoản quản trị (UI)</t>
        </is>
      </c>
      <c r="D252" s="15" t="inlineStr">
        <is>
          <t>Đặt lại 2FA: dialog, tắt cờ 2FA, gửi email thông báo (2FA là cờ lưu trữ)</t>
        </is>
      </c>
      <c r="E252" s="15" t="inlineStr">
        <is>
          <t>Chức năng</t>
        </is>
      </c>
      <c r="F252" s="20" t="inlineStr">
        <is>
          <t>Trung bình</t>
        </is>
      </c>
      <c r="G252" s="17" t="inlineStr">
        <is>
          <t>Đã hoàn thiện</t>
        </is>
      </c>
      <c r="H252" s="20" t="inlineStr">
        <is>
          <t>Một phần</t>
        </is>
      </c>
      <c r="I25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Menu dòng Ryan Cho &gt; 'Đặt lại 2FA'
2. Bấm 'Đặt lại 2FA'
3. GET /api/dev/outbox?to=support@sofinhub.test</t>
        </is>
      </c>
      <c r="K252" s="15" t="inlineStr">
        <is>
          <t>support@</t>
        </is>
      </c>
      <c r="L252"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252" s="15" t="inlineStr"/>
      <c r="N252" s="18" t="inlineStr">
        <is>
          <t>Chưa test</t>
        </is>
      </c>
      <c r="O252" s="15" t="inlineStr"/>
      <c r="P252" s="15" t="inlineStr"/>
      <c r="Q252" s="18" t="inlineStr">
        <is>
          <t>Chưa test</t>
        </is>
      </c>
      <c r="R252" s="15" t="inlineStr"/>
    </row>
    <row r="253" ht="45" customHeight="1">
      <c r="A253" s="14" t="inlineStr">
        <is>
          <t>TC-ADM3-252</t>
        </is>
      </c>
      <c r="B253" s="15" t="inlineStr">
        <is>
          <t>Admin Console (đợt 3: Phân tích, Hỗ trợ, Hệ thống)</t>
        </is>
      </c>
      <c r="C253" s="15" t="inlineStr">
        <is>
          <t>Hệ thống · Tài khoản quản trị (UI)</t>
        </is>
      </c>
      <c r="D253" s="15" t="inlineStr">
        <is>
          <t>Tạm ngưng nhân viên: dialog có lý do tùy chọn, trạng thái đổi, người đó bị chặn /admin</t>
        </is>
      </c>
      <c r="E253" s="15" t="inlineStr">
        <is>
          <t>Chức năng</t>
        </is>
      </c>
      <c r="F253" s="16" t="inlineStr">
        <is>
          <t>Cao</t>
        </is>
      </c>
      <c r="G253" s="17" t="inlineStr">
        <is>
          <t>Đã hoàn thiện</t>
        </is>
      </c>
      <c r="H253" s="20" t="inlineStr">
        <is>
          <t>Một phần</t>
        </is>
      </c>
      <c r="I25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3" s="15" t="inlineStr">
        <is>
          <t>1. Menu dòng Moderator Test &gt; 'Tạm ngưng'
2. Nhập lý do 'QA' &gt; 'Tạm ngưng'
3. Trình duyệt khác: moderator@ F5 /admin</t>
        </is>
      </c>
      <c r="K253" s="15" t="inlineStr">
        <is>
          <t>moderator@</t>
        </is>
      </c>
      <c r="L253" s="15" t="inlineStr">
        <is>
          <t>Toast 'Đã tạm ngưng Moderator Test'; badge 'Tạm ngưng' (đỏ); menu dòng đổi 'Tạm ngưng' thành 'Kích hoạt lại'; moderator@ nhận 403 'Tài khoản admin của bạn đã bị tạm khóa'; audit admin.suspend có reason 'QA'.</t>
        </is>
      </c>
      <c r="M253" s="15" t="inlineStr"/>
      <c r="N253" s="18" t="inlineStr">
        <is>
          <t>Chưa test</t>
        </is>
      </c>
      <c r="O253" s="15" t="inlineStr"/>
      <c r="P253" s="15" t="inlineStr"/>
      <c r="Q253" s="18" t="inlineStr">
        <is>
          <t>Chưa test</t>
        </is>
      </c>
      <c r="R253" s="15" t="inlineStr"/>
    </row>
    <row r="254" ht="30" customHeight="1">
      <c r="A254" s="14" t="inlineStr">
        <is>
          <t>TC-ADM3-253</t>
        </is>
      </c>
      <c r="B254" s="15" t="inlineStr">
        <is>
          <t>Admin Console (đợt 3: Phân tích, Hỗ trợ, Hệ thống)</t>
        </is>
      </c>
      <c r="C254" s="15" t="inlineStr">
        <is>
          <t>Hệ thống · Tài khoản quản trị (UI)</t>
        </is>
      </c>
      <c r="D254" s="15" t="inlineStr">
        <is>
          <t>Kích hoạt lại nhân viên đã tạm ngưng (Nina Ross)</t>
        </is>
      </c>
      <c r="E254" s="15" t="inlineStr">
        <is>
          <t>Chức năng</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4" s="15" t="inlineStr">
        <is>
          <t>1. Menu dòng Nina Ross &gt; 'Kích hoạt lại'
2. Đăng nhập nina@ mở /admin</t>
        </is>
      </c>
      <c r="K254" s="15" t="inlineStr">
        <is>
          <t>nina@</t>
        </is>
      </c>
      <c r="L254" s="15" t="inlineStr">
        <is>
          <t>Toast 'Đã kích hoạt lại Nina Ross' (không cần dialog); badge 'Hoạt động'; nina@ vào được /admin với sidebar của Moderator; audit admin.enable.</t>
        </is>
      </c>
      <c r="M254" s="15" t="inlineStr"/>
      <c r="N254" s="18" t="inlineStr">
        <is>
          <t>Chưa test</t>
        </is>
      </c>
      <c r="O254" s="15" t="inlineStr"/>
      <c r="P254" s="15" t="inlineStr"/>
      <c r="Q254" s="18" t="inlineStr">
        <is>
          <t>Chưa test</t>
        </is>
      </c>
      <c r="R254" s="15" t="inlineStr"/>
    </row>
    <row r="255" ht="45" customHeight="1">
      <c r="A255" s="14" t="inlineStr">
        <is>
          <t>TC-ADM3-254</t>
        </is>
      </c>
      <c r="B255" s="15" t="inlineStr">
        <is>
          <t>Admin Console (đợt 3: Phân tích, Hỗ trợ, Hệ thống)</t>
        </is>
      </c>
      <c r="C255" s="15" t="inlineStr">
        <is>
          <t>Hệ thống · Tài khoản quản trị (UI)</t>
        </is>
      </c>
      <c r="D255" s="15" t="inlineStr">
        <is>
          <t>Gỡ quyền quản trị: dialog, người dùng vẫn còn tài khoản thành viên</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5" s="15" t="inlineStr">
        <is>
          <t>1. Menu dòng Mia Lopez &gt; 'Gỡ quyền quản trị'
2. Bấm 'Gỡ quyền'
3. Đăng nhập mia.lopez@ ở trang thường và thử /admin</t>
        </is>
      </c>
      <c r="K255" s="15" t="inlineStr">
        <is>
          <t>mia.lopez@</t>
        </is>
      </c>
      <c r="L255"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55" s="15" t="inlineStr"/>
      <c r="N255" s="18" t="inlineStr">
        <is>
          <t>Chưa test</t>
        </is>
      </c>
      <c r="O255" s="15" t="inlineStr"/>
      <c r="P255" s="15" t="inlineStr"/>
      <c r="Q255" s="18" t="inlineStr">
        <is>
          <t>Chưa test</t>
        </is>
      </c>
      <c r="R255" s="15" t="inlineStr"/>
    </row>
    <row r="256" ht="30" customHeight="1">
      <c r="A256" s="14" t="inlineStr">
        <is>
          <t>TC-ADM3-255</t>
        </is>
      </c>
      <c r="B256" s="15" t="inlineStr">
        <is>
          <t>Admin Console (đợt 3: Phân tích, Hỗ trợ, Hệ thống)</t>
        </is>
      </c>
      <c r="C256" s="15" t="inlineStr">
        <is>
          <t>Hệ thống · Tài khoản quản trị (UI)</t>
        </is>
      </c>
      <c r="D256" s="15" t="inlineStr">
        <is>
          <t>Lỗi từ API hiện trong dialog khi thao tác dòng đã đổi ở tab khác (409)</t>
        </is>
      </c>
      <c r="E256" s="15" t="inlineStr">
        <is>
          <t>Chức năng</t>
        </is>
      </c>
      <c r="F256" s="17" t="inlineStr">
        <is>
          <t>Thấp</t>
        </is>
      </c>
      <c r="G256" s="17" t="inlineStr">
        <is>
          <t>Đã hoàn thiện</t>
        </is>
      </c>
      <c r="H256" s="20" t="inlineStr">
        <is>
          <t>Một phần</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6" s="15" t="inlineStr">
        <is>
          <t>1. Mở trang ở 2 tab; tab 1 tạm ngưng Tom Baker
2. Tab 2 (chưa tải lại): menu Tom &gt; 'Tạm ngưng' &gt; xác nhận</t>
        </is>
      </c>
      <c r="K256" s="15" t="inlineStr">
        <is>
          <t>tom@</t>
        </is>
      </c>
      <c r="L256" s="15" t="inlineStr">
        <is>
          <t>Tab 2 hiện lỗi 'Tài khoản đã bị tạm khóa' (409) trong dialog, dữ liệu không đổi, không toast thành công.</t>
        </is>
      </c>
      <c r="M256" s="15" t="inlineStr"/>
      <c r="N256" s="18" t="inlineStr">
        <is>
          <t>Chưa test</t>
        </is>
      </c>
      <c r="O256" s="15" t="inlineStr"/>
      <c r="P256" s="15" t="inlineStr"/>
      <c r="Q256" s="18" t="inlineStr">
        <is>
          <t>Chưa test</t>
        </is>
      </c>
      <c r="R256" s="15" t="inlineStr"/>
    </row>
    <row r="257" ht="105" customHeight="1">
      <c r="A257" s="14" t="inlineStr">
        <is>
          <t>TC-ADM3-256</t>
        </is>
      </c>
      <c r="B257" s="15" t="inlineStr">
        <is>
          <t>Admin Console (đợt 3: Phân tích, Hỗ trợ, Hệ thống)</t>
        </is>
      </c>
      <c r="C257" s="15" t="inlineStr">
        <is>
          <t>Hệ thống · Tài khoản quản trị (API)</t>
        </is>
      </c>
      <c r="D257" s="15" t="inlineStr">
        <is>
          <t>GET /admin/system/admins: danh sách có Super Admin env (locked), lọc role/status/q, phân trang</t>
        </is>
      </c>
      <c r="E257" s="15" t="inlineStr">
        <is>
          <t>Chức năng</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7" s="15" t="inlineStr">
        <is>
          <t>1. GET /system/admins
2. GET ?role=moderator
3. GET ?status=suspended
4. GET ?q=tom
5. GET ?limit=3&amp;page=2
6. GET ?status=bogus
7. GET ?limit=101</t>
        </is>
      </c>
      <c r="K257" s="15" t="inlineStr">
        <is>
          <t>-</t>
        </is>
      </c>
      <c r="L257"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57" s="15" t="inlineStr"/>
      <c r="N257" s="18" t="inlineStr">
        <is>
          <t>Chưa test</t>
        </is>
      </c>
      <c r="O257" s="15" t="inlineStr"/>
      <c r="P257" s="15" t="inlineStr"/>
      <c r="Q257" s="18" t="inlineStr">
        <is>
          <t>Chưa test</t>
        </is>
      </c>
      <c r="R257" s="15" t="inlineStr"/>
    </row>
    <row r="258" ht="90" customHeight="1">
      <c r="A258" s="14" t="inlineStr">
        <is>
          <t>TC-ADM3-257</t>
        </is>
      </c>
      <c r="B258" s="15" t="inlineStr">
        <is>
          <t>Admin Console (đợt 3: Phân tích, Hỗ trợ, Hệ thống)</t>
        </is>
      </c>
      <c r="C258" s="15" t="inlineStr">
        <is>
          <t>Hệ thống · Tài khoản quản trị (API)</t>
        </is>
      </c>
      <c r="D258" s="15" t="inlineStr">
        <is>
          <t>POST /admin/system/admins từ tài khoản có sẵn: 201, 409 đã là nhân viên, 400 vai trò lạ/body sai</t>
        </is>
      </c>
      <c r="E258" s="15" t="inlineStr">
        <is>
          <t>Chức năng</t>
        </is>
      </c>
      <c r="F258" s="16" t="inlineStr">
        <is>
          <t>Cao</t>
        </is>
      </c>
      <c r="G258" s="17" t="inlineStr">
        <is>
          <t>Đã hoàn thiện</t>
        </is>
      </c>
      <c r="H258" s="17" t="inlineStr">
        <is>
          <t>Có</t>
        </is>
      </c>
      <c r="I2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8"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58" s="15" t="inlineStr">
        <is>
          <t>member3@</t>
        </is>
      </c>
      <c r="L258"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58" s="15" t="inlineStr"/>
      <c r="N258" s="18" t="inlineStr">
        <is>
          <t>Chưa test</t>
        </is>
      </c>
      <c r="O258" s="15" t="inlineStr"/>
      <c r="P258" s="15" t="inlineStr"/>
      <c r="Q258" s="18" t="inlineStr">
        <is>
          <t>Chưa test</t>
        </is>
      </c>
      <c r="R258" s="15" t="inlineStr"/>
    </row>
    <row r="259" ht="60" customHeight="1">
      <c r="A259" s="14" t="inlineStr">
        <is>
          <t>TC-ADM3-258</t>
        </is>
      </c>
      <c r="B259" s="15" t="inlineStr">
        <is>
          <t>Admin Console (đợt 3: Phân tích, Hỗ trợ, Hệ thống)</t>
        </is>
      </c>
      <c r="C259" s="15" t="inlineStr">
        <is>
          <t>Hệ thống · Tài khoản quản trị (API)</t>
        </is>
      </c>
      <c r="D259" s="15" t="inlineStr">
        <is>
          <t>POST /admin/system/admins email mới: cần firstName, tạo user, gửi email đặt mật khẩu; user đã xóa 400</t>
        </is>
      </c>
      <c r="E259" s="15" t="inlineStr">
        <is>
          <t>Chức năng</t>
        </is>
      </c>
      <c r="F259" s="16" t="inlineStr">
        <is>
          <t>Cao</t>
        </is>
      </c>
      <c r="G259" s="17" t="inlineStr">
        <is>
          <t>Đã hoàn thiện</t>
        </is>
      </c>
      <c r="H259" s="20" t="inlineStr">
        <is>
          <t>Một phần</t>
        </is>
      </c>
      <c r="I2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9" s="15" t="inlineStr">
        <is>
          <t>1. POST /system/admins {email:'moi1@example.com', roleKey:'moderator'} (thiếu firstName)
2. POST {email:'moi1@example.com', roleKey:'moderator', firstName:'Moi'}
3. GET /api/dev/outbox?to=moi1@example.com
4. POST với email của tài khoản đã xóa (deletedAt)</t>
        </is>
      </c>
      <c r="K259" s="15" t="inlineStr">
        <is>
          <t>moi1@example.com</t>
        </is>
      </c>
      <c r="L259"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59" s="15" t="inlineStr"/>
      <c r="N259" s="18" t="inlineStr">
        <is>
          <t>Chưa test</t>
        </is>
      </c>
      <c r="O259" s="15" t="inlineStr"/>
      <c r="P259" s="15" t="inlineStr"/>
      <c r="Q259" s="18" t="inlineStr">
        <is>
          <t>Chưa test</t>
        </is>
      </c>
      <c r="R259" s="15" t="inlineStr"/>
    </row>
    <row r="260" ht="30" customHeight="1">
      <c r="A260" s="14" t="inlineStr">
        <is>
          <t>TC-ADM3-259</t>
        </is>
      </c>
      <c r="B260" s="15" t="inlineStr">
        <is>
          <t>Admin Console (đợt 3: Phân tích, Hỗ trợ, Hệ thống)</t>
        </is>
      </c>
      <c r="C260" s="15" t="inlineStr">
        <is>
          <t>Hệ thống · Tài khoản quản trị (API)</t>
        </is>
      </c>
      <c r="D260" s="15" t="inlineStr">
        <is>
          <t>POST /admin/system/admins có thể gán vai trò super_admin (không bị chặn như admin.manage ở vai trò khác)</t>
        </is>
      </c>
      <c r="E260" s="15" t="inlineStr">
        <is>
          <t>Bảo mật</t>
        </is>
      </c>
      <c r="F260" s="20" t="inlineStr">
        <is>
          <t>Trung bình</t>
        </is>
      </c>
      <c r="G260" s="17" t="inlineStr">
        <is>
          <t>Đã hoàn thiện</t>
        </is>
      </c>
      <c r="H260" s="17" t="inlineStr">
        <is>
          <t>Có</t>
        </is>
      </c>
      <c r="I2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0" s="15" t="inlineStr">
        <is>
          <t>1. POST /system/admins {email:'member2@sofinhub.test', roleKey:'super_admin'}
2. GET /admin/me bằng token member2@</t>
        </is>
      </c>
      <c r="K260" s="15" t="inlineStr">
        <is>
          <t>member2@</t>
        </is>
      </c>
      <c r="L260" s="15" t="inlineStr">
        <is>
          <t>201 và member2@ có đủ 16 quyền (source 'staff'). Ghi nhận: Super Admin tạo được Super Admin khác; kiểm soát chỉ ở quyền admin.manage.</t>
        </is>
      </c>
      <c r="M260" s="15" t="inlineStr"/>
      <c r="N260" s="18" t="inlineStr">
        <is>
          <t>Chưa test</t>
        </is>
      </c>
      <c r="O260" s="15" t="inlineStr"/>
      <c r="P260" s="15" t="inlineStr"/>
      <c r="Q260" s="18" t="inlineStr">
        <is>
          <t>Chưa test</t>
        </is>
      </c>
      <c r="R260" s="15" t="inlineStr"/>
    </row>
    <row r="261" ht="90" customHeight="1">
      <c r="A261" s="14" t="inlineStr">
        <is>
          <t>TC-ADM3-260</t>
        </is>
      </c>
      <c r="B261" s="15" t="inlineStr">
        <is>
          <t>Admin Console (đợt 3: Phân tích, Hỗ trợ, Hệ thống)</t>
        </is>
      </c>
      <c r="C261" s="15" t="inlineStr">
        <is>
          <t>Hệ thống · Tài khoản quản trị (API)</t>
        </is>
      </c>
      <c r="D261" s="15" t="inlineStr">
        <is>
          <t>PATCH /admin/system/admins/:id đổi roleKey/twoFactorEnabled; body rỗng, vai trò lạ, id lạ</t>
        </is>
      </c>
      <c r="E261" s="15" t="inlineStr">
        <is>
          <t>Chức năng</t>
        </is>
      </c>
      <c r="F261" s="16" t="inlineStr">
        <is>
          <t>Cao</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1" s="15" t="inlineStr">
        <is>
          <t>1. PATCH /system/admins/&lt;id tom&gt; {roleKey:'finance'}
2. PATCH {twoFactorEnabled:true}
3. PATCH {}
4. PATCH {roleKey:'khong_co'}
5. PATCH /system/admins/khong-co {roleKey:'finance'}
6. PATCH /system/admins/&lt;id member1 (không phải nhân viên)&gt; {roleKey:'finance'}</t>
        </is>
      </c>
      <c r="K261" s="15" t="inlineStr">
        <is>
          <t>tom@</t>
        </is>
      </c>
      <c r="L261" s="15" t="inlineStr">
        <is>
          <t>Lần 1: 200 role Finance; lần 2: 200 twoFactorEnabled true; lần 3: 400 'Không có gì để cập nhật'; lần 4: 400 'Vai trò "khong_co" không tồn tại'; lần 5-6: 404 'Không tìm thấy tài khoản admin'. Audit admin.update.</t>
        </is>
      </c>
      <c r="M261" s="15" t="inlineStr"/>
      <c r="N261" s="18" t="inlineStr">
        <is>
          <t>Chưa test</t>
        </is>
      </c>
      <c r="O261" s="15" t="inlineStr"/>
      <c r="P261" s="15" t="inlineStr"/>
      <c r="Q261" s="18" t="inlineStr">
        <is>
          <t>Chưa test</t>
        </is>
      </c>
      <c r="R261" s="15" t="inlineStr"/>
    </row>
    <row r="262" ht="75" customHeight="1">
      <c r="A262" s="14" t="inlineStr">
        <is>
          <t>TC-ADM3-261</t>
        </is>
      </c>
      <c r="B262" s="15" t="inlineStr">
        <is>
          <t>Admin Console (đợt 3: Phân tích, Hỗ trợ, Hệ thống)</t>
        </is>
      </c>
      <c r="C262" s="15" t="inlineStr">
        <is>
          <t>Hệ thống · Tài khoản quản trị (API)</t>
        </is>
      </c>
      <c r="D262" s="15" t="inlineStr">
        <is>
          <t>PATCH/suspend/reset-2fa/DELETE trên Super Admin env và trên chính mình trả 409</t>
        </is>
      </c>
      <c r="E262" s="15" t="inlineStr">
        <is>
          <t>Bảo mật</t>
        </is>
      </c>
      <c r="F262" s="16" t="inlineStr">
        <is>
          <t>Cao</t>
        </is>
      </c>
      <c r="G262" s="17" t="inlineStr">
        <is>
          <t>Đã hoàn thiện</t>
        </is>
      </c>
      <c r="H262" s="17" t="inlineStr">
        <is>
          <t>Có</t>
        </is>
      </c>
      <c r="I2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2" s="15" t="inlineStr">
        <is>
          <t>1. Bằng token admin@: PATCH /system/admins/&lt;id admin&gt; {roleKey:'finance'}
2. POST .../suspend
3. POST .../reset-2fa
4. DELETE .../&lt;id admin&gt;
5. Với Super Admin vai trò (owner@) tự gọi trên chính mình</t>
        </is>
      </c>
      <c r="K262" s="15" t="inlineStr">
        <is>
          <t>admin@, owner@ (super_admin)</t>
        </is>
      </c>
      <c r="L262"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62" s="15" t="inlineStr"/>
      <c r="N262" s="18" t="inlineStr">
        <is>
          <t>Chưa test</t>
        </is>
      </c>
      <c r="O262" s="15" t="inlineStr"/>
      <c r="P262" s="15" t="inlineStr"/>
      <c r="Q262" s="18" t="inlineStr">
        <is>
          <t>Chưa test</t>
        </is>
      </c>
      <c r="R262" s="15" t="inlineStr"/>
    </row>
    <row r="263" ht="90" customHeight="1">
      <c r="A263" s="14" t="inlineStr">
        <is>
          <t>TC-ADM3-262</t>
        </is>
      </c>
      <c r="B263" s="15" t="inlineStr">
        <is>
          <t>Admin Console (đợt 3: Phân tích, Hỗ trợ, Hệ thống)</t>
        </is>
      </c>
      <c r="C263" s="15" t="inlineStr">
        <is>
          <t>Hệ thống · Tài khoản quản trị (API)</t>
        </is>
      </c>
      <c r="D263" s="15" t="inlineStr">
        <is>
          <t>POST suspend/enable: lý do ≤500 ký tự, 409 khi đã ở trạng thái đó</t>
        </is>
      </c>
      <c r="E263" s="15" t="inlineStr">
        <is>
          <t>Chức năng</t>
        </is>
      </c>
      <c r="F263" s="20" t="inlineStr">
        <is>
          <t>Trung bình</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POST /system/admins/&lt;id tom&gt;/suspend {reason:'QA'}
2. POST suspend lần 2
3. POST enable
4. POST enable lần 2
5. POST suspend {reason:'&lt;501 ký tự&gt;'}
6. POST /system/admins/&lt;id nina&gt;/enable</t>
        </is>
      </c>
      <c r="K263" s="15" t="inlineStr">
        <is>
          <t>tom@, nina@</t>
        </is>
      </c>
      <c r="L263" s="15" t="inlineStr">
        <is>
          <t>suspend 200 status 'suspended'; lần 2: 409 'Tài khoản đã bị tạm khóa'; enable 200; lần 2: 409 'Tài khoản đang hoạt động'; reason 501 ký tự -&gt; 400; enable Nina 200. Mỗi lần 1 dòng audit admin.suspend/admin.enable (reason lưu).</t>
        </is>
      </c>
      <c r="M263" s="15" t="inlineStr"/>
      <c r="N263" s="18" t="inlineStr">
        <is>
          <t>Chưa test</t>
        </is>
      </c>
      <c r="O263" s="15" t="inlineStr"/>
      <c r="P263" s="15" t="inlineStr"/>
      <c r="Q263" s="18" t="inlineStr">
        <is>
          <t>Chưa test</t>
        </is>
      </c>
      <c r="R263" s="15" t="inlineStr"/>
    </row>
    <row r="264" ht="60" customHeight="1">
      <c r="A264" s="14" t="inlineStr">
        <is>
          <t>TC-ADM3-263</t>
        </is>
      </c>
      <c r="B264" s="15" t="inlineStr">
        <is>
          <t>Admin Console (đợt 3: Phân tích, Hỗ trợ, Hệ thống)</t>
        </is>
      </c>
      <c r="C264" s="15" t="inlineStr">
        <is>
          <t>Hệ thống · Tài khoản quản trị (API)</t>
        </is>
      </c>
      <c r="D264" s="15" t="inlineStr">
        <is>
          <t>POST reset-2fa: tắt cờ, gửi email; DELETE gỡ quyền: {removed:true}</t>
        </is>
      </c>
      <c r="E264" s="15" t="inlineStr">
        <is>
          <t>Chức năng</t>
        </is>
      </c>
      <c r="F264" s="20" t="inlineStr">
        <is>
          <t>Trung bình</t>
        </is>
      </c>
      <c r="G264" s="17" t="inlineStr">
        <is>
          <t>Đã hoàn thiện</t>
        </is>
      </c>
      <c r="H264" s="20" t="inlineStr">
        <is>
          <t>Một phần</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64" s="15" t="inlineStr">
        <is>
          <t>1. POST /system/admins/&lt;id ryan&gt;/reset-2fa
2. GET /api/dev/outbox?to=support@sofinhub.test
3. DELETE /system/admins/&lt;id john&gt;
4. DELETE lần 2</t>
        </is>
      </c>
      <c r="K264" s="15" t="inlineStr">
        <is>
          <t>support@, john.carter@</t>
        </is>
      </c>
      <c r="L264" s="15" t="inlineStr">
        <is>
          <t>reset-2fa 200 twoFactorEnabled=false; outbox có thư tiêu đề 'Xác thực 2 bước của bạn đã được đặt lại'; DELETE 200 {removed:true}; lần 2: 404 'Không tìm thấy tài khoản admin'; không xóa user.</t>
        </is>
      </c>
      <c r="M264" s="15" t="inlineStr"/>
      <c r="N264" s="18" t="inlineStr">
        <is>
          <t>Chưa test</t>
        </is>
      </c>
      <c r="O264" s="15" t="inlineStr"/>
      <c r="P264" s="15" t="inlineStr"/>
      <c r="Q264" s="18" t="inlineStr">
        <is>
          <t>Chưa test</t>
        </is>
      </c>
      <c r="R264" s="15" t="inlineStr"/>
    </row>
    <row r="265" ht="30" customHeight="1">
      <c r="A265" s="14" t="inlineStr">
        <is>
          <t>TC-ADM3-264</t>
        </is>
      </c>
      <c r="B265" s="15" t="inlineStr">
        <is>
          <t>Admin Console (đợt 3: Phân tích, Hỗ trợ, Hệ thống)</t>
        </is>
      </c>
      <c r="C265" s="15" t="inlineStr">
        <is>
          <t>Hệ thống · Tài khoản quản trị (API)</t>
        </is>
      </c>
      <c r="D265" s="15" t="inlineStr">
        <is>
          <t>Quyền admin.manage: chỉ Super Admin gọi được mọi route /system/admins và /system/roles</t>
        </is>
      </c>
      <c r="E265" s="15" t="inlineStr">
        <is>
          <t>Bảo mật</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5" s="15" t="inlineStr">
        <is>
          <t>1. Bằng token moderator@, support@, finance@: GET /system/admins, POST /system/admins, GET /system/roles, POST /system/roles</t>
        </is>
      </c>
      <c r="K265" s="15" t="inlineStr">
        <is>
          <t>-</t>
        </is>
      </c>
      <c r="L265" s="15" t="inlineStr">
        <is>
          <t>Cả 3 vai trò: 403 'Vai trò ... không có quyền "admin.manage"' ở 4 route.</t>
        </is>
      </c>
      <c r="M265" s="15" t="inlineStr"/>
      <c r="N265" s="18" t="inlineStr">
        <is>
          <t>Chưa test</t>
        </is>
      </c>
      <c r="O265" s="15" t="inlineStr"/>
      <c r="P265" s="15" t="inlineStr"/>
      <c r="Q265" s="18" t="inlineStr">
        <is>
          <t>Chưa test</t>
        </is>
      </c>
      <c r="R265" s="15" t="inlineStr"/>
    </row>
    <row r="266" ht="45" customHeight="1">
      <c r="A266" s="14" t="inlineStr">
        <is>
          <t>TC-ADM3-265</t>
        </is>
      </c>
      <c r="B266" s="15" t="inlineStr">
        <is>
          <t>Admin Console (đợt 3: Phân tích, Hỗ trợ, Hệ thống)</t>
        </is>
      </c>
      <c r="C266" s="15" t="inlineStr">
        <is>
          <t>Hệ thống · Vai trò &amp; Quyền (UI)</t>
        </is>
      </c>
      <c r="D266" s="15" t="inlineStr">
        <is>
          <t>Trang 'Vai trò &amp; Quyền': ma trận 16 quyền × 5 vai trò khớp mặc định</t>
        </is>
      </c>
      <c r="E266" s="15" t="inlineStr">
        <is>
          <t>Giao diện</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6" s="15" t="inlineStr">
        <is>
          <t>1. Mở /admin/system/roles
2. Đọc tiêu đề cột và 16 hàng quyền
3. Đối chiếu từng ô với bảng PERMS (sheet 'Phân quyền')</t>
        </is>
      </c>
      <c r="K266" s="15" t="inlineStr">
        <is>
          <t>-</t>
        </is>
      </c>
      <c r="L266"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66" s="15" t="inlineStr"/>
      <c r="N266" s="18" t="inlineStr">
        <is>
          <t>Chưa test</t>
        </is>
      </c>
      <c r="O266" s="15" t="inlineStr"/>
      <c r="P266" s="15" t="inlineStr"/>
      <c r="Q266" s="18" t="inlineStr">
        <is>
          <t>Chưa test</t>
        </is>
      </c>
      <c r="R266" s="15" t="inlineStr"/>
    </row>
    <row r="267" ht="30" customHeight="1">
      <c r="A267" s="14" t="inlineStr">
        <is>
          <t>TC-ADM3-266</t>
        </is>
      </c>
      <c r="B267" s="15" t="inlineStr">
        <is>
          <t>Admin Console (đợt 3: Phân tích, Hỗ trợ, Hệ thống)</t>
        </is>
      </c>
      <c r="C267" s="15" t="inlineStr">
        <is>
          <t>Hệ thống · Vai trò &amp; Quyền (UI)</t>
        </is>
      </c>
      <c r="D267" s="15" t="inlineStr">
        <is>
          <t>Cột Super Admin bị khóa: ô không bấm được</t>
        </is>
      </c>
      <c r="E267" s="15" t="inlineStr">
        <is>
          <t>Giao diện</t>
        </is>
      </c>
      <c r="F267" s="16" t="inlineStr">
        <is>
          <t>Cao</t>
        </is>
      </c>
      <c r="G267" s="17" t="inlineStr">
        <is>
          <t>Đã hoàn thiện</t>
        </is>
      </c>
      <c r="H267" s="17" t="inlineStr">
        <is>
          <t>Có</t>
        </is>
      </c>
      <c r="I26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7" s="15" t="inlineStr">
        <is>
          <t>1. Bấm một ô của cột Super Admin (vd 'Xem phân tích')
2. Quan sát con trỏ/disabled</t>
        </is>
      </c>
      <c r="K267" s="15" t="inlineStr">
        <is>
          <t>-</t>
        </is>
      </c>
      <c r="L267" s="15" t="inlineStr">
        <is>
          <t>Ô bị vô hiệu (disabled, mờ), không có yêu cầu API nào được gửi; vai trò Super Admin luôn đủ quyền.</t>
        </is>
      </c>
      <c r="M267" s="15" t="inlineStr"/>
      <c r="N267" s="18" t="inlineStr">
        <is>
          <t>Chưa test</t>
        </is>
      </c>
      <c r="O267" s="15" t="inlineStr"/>
      <c r="P267" s="15" t="inlineStr"/>
      <c r="Q267" s="18" t="inlineStr">
        <is>
          <t>Chưa test</t>
        </is>
      </c>
      <c r="R267" s="15" t="inlineStr"/>
    </row>
    <row r="268" ht="60" customHeight="1">
      <c r="A268" s="14" t="inlineStr">
        <is>
          <t>TC-ADM3-267</t>
        </is>
      </c>
      <c r="B268" s="15" t="inlineStr">
        <is>
          <t>Admin Console (đợt 3: Phân tích, Hỗ trợ, Hệ thống)</t>
        </is>
      </c>
      <c r="C268" s="15" t="inlineStr">
        <is>
          <t>Hệ thống · Vai trò &amp; Quyền (UI)</t>
        </is>
      </c>
      <c r="D268" s="15" t="inlineStr">
        <is>
          <t>Cấp/thu hồi một ô: toast, hiệu lực ngay, ghi audit role.update</t>
        </is>
      </c>
      <c r="E268" s="15" t="inlineStr">
        <is>
          <t>Chức năng</t>
        </is>
      </c>
      <c r="F268" s="16" t="inlineStr">
        <is>
          <t>Cao</t>
        </is>
      </c>
      <c r="G268" s="17" t="inlineStr">
        <is>
          <t>Đã hoàn thiện</t>
        </is>
      </c>
      <c r="H268" s="20" t="inlineStr">
        <is>
          <t>Một phần</t>
        </is>
      </c>
      <c r="I26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8" s="15" t="inlineStr">
        <is>
          <t>1. Bấm ô 'Xem phân tích' của cột Hỗ trợ (đang trống)
2. Quan sát toast và spinner ô
3. Trình duyệt khác: support@ mở /admin/analytics/users
4. Bấm lại ô để thu hồi</t>
        </is>
      </c>
      <c r="K268" s="15" t="inlineStr">
        <is>
          <t>support, analytics.view</t>
        </is>
      </c>
      <c r="L268"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68" s="15" t="inlineStr"/>
      <c r="N268" s="18" t="inlineStr">
        <is>
          <t>Chưa test</t>
        </is>
      </c>
      <c r="O268" s="15" t="inlineStr"/>
      <c r="P268" s="15" t="inlineStr"/>
      <c r="Q268" s="18" t="inlineStr">
        <is>
          <t>Chưa test</t>
        </is>
      </c>
      <c r="R268" s="15" t="inlineStr"/>
    </row>
    <row r="269" ht="30" customHeight="1">
      <c r="A269" s="14" t="inlineStr">
        <is>
          <t>TC-ADM3-268</t>
        </is>
      </c>
      <c r="B269" s="15" t="inlineStr">
        <is>
          <t>Admin Console (đợt 3: Phân tích, Hỗ trợ, Hệ thống)</t>
        </is>
      </c>
      <c r="C269" s="15" t="inlineStr">
        <is>
          <t>Hệ thống · Vai trò &amp; Quyền (UI)</t>
        </is>
      </c>
      <c r="D269" s="15" t="inlineStr">
        <is>
          <t>Cấp admin.manage cho vai trò không phải Super Admin: giao diện chặn trước, API cũng chặn</t>
        </is>
      </c>
      <c r="E269" s="15" t="inlineStr">
        <is>
          <t>Bảo mật</t>
        </is>
      </c>
      <c r="F269" s="16" t="inlineStr">
        <is>
          <t>Cao</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9" s="15" t="inlineStr">
        <is>
          <t>1. Bấm ô 'Quản lý quản trị viên' của cột Tài chính
2. Quan sát toast và Network</t>
        </is>
      </c>
      <c r="K269" s="15" t="inlineStr">
        <is>
          <t>finance, admin.manage</t>
        </is>
      </c>
      <c r="L269" s="15" t="inlineStr">
        <is>
          <t>Toast lỗi 'Quyền quản lý quản trị viên chỉ dành cho Super Admin.' và KHÔNG có request PATCH nào; (đối chứng API: PATCH role finance {permission:'admin.manage',granted:true} -&gt; 400).</t>
        </is>
      </c>
      <c r="M269" s="15" t="inlineStr"/>
      <c r="N269" s="18" t="inlineStr">
        <is>
          <t>Chưa test</t>
        </is>
      </c>
      <c r="O269" s="15" t="inlineStr"/>
      <c r="P269" s="15" t="inlineStr"/>
      <c r="Q269" s="18" t="inlineStr">
        <is>
          <t>Chưa test</t>
        </is>
      </c>
      <c r="R269" s="15" t="inlineStr"/>
    </row>
    <row r="270" ht="30" customHeight="1">
      <c r="A270" s="14" t="inlineStr">
        <is>
          <t>TC-ADM3-269</t>
        </is>
      </c>
      <c r="B270" s="15" t="inlineStr">
        <is>
          <t>Admin Console (đợt 3: Phân tích, Hỗ trợ, Hệ thống)</t>
        </is>
      </c>
      <c r="C270" s="15" t="inlineStr">
        <is>
          <t>Hệ thống · Vai trò &amp; Quyền (UI)</t>
        </is>
      </c>
      <c r="D270" s="15" t="inlineStr">
        <is>
          <t>Thẻ vai trò: tên, nhãn Hệ thống/Tùy chọn, mô tả, số thành viên và số quyền</t>
        </is>
      </c>
      <c r="E270" s="15" t="inlineStr">
        <is>
          <t>Giao diện</t>
        </is>
      </c>
      <c r="F270" s="20" t="inlineStr">
        <is>
          <t>Trung bình</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0" s="15" t="inlineStr">
        <is>
          <t>1. Cuộn xuống khối 'Vai trò'
2. Đọc 5 thẻ</t>
        </is>
      </c>
      <c r="K270" s="15" t="inlineStr">
        <is>
          <t>-</t>
        </is>
      </c>
      <c r="L270"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70" s="15" t="inlineStr"/>
      <c r="N270" s="18" t="inlineStr">
        <is>
          <t>Chưa test</t>
        </is>
      </c>
      <c r="O270" s="15" t="inlineStr"/>
      <c r="P270" s="15" t="inlineStr"/>
      <c r="Q270" s="18" t="inlineStr">
        <is>
          <t>Chưa test</t>
        </is>
      </c>
      <c r="R270" s="15" t="inlineStr"/>
    </row>
    <row r="271" ht="60" customHeight="1">
      <c r="A271" s="14" t="inlineStr">
        <is>
          <t>TC-ADM3-270</t>
        </is>
      </c>
      <c r="B271" s="15" t="inlineStr">
        <is>
          <t>Admin Console (đợt 3: Phân tích, Hỗ trợ, Hệ thống)</t>
        </is>
      </c>
      <c r="C271" s="15" t="inlineStr">
        <is>
          <t>Hệ thống · Vai trò &amp; Quyền (UI)</t>
        </is>
      </c>
      <c r="D271" s="15" t="inlineStr">
        <is>
          <t>Tạo vai trò tùy chỉnh: dialog, chip quyền (không có admin.manage), mặc định dashboard.view</t>
        </is>
      </c>
      <c r="E271" s="15" t="inlineStr">
        <is>
          <t>Chức năng</t>
        </is>
      </c>
      <c r="F271" s="16" t="inlineStr">
        <is>
          <t>Cao</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71" s="15" t="inlineStr">
        <is>
          <t>1. Bấm 'Tạo vai trò'
2. Nhập Tên 'QA Auditor', Mô tả 'Chỉ xem nhật ký'
3. Bỏ chọn tất cả quyền, quan sát nút
4. Chọn 'Xem bảng điều khiển' và 'Xem nhật ký hoạt động' &gt; 'Tạo vai trò'</t>
        </is>
      </c>
      <c r="K271" s="15" t="inlineStr">
        <is>
          <t>QA Auditor</t>
        </is>
      </c>
      <c r="L271"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71" s="15" t="inlineStr"/>
      <c r="N271" s="18" t="inlineStr">
        <is>
          <t>Chưa test</t>
        </is>
      </c>
      <c r="O271" s="15" t="inlineStr"/>
      <c r="P271" s="15" t="inlineStr"/>
      <c r="Q271" s="18" t="inlineStr">
        <is>
          <t>Chưa test</t>
        </is>
      </c>
      <c r="R271" s="15" t="inlineStr"/>
    </row>
    <row r="272" ht="45" customHeight="1">
      <c r="A272" s="14" t="inlineStr">
        <is>
          <t>TC-ADM3-271</t>
        </is>
      </c>
      <c r="B272" s="15" t="inlineStr">
        <is>
          <t>Admin Console (đợt 3: Phân tích, Hỗ trợ, Hệ thống)</t>
        </is>
      </c>
      <c r="C272" s="15" t="inlineStr">
        <is>
          <t>Hệ thống · Vai trò &amp; Quyền (UI)</t>
        </is>
      </c>
      <c r="D272" s="15" t="inlineStr">
        <is>
          <t>Sửa tên/mô tả vai trò (kể cả vai trò hệ thống) qua nút 'Sửa'</t>
        </is>
      </c>
      <c r="E272" s="15" t="inlineStr">
        <is>
          <t>Chức năng</t>
        </is>
      </c>
      <c r="F272" s="20" t="inlineStr">
        <is>
          <t>Trung bình</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72" s="15" t="inlineStr">
        <is>
          <t>1. Thẻ 'Content Reviewer' &gt; 'Sửa'
2. Đổi tên thành 'Content Reviewer VN' và mô tả &gt; 'Lưu'
3. Thẻ 'Hỗ trợ' &gt; 'Sửa' đổi mô tả</t>
        </is>
      </c>
      <c r="K272" s="15" t="inlineStr">
        <is>
          <t>content_reviewer</t>
        </is>
      </c>
      <c r="L272" s="15" t="inlineStr">
        <is>
          <t>Toast 'Đã cập nhật vai trò'; tên mới hiện ở ma trận và thẻ; key không đổi; nút 'Lưu' khóa khi tên rỗng; vai trò hệ thống cũng sửa được tên/mô tả (không xóa được).</t>
        </is>
      </c>
      <c r="M272" s="15" t="inlineStr"/>
      <c r="N272" s="18" t="inlineStr">
        <is>
          <t>Chưa test</t>
        </is>
      </c>
      <c r="O272" s="15" t="inlineStr"/>
      <c r="P272" s="15" t="inlineStr"/>
      <c r="Q272" s="18" t="inlineStr">
        <is>
          <t>Chưa test</t>
        </is>
      </c>
      <c r="R272" s="15" t="inlineStr"/>
    </row>
    <row r="273" ht="45" customHeight="1">
      <c r="A273" s="14" t="inlineStr">
        <is>
          <t>TC-ADM3-272</t>
        </is>
      </c>
      <c r="B273" s="15" t="inlineStr">
        <is>
          <t>Admin Console (đợt 3: Phân tích, Hỗ trợ, Hệ thống)</t>
        </is>
      </c>
      <c r="C273" s="15" t="inlineStr">
        <is>
          <t>Hệ thống · Vai trò &amp; Quyền (UI)</t>
        </is>
      </c>
      <c r="D273" s="15" t="inlineStr">
        <is>
          <t>Xóa vai trò tùy chỉnh: chỉ khi 0 thành viên; vai trò hệ thống không có nút Xóa</t>
        </is>
      </c>
      <c r="E273" s="15" t="inlineStr">
        <is>
          <t>Chức năng</t>
        </is>
      </c>
      <c r="F273" s="16" t="inlineStr">
        <is>
          <t>Cao</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73" s="15" t="inlineStr">
        <is>
          <t>1. Thẻ 'Content Reviewer' (0 thành viên) &gt; 'Xóa' &gt; xác nhận
2. Tạo nhân viên gán vai trò tùy chỉnh khác rồi xem nút Xóa của vai trò đó
3. Xem thẻ Hỗ trợ</t>
        </is>
      </c>
      <c r="K273" s="15" t="inlineStr">
        <is>
          <t>content_reviewer</t>
        </is>
      </c>
      <c r="L273" s="15" t="inlineStr">
        <is>
          <t>Dialog 'Xóa vai trò · Content Reviewer' (cảnh báo vĩnh viễn) rồi toast 'Đã xóa vai trò'; vai trò có thành viên: nút 'Xóa' bị vô hiệu (tooltip 'Vai trò đang được dùng'); thẻ vai trò hệ thống không có nút 'Xóa'.</t>
        </is>
      </c>
      <c r="M273" s="15" t="inlineStr"/>
      <c r="N273" s="18" t="inlineStr">
        <is>
          <t>Chưa test</t>
        </is>
      </c>
      <c r="O273" s="15" t="inlineStr"/>
      <c r="P273" s="15" t="inlineStr"/>
      <c r="Q273" s="18" t="inlineStr">
        <is>
          <t>Chưa test</t>
        </is>
      </c>
      <c r="R273" s="15" t="inlineStr"/>
    </row>
    <row r="274" ht="30" customHeight="1">
      <c r="A274" s="14" t="inlineStr">
        <is>
          <t>TC-ADM3-273</t>
        </is>
      </c>
      <c r="B274" s="15" t="inlineStr">
        <is>
          <t>Admin Console (đợt 3: Phân tích, Hỗ trợ, Hệ thống)</t>
        </is>
      </c>
      <c r="C274" s="15" t="inlineStr">
        <is>
          <t>Hệ thống · Vai trò &amp; Quyền (API)</t>
        </is>
      </c>
      <c r="D274" s="15" t="inlineStr">
        <is>
          <t>GET /admin/system/roles: 16 quyền (key,label,group) và 5 vai trò với memberCount/locked/isSystem</t>
        </is>
      </c>
      <c r="E274" s="15" t="inlineStr">
        <is>
          <t>Chức năng</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4" s="15" t="inlineStr">
        <is>
          <t>1. GET /system/roles</t>
        </is>
      </c>
      <c r="K274" s="15" t="inlineStr">
        <is>
          <t>-</t>
        </is>
      </c>
      <c r="L274"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74" s="15" t="inlineStr"/>
      <c r="N274" s="18" t="inlineStr">
        <is>
          <t>Chưa test</t>
        </is>
      </c>
      <c r="O274" s="15" t="inlineStr"/>
      <c r="P274" s="15" t="inlineStr"/>
      <c r="Q274" s="18" t="inlineStr">
        <is>
          <t>Chưa test</t>
        </is>
      </c>
      <c r="R274" s="15" t="inlineStr"/>
    </row>
    <row r="275" ht="90" customHeight="1">
      <c r="A275" s="14" t="inlineStr">
        <is>
          <t>TC-ADM3-274</t>
        </is>
      </c>
      <c r="B275" s="15" t="inlineStr">
        <is>
          <t>Admin Console (đợt 3: Phân tích, Hỗ trợ, Hệ thống)</t>
        </is>
      </c>
      <c r="C275" s="15" t="inlineStr">
        <is>
          <t>Hệ thống · Vai trò &amp; Quyền (API)</t>
        </is>
      </c>
      <c r="D275" s="15" t="inlineStr">
        <is>
          <t>POST /system/roles tạo vai trò: key từ tên (bỏ dấu), 201, trùng 409, quyền lạ 400</t>
        </is>
      </c>
      <c r="E275" s="15" t="inlineStr">
        <is>
          <t>Chức năng</t>
        </is>
      </c>
      <c r="F275" s="16" t="inlineStr">
        <is>
          <t>Cao</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75"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75" s="15" t="inlineStr">
        <is>
          <t>Kiểm toán nội bộ</t>
        </is>
      </c>
      <c r="L275"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75" s="15" t="inlineStr"/>
      <c r="N275" s="18" t="inlineStr">
        <is>
          <t>Chưa test</t>
        </is>
      </c>
      <c r="O275" s="15" t="inlineStr"/>
      <c r="P275" s="15" t="inlineStr"/>
      <c r="Q275" s="18" t="inlineStr">
        <is>
          <t>Chưa test</t>
        </is>
      </c>
      <c r="R275" s="15" t="inlineStr"/>
    </row>
    <row r="276" ht="120" customHeight="1">
      <c r="A276" s="14" t="inlineStr">
        <is>
          <t>TC-ADM3-275</t>
        </is>
      </c>
      <c r="B276" s="15" t="inlineStr">
        <is>
          <t>Admin Console (đợt 3: Phân tích, Hỗ trợ, Hệ thống)</t>
        </is>
      </c>
      <c r="C276" s="15" t="inlineStr">
        <is>
          <t>Hệ thống · Vai trò &amp; Quyền (API)</t>
        </is>
      </c>
      <c r="D276" s="15" t="inlineStr">
        <is>
          <t>PATCH /system/roles/:key: đổi tên/mô tả, thay cả tập quyền, bật/tắt một ô; ràng buộc cặp permission/granted</t>
        </is>
      </c>
      <c r="E276" s="15" t="inlineStr">
        <is>
          <t>Chức năng</t>
        </is>
      </c>
      <c r="F276" s="16" t="inlineStr">
        <is>
          <t>Cao</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76"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76" s="15" t="inlineStr">
        <is>
          <t>content_reviewer</t>
        </is>
      </c>
      <c r="L276"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76" s="15" t="inlineStr"/>
      <c r="N276" s="18" t="inlineStr">
        <is>
          <t>Chưa test</t>
        </is>
      </c>
      <c r="O276" s="15" t="inlineStr"/>
      <c r="P276" s="15" t="inlineStr"/>
      <c r="Q276" s="18" t="inlineStr">
        <is>
          <t>Chưa test</t>
        </is>
      </c>
      <c r="R276" s="15" t="inlineStr"/>
    </row>
    <row r="277" ht="60" customHeight="1">
      <c r="A277" s="14" t="inlineStr">
        <is>
          <t>TC-ADM3-276</t>
        </is>
      </c>
      <c r="B277" s="15" t="inlineStr">
        <is>
          <t>Admin Console (đợt 3: Phân tích, Hỗ trợ, Hệ thống)</t>
        </is>
      </c>
      <c r="C277" s="15" t="inlineStr">
        <is>
          <t>Hệ thống · Vai trò &amp; Quyền (API)</t>
        </is>
      </c>
      <c r="D277" s="15" t="inlineStr">
        <is>
          <t>Không sửa được super_admin; không gán admin.manage cho vai trò khác (3 cách)</t>
        </is>
      </c>
      <c r="E277" s="15" t="inlineStr">
        <is>
          <t>Bảo mật</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77" s="15" t="inlineStr">
        <is>
          <t>1. PATCH /system/roles/super_admin {permission:'users.view', granted:false}
2. PATCH /system/roles/super_admin {name:'X'}
3. PATCH /system/roles/moderator {permissions:['admin.manage']}
4. POST /system/roles {name:'Leo thang', permissions:['admin.manage']}</t>
        </is>
      </c>
      <c r="K277" s="15" t="inlineStr">
        <is>
          <t>super_admin</t>
        </is>
      </c>
      <c r="L277" s="15" t="inlineStr">
        <is>
          <t>Lần 1-2: 409 'Vai trò Super Admin luôn đủ quyền và không thể chỉnh sửa'; lần 3-4: 400 'Quyền "admin.manage" chỉ dành riêng cho Super Admin'.</t>
        </is>
      </c>
      <c r="M277" s="15" t="inlineStr"/>
      <c r="N277" s="18" t="inlineStr">
        <is>
          <t>Chưa test</t>
        </is>
      </c>
      <c r="O277" s="15" t="inlineStr"/>
      <c r="P277" s="15" t="inlineStr"/>
      <c r="Q277" s="18" t="inlineStr">
        <is>
          <t>Chưa test</t>
        </is>
      </c>
      <c r="R277" s="15" t="inlineStr"/>
    </row>
    <row r="278" ht="75" customHeight="1">
      <c r="A278" s="14" t="inlineStr">
        <is>
          <t>TC-ADM3-277</t>
        </is>
      </c>
      <c r="B278" s="15" t="inlineStr">
        <is>
          <t>Admin Console (đợt 3: Phân tích, Hỗ trợ, Hệ thống)</t>
        </is>
      </c>
      <c r="C278" s="15" t="inlineStr">
        <is>
          <t>Hệ thống · Vai trò &amp; Quyền (API)</t>
        </is>
      </c>
      <c r="D278" s="15" t="inlineStr">
        <is>
          <t>DELETE /system/roles/:key: vai trò hệ thống 409, đang dùng 409, tùy chỉnh không dùng 200</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78" s="15" t="inlineStr">
        <is>
          <t>1. DELETE /system/roles/moderator
2. Tạo vai trò QA, gán cho member1@ (POST /system/admins), DELETE vai trò QA
3. Đổi vai trò member1@ sang support rồi DELETE vai trò QA
4. DELETE lần 2
5. DELETE /system/roles/khong-co</t>
        </is>
      </c>
      <c r="K278" s="15" t="inlineStr">
        <is>
          <t>qa role</t>
        </is>
      </c>
      <c r="L278" s="15" t="inlineStr">
        <is>
          <t>Lần 1: 409 'Không thể xóa vai trò hệ thống'; lần 2: 409 'Vai trò đang được gán cho nhân viên, hãy đổi vai trò của họ trước'; lần 3: 200 {deleted:true}; lần 4 và 5: 404 'Không tìm thấy vai trò'; audit role.delete.</t>
        </is>
      </c>
      <c r="M278" s="15" t="inlineStr"/>
      <c r="N278" s="18" t="inlineStr">
        <is>
          <t>Chưa test</t>
        </is>
      </c>
      <c r="O278" s="15" t="inlineStr"/>
      <c r="P278" s="15" t="inlineStr"/>
      <c r="Q278" s="18" t="inlineStr">
        <is>
          <t>Chưa test</t>
        </is>
      </c>
      <c r="R278" s="15" t="inlineStr"/>
    </row>
    <row r="279" ht="60" customHeight="1">
      <c r="A279" s="14" t="inlineStr">
        <is>
          <t>TC-ADM3-278</t>
        </is>
      </c>
      <c r="B279" s="15" t="inlineStr">
        <is>
          <t>Admin Console (đợt 3: Phân tích, Hỗ trợ, Hệ thống)</t>
        </is>
      </c>
      <c r="C279" s="15" t="inlineStr">
        <is>
          <t>Hệ thống · Vai trò &amp; Quyền (API)</t>
        </is>
      </c>
      <c r="D279" s="15" t="inlineStr">
        <is>
          <t>Vai trò tùy chỉnh gán cho nhân viên: ma trận quyền mới có hiệu lực ngay trên /admin/*</t>
        </is>
      </c>
      <c r="E279" s="15" t="inlineStr">
        <is>
          <t>Chức năng</t>
        </is>
      </c>
      <c r="F279" s="16" t="inlineStr">
        <is>
          <t>Cao</t>
        </is>
      </c>
      <c r="G279" s="17" t="inlineStr">
        <is>
          <t>Đã hoàn thiện</t>
        </is>
      </c>
      <c r="H279" s="17" t="inlineStr">
        <is>
          <t>Có</t>
        </is>
      </c>
      <c r="I27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79" s="15" t="inlineStr">
        <is>
          <t>1. Tạo vai trò 'QA Auditor' {permissions:['dashboard.view','audit.view']}
2. Gán cho member1@ (POST /system/admins)
3. Bằng token member1@: GET /admin/audit-logs, GET /admin/users, GET /admin/dashboard
4. PATCH vai trò thêm users.view, gọi lại GET /admin/users</t>
        </is>
      </c>
      <c r="K279" s="15" t="inlineStr">
        <is>
          <t>qa_auditor</t>
        </is>
      </c>
      <c r="L279" s="15" t="inlineStr">
        <is>
          <t>audit-logs 200, dashboard 200, users 403; sau khi thêm users.view -&gt; 200 ngay (không đăng nhập lại).</t>
        </is>
      </c>
      <c r="M279" s="15" t="inlineStr"/>
      <c r="N279" s="18" t="inlineStr">
        <is>
          <t>Chưa test</t>
        </is>
      </c>
      <c r="O279" s="15" t="inlineStr"/>
      <c r="P279" s="15" t="inlineStr"/>
      <c r="Q279" s="18" t="inlineStr">
        <is>
          <t>Chưa test</t>
        </is>
      </c>
      <c r="R279" s="15" t="inlineStr"/>
    </row>
    <row r="280" ht="30" customHeight="1">
      <c r="A280" s="14" t="inlineStr">
        <is>
          <t>TC-ADM3-279</t>
        </is>
      </c>
      <c r="B280" s="15" t="inlineStr">
        <is>
          <t>Admin Console (đợt 3: Phân tích, Hỗ trợ, Hệ thống)</t>
        </is>
      </c>
      <c r="C280" s="15" t="inlineStr">
        <is>
          <t>Hệ thống · Vai trò &amp; Quyền (API)</t>
        </is>
      </c>
      <c r="D280" s="15" t="inlineStr">
        <is>
          <t>Vai trò không có dashboard.view: /admin hiện 'Không đủ quyền' và sidebar rỗng nhóm</t>
        </is>
      </c>
      <c r="E280" s="15" t="inlineStr">
        <is>
          <t>Giao diện</t>
        </is>
      </c>
      <c r="F280" s="17" t="inlineStr">
        <is>
          <t>Thấp</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80" s="15" t="inlineStr">
        <is>
          <t>1. Mở /admin
2. Mở /admin/users</t>
        </is>
      </c>
      <c r="K280" s="15" t="inlineStr">
        <is>
          <t>-</t>
        </is>
      </c>
      <c r="L280" s="15" t="inlineStr">
        <is>
          <t>Tại /admin (cần dashboard.view): 'Không đủ quyền'; sidebar chỉ có nhóm 'Người dùng'; /admin/users hiển thị bình thường.</t>
        </is>
      </c>
      <c r="M280" s="15" t="inlineStr"/>
      <c r="N280" s="18" t="inlineStr">
        <is>
          <t>Chưa test</t>
        </is>
      </c>
      <c r="O280" s="15" t="inlineStr"/>
      <c r="P280" s="15" t="inlineStr"/>
      <c r="Q280" s="18" t="inlineStr">
        <is>
          <t>Chưa test</t>
        </is>
      </c>
      <c r="R280" s="15" t="inlineStr"/>
    </row>
    <row r="281" ht="30" customHeight="1">
      <c r="A281" s="14" t="inlineStr">
        <is>
          <t>TC-ADM3-280</t>
        </is>
      </c>
      <c r="B281" s="15" t="inlineStr">
        <is>
          <t>Admin Console (đợt 3: Phân tích, Hỗ trợ, Hệ thống)</t>
        </is>
      </c>
      <c r="C281" s="15" t="inlineStr">
        <is>
          <t>Hệ thống · Danh mục (dùng chung với Khám phá)</t>
        </is>
      </c>
      <c r="D281" s="15" t="inlineStr">
        <is>
          <t>Trang Hệ thống &gt; Danh mục hiển thị cùng dữ liệu với Khám phá &gt; Danh mục</t>
        </is>
      </c>
      <c r="E281" s="15" t="inlineStr">
        <is>
          <t>Chức năng</t>
        </is>
      </c>
      <c r="F281" s="16" t="inlineStr">
        <is>
          <t>Cao</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81" s="15" t="inlineStr">
        <is>
          <t>1. Mở /admin/system/categories, ghi danh sách + số cộng đồng
2. Mở /admin/discovery/categories, so sánh</t>
        </is>
      </c>
      <c r="K281" s="15" t="inlineStr">
        <is>
          <t>-</t>
        </is>
      </c>
      <c r="L281" s="15" t="inlineStr">
        <is>
          <t>Hai trang cùng danh sách, thứ tự, trạng thái bật/tắt và số cộng đồng (cùng bảng DiscoveryCategory); trang Hệ thống dùng editor của Khám phá (prop base='/system/categories').</t>
        </is>
      </c>
      <c r="M281" s="15" t="inlineStr"/>
      <c r="N281" s="18" t="inlineStr">
        <is>
          <t>Chưa test</t>
        </is>
      </c>
      <c r="O281" s="15" t="inlineStr"/>
      <c r="P281" s="15" t="inlineStr"/>
      <c r="Q281" s="18" t="inlineStr">
        <is>
          <t>Chưa test</t>
        </is>
      </c>
      <c r="R281" s="15" t="inlineStr"/>
    </row>
    <row r="282" ht="60" customHeight="1">
      <c r="A282" s="14" t="inlineStr">
        <is>
          <t>TC-ADM3-281</t>
        </is>
      </c>
      <c r="B282" s="15" t="inlineStr">
        <is>
          <t>Admin Console (đợt 3: Phân tích, Hỗ trợ, Hệ thống)</t>
        </is>
      </c>
      <c r="C282" s="15" t="inlineStr">
        <is>
          <t>Hệ thống · Danh mục (dùng chung với Khám phá)</t>
        </is>
      </c>
      <c r="D282" s="15" t="inlineStr">
        <is>
          <t>Sửa/di chuyển/sắp xếp danh mục ở trang Hệ thống phản ánh sang Khám phá và /categories công khai</t>
        </is>
      </c>
      <c r="E282" s="15" t="inlineStr">
        <is>
          <t>Chức năng</t>
        </is>
      </c>
      <c r="F282" s="16" t="inlineStr">
        <is>
          <t>Cao</t>
        </is>
      </c>
      <c r="G282" s="17" t="inlineStr">
        <is>
          <t>Đã hoàn thiện</t>
        </is>
      </c>
      <c r="H282" s="17" t="inlineStr">
        <is>
          <t>Có</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82" s="15" t="inlineStr">
        <is>
          <t>1. Ở /admin/system/categories tắt danh mục 'Health' (hoặc đổi nhãn)
2. Dùng mũi tên lên/xuống đổi thứ tự một danh mục
3. Mở /admin/discovery/categories
4. GET /api/categories khi chưa đăng nhập</t>
        </is>
      </c>
      <c r="K282" s="15" t="inlineStr">
        <is>
          <t>health</t>
        </is>
      </c>
      <c r="L282" s="15" t="inlineStr">
        <is>
          <t>Khám phá thấy cùng thay đổi; /api/categories ẩn danh mục đã tắt và theo thứ tự mới; audit category.* tương ứng.</t>
        </is>
      </c>
      <c r="M282" s="15" t="inlineStr"/>
      <c r="N282" s="18" t="inlineStr">
        <is>
          <t>Chưa test</t>
        </is>
      </c>
      <c r="O282" s="15" t="inlineStr"/>
      <c r="P282" s="15" t="inlineStr"/>
      <c r="Q282" s="18" t="inlineStr">
        <is>
          <t>Chưa test</t>
        </is>
      </c>
      <c r="R282" s="15" t="inlineStr"/>
    </row>
    <row r="283" ht="90" customHeight="1">
      <c r="A283" s="14" t="inlineStr">
        <is>
          <t>TC-ADM3-282</t>
        </is>
      </c>
      <c r="B283" s="15" t="inlineStr">
        <is>
          <t>Admin Console (đợt 3: Phân tích, Hỗ trợ, Hệ thống)</t>
        </is>
      </c>
      <c r="C283" s="15" t="inlineStr">
        <is>
          <t>Hệ thống · Danh mục (dùng chung với Khám phá)</t>
        </is>
      </c>
      <c r="D283" s="15" t="inlineStr">
        <is>
          <t>API /admin/system/categories* = bí danh của /admin/discovery/categories* (list/create/patch/reorder/move) kèm communities và slug</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83"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83" s="15" t="inlineStr">
        <is>
          <t>marketing</t>
        </is>
      </c>
      <c r="L283" s="15" t="inlineStr">
        <is>
          <t>Hai GET giống nhau; mỗi mục có communities (số cộng đồng) và slug; POST 201; PATCH/reorder/move 200; kết quả giống nhau ở cả 2 đường dẫn (cùng dữ liệu).</t>
        </is>
      </c>
      <c r="M283" s="15" t="inlineStr"/>
      <c r="N283" s="18" t="inlineStr">
        <is>
          <t>Chưa test</t>
        </is>
      </c>
      <c r="O283" s="15" t="inlineStr"/>
      <c r="P283" s="15" t="inlineStr"/>
      <c r="Q283" s="18" t="inlineStr">
        <is>
          <t>Chưa test</t>
        </is>
      </c>
      <c r="R283" s="15" t="inlineStr"/>
    </row>
    <row r="284" ht="30" customHeight="1">
      <c r="A284" s="14" t="inlineStr">
        <is>
          <t>TC-ADM3-283</t>
        </is>
      </c>
      <c r="B284" s="15" t="inlineStr">
        <is>
          <t>Admin Console (đợt 3: Phân tích, Hỗ trợ, Hệ thống)</t>
        </is>
      </c>
      <c r="C284" s="15" t="inlineStr">
        <is>
          <t>Hệ thống · Danh mục (dùng chung với Khám phá)</t>
        </is>
      </c>
      <c r="D284" s="15" t="inlineStr">
        <is>
          <t>Quyền community.manage cho Danh mục: Moderator được, Support/Finance 403</t>
        </is>
      </c>
      <c r="E284" s="15" t="inlineStr">
        <is>
          <t>Bảo mật</t>
        </is>
      </c>
      <c r="F284" s="20" t="inlineStr">
        <is>
          <t>Trung bình</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Token moderator@, support@, finance@.</t>
        </is>
      </c>
      <c r="J284" s="15" t="inlineStr">
        <is>
          <t>1. GET /admin/system/categories bằng 3 token</t>
        </is>
      </c>
      <c r="K284" s="15" t="inlineStr">
        <is>
          <t>-</t>
        </is>
      </c>
      <c r="L284" s="15" t="inlineStr">
        <is>
          <t>moderator@ 200; support@ và finance@ 403 'không có quyền "community.manage"'. Sidebar Moderator có nhóm 'Hệ thống' chỉ chứa mục 'Danh mục'.</t>
        </is>
      </c>
      <c r="M284" s="15" t="inlineStr"/>
      <c r="N284" s="18" t="inlineStr">
        <is>
          <t>Chưa test</t>
        </is>
      </c>
      <c r="O284" s="15" t="inlineStr"/>
      <c r="P284" s="15" t="inlineStr"/>
      <c r="Q284" s="18" t="inlineStr">
        <is>
          <t>Chưa test</t>
        </is>
      </c>
      <c r="R284" s="15" t="inlineStr"/>
    </row>
    <row r="285" ht="30" customHeight="1">
      <c r="A285" s="14" t="inlineStr">
        <is>
          <t>TC-ADM3-284</t>
        </is>
      </c>
      <c r="B285" s="15" t="inlineStr">
        <is>
          <t>Admin Console (đợt 3: Phân tích, Hỗ trợ, Hệ thống)</t>
        </is>
      </c>
      <c r="C285" s="15" t="inlineStr">
        <is>
          <t>Hệ thống · Tính năng thử nghiệm (UI)</t>
        </is>
      </c>
      <c r="D285" s="15" t="inlineStr">
        <is>
          <t>Trang 'Tính năng thử nghiệm': 6 cờ seed với giai đoạn, % và công tắc</t>
        </is>
      </c>
      <c r="E285" s="15" t="inlineStr">
        <is>
          <t>Giao diện</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85" s="15" t="inlineStr">
        <is>
          <t>1. Mở /admin/system/flags
2. Đọc 6 dòng và các cột</t>
        </is>
      </c>
      <c r="K285" s="15" t="inlineStr">
        <is>
          <t>-</t>
        </is>
      </c>
      <c r="L285"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85" s="15" t="inlineStr"/>
      <c r="N285" s="18" t="inlineStr">
        <is>
          <t>Chưa test</t>
        </is>
      </c>
      <c r="O285" s="15" t="inlineStr"/>
      <c r="P285" s="15" t="inlineStr"/>
      <c r="Q285" s="18" t="inlineStr">
        <is>
          <t>Chưa test</t>
        </is>
      </c>
      <c r="R285" s="15" t="inlineStr"/>
    </row>
    <row r="286" ht="45" customHeight="1">
      <c r="A286" s="14" t="inlineStr">
        <is>
          <t>TC-ADM3-285</t>
        </is>
      </c>
      <c r="B286" s="15" t="inlineStr">
        <is>
          <t>Admin Console (đợt 3: Phân tích, Hỗ trợ, Hệ thống)</t>
        </is>
      </c>
      <c r="C286" s="15" t="inlineStr">
        <is>
          <t>Hệ thống · Tính năng thử nghiệm (UI)</t>
        </is>
      </c>
      <c r="D286" s="15" t="inlineStr">
        <is>
          <t>Tìm cờ theo tên/khóa và lọc theo Giai đoạn</t>
        </is>
      </c>
      <c r="E286" s="15" t="inlineStr">
        <is>
          <t>Chức năng</t>
        </is>
      </c>
      <c r="F286" s="20" t="inlineStr">
        <is>
          <t>Trung bình</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86" s="15" t="inlineStr">
        <is>
          <t>1. Gõ 'dm' vào 'Tìm tính năng...'
2. Xóa, lọc Giai đoạn = 'Đang chạy'
3. Lọc 'Bản nháp'</t>
        </is>
      </c>
      <c r="K286" s="15" t="inlineStr">
        <is>
          <t>dm / Đang chạy / Bản nháp</t>
        </is>
      </c>
      <c r="L286" s="15" t="inlineStr">
        <is>
          <t>'dm': dm_v2; Đang chạy: 3 cờ (premium_lock, ai_moderation, leaderboard_v2); Bản nháp: native_live; 'Xóa bộ lọc' khôi phục 6 dòng.</t>
        </is>
      </c>
      <c r="M286" s="15" t="inlineStr"/>
      <c r="N286" s="18" t="inlineStr">
        <is>
          <t>Chưa test</t>
        </is>
      </c>
      <c r="O286" s="15" t="inlineStr"/>
      <c r="P286" s="15" t="inlineStr"/>
      <c r="Q286" s="18" t="inlineStr">
        <is>
          <t>Chưa test</t>
        </is>
      </c>
      <c r="R286" s="15" t="inlineStr"/>
    </row>
    <row r="287" ht="60" customHeight="1">
      <c r="A287" s="14" t="inlineStr">
        <is>
          <t>TC-ADM3-286</t>
        </is>
      </c>
      <c r="B287" s="15" t="inlineStr">
        <is>
          <t>Admin Console (đợt 3: Phân tích, Hỗ trợ, Hệ thống)</t>
        </is>
      </c>
      <c r="C287" s="15" t="inlineStr">
        <is>
          <t>Hệ thống · Tính năng thử nghiệm (UI)</t>
        </is>
      </c>
      <c r="D287" s="15" t="inlineStr">
        <is>
          <t>Bật/tắt cờ bằng công tắc: toast, giữ trạng thái khi đang gửi, hiệu lực ở /api/feature-flags</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87" s="15" t="inlineStr">
        <is>
          <t>1. Bật công tắc 'Bật/tắt Mobile app banner'
2. Quan sát toast và công tắc (disabled khi đang gửi)
3. GET /api/feature-flags
4. Tắt lại</t>
        </is>
      </c>
      <c r="K287" s="15" t="inlineStr">
        <is>
          <t>app_banner</t>
        </is>
      </c>
      <c r="L287" s="15" t="inlineStr">
        <is>
          <t>Toast 'Đã bật "Mobile app banner"'; sau đó GET /api/feature-flags có app_banner:true (rollout 100); tắt -&gt; toast 'Đã tắt ...' và false; audit flag.enable / flag.disable.</t>
        </is>
      </c>
      <c r="M287" s="15" t="inlineStr"/>
      <c r="N287" s="18" t="inlineStr">
        <is>
          <t>Chưa test</t>
        </is>
      </c>
      <c r="O287" s="15" t="inlineStr"/>
      <c r="P287" s="15" t="inlineStr"/>
      <c r="Q287" s="18" t="inlineStr">
        <is>
          <t>Chưa test</t>
        </is>
      </c>
      <c r="R287" s="15" t="inlineStr"/>
    </row>
    <row r="288" ht="75" customHeight="1">
      <c r="A288" s="14" t="inlineStr">
        <is>
          <t>TC-ADM3-287</t>
        </is>
      </c>
      <c r="B288" s="15" t="inlineStr">
        <is>
          <t>Admin Console (đợt 3: Phân tích, Hỗ trợ, Hệ thống)</t>
        </is>
      </c>
      <c r="C288" s="15" t="inlineStr">
        <is>
          <t>Hệ thống · Tính năng thử nghiệm (UI)</t>
        </is>
      </c>
      <c r="D288" s="15" t="inlineStr">
        <is>
          <t>Thêm cờ mới: khóa tự đổi chữ thường, mặc định TẮT, validate tên/khóa/%</t>
        </is>
      </c>
      <c r="E288" s="15" t="inlineStr">
        <is>
          <t>Chức năng</t>
        </is>
      </c>
      <c r="F288" s="16" t="inlineStr">
        <is>
          <t>Cao</t>
        </is>
      </c>
      <c r="G288" s="17" t="inlineStr">
        <is>
          <t>Đã hoàn thiện</t>
        </is>
      </c>
      <c r="H288" s="17" t="inlineStr">
        <is>
          <t>Có</t>
        </is>
      </c>
      <c r="I2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88" s="15" t="inlineStr">
        <is>
          <t>1. Bấm 'Thêm tính năng'
2. Gõ khóa 'QA_Flag_1' (quan sát tự chuyển chữ thường)
3. Tên 'QA flag', Giai đoạn 'Thử nghiệm', Tỷ lệ '25'
4. Thử gõ chữ vào ô Tỷ lệ
5. Bấm 'Thêm tính năng'</t>
        </is>
      </c>
      <c r="K288" s="15" t="inlineStr">
        <is>
          <t>qa_flag_1</t>
        </is>
      </c>
      <c r="L288"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88" s="15" t="inlineStr"/>
      <c r="N288" s="18" t="inlineStr">
        <is>
          <t>Chưa test</t>
        </is>
      </c>
      <c r="O288" s="15" t="inlineStr"/>
      <c r="P288" s="15" t="inlineStr"/>
      <c r="Q288" s="18" t="inlineStr">
        <is>
          <t>Chưa test</t>
        </is>
      </c>
      <c r="R288" s="15" t="inlineStr"/>
    </row>
    <row r="289" ht="45" customHeight="1">
      <c r="A289" s="14" t="inlineStr">
        <is>
          <t>TC-ADM3-288</t>
        </is>
      </c>
      <c r="B289" s="15" t="inlineStr">
        <is>
          <t>Admin Console (đợt 3: Phân tích, Hỗ trợ, Hệ thống)</t>
        </is>
      </c>
      <c r="C289" s="15" t="inlineStr">
        <is>
          <t>Hệ thống · Tính năng thử nghiệm (UI)</t>
        </is>
      </c>
      <c r="D289" s="15" t="inlineStr">
        <is>
          <t>Thêm cờ với khóa bắt đầu bằng số/1 ký tự: giao diện cho phép nhưng API trả 400</t>
        </is>
      </c>
      <c r="E289" s="15" t="inlineStr">
        <is>
          <t>Chức năng</t>
        </is>
      </c>
      <c r="F289" s="20" t="inlineStr">
        <is>
          <t>Trung bình</t>
        </is>
      </c>
      <c r="G289" s="20" t="inlineStr">
        <is>
          <t>Kế hoạch</t>
        </is>
      </c>
      <c r="H289" s="20" t="inlineStr">
        <is>
          <t>Một phần</t>
        </is>
      </c>
      <c r="I2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89" s="15" t="inlineStr">
        <is>
          <t>1. Bấm 'Thêm tính năng'
2. Khóa '1abc' (hoặc 'a'), Tên 'X'
3. Bấm 'Thêm tính năng'</t>
        </is>
      </c>
      <c r="K289" s="15" t="inlineStr">
        <is>
          <t>1abc / a</t>
        </is>
      </c>
      <c r="L289"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89" s="15" t="inlineStr"/>
      <c r="N289" s="18" t="inlineStr">
        <is>
          <t>Chưa test</t>
        </is>
      </c>
      <c r="O289" s="15" t="inlineStr"/>
      <c r="P289" s="15" t="inlineStr"/>
      <c r="Q289" s="18" t="inlineStr">
        <is>
          <t>Chưa test</t>
        </is>
      </c>
      <c r="R289" s="15" t="inlineStr"/>
    </row>
    <row r="290" ht="30" customHeight="1">
      <c r="A290" s="14" t="inlineStr">
        <is>
          <t>TC-ADM3-289</t>
        </is>
      </c>
      <c r="B290" s="15" t="inlineStr">
        <is>
          <t>Admin Console (đợt 3: Phân tích, Hỗ trợ, Hệ thống)</t>
        </is>
      </c>
      <c r="C290" s="15" t="inlineStr">
        <is>
          <t>Hệ thống · Tính năng thử nghiệm (UI)</t>
        </is>
      </c>
      <c r="D290" s="15" t="inlineStr">
        <is>
          <t>Thêm cờ trùng khóa: lỗi 409 hiện trong dialog</t>
        </is>
      </c>
      <c r="E290" s="15" t="inlineStr">
        <is>
          <t>Chức năng</t>
        </is>
      </c>
      <c r="F290" s="20" t="inlineStr">
        <is>
          <t>Trung bình</t>
        </is>
      </c>
      <c r="G290" s="17" t="inlineStr">
        <is>
          <t>Đã hoàn thiện</t>
        </is>
      </c>
      <c r="H290" s="17" t="inlineStr">
        <is>
          <t>Có</t>
        </is>
      </c>
      <c r="I2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90" s="15" t="inlineStr">
        <is>
          <t>1. Bấm 'Thêm tính năng', khóa 'dm_v2', tên 'Trùng' &gt; 'Thêm tính năng'</t>
        </is>
      </c>
      <c r="K290" s="15" t="inlineStr">
        <is>
          <t>dm_v2</t>
        </is>
      </c>
      <c r="L290" s="15" t="inlineStr">
        <is>
          <t>Dialog hiện 'Feature flag đã tồn tại'; không tạo thêm dòng.</t>
        </is>
      </c>
      <c r="M290" s="15" t="inlineStr"/>
      <c r="N290" s="18" t="inlineStr">
        <is>
          <t>Chưa test</t>
        </is>
      </c>
      <c r="O290" s="15" t="inlineStr"/>
      <c r="P290" s="15" t="inlineStr"/>
      <c r="Q290" s="18" t="inlineStr">
        <is>
          <t>Chưa test</t>
        </is>
      </c>
      <c r="R290" s="15" t="inlineStr"/>
    </row>
    <row r="291" ht="45" customHeight="1">
      <c r="A291" s="14" t="inlineStr">
        <is>
          <t>TC-ADM3-290</t>
        </is>
      </c>
      <c r="B291" s="15" t="inlineStr">
        <is>
          <t>Admin Console (đợt 3: Phân tích, Hỗ trợ, Hệ thống)</t>
        </is>
      </c>
      <c r="C291" s="15" t="inlineStr">
        <is>
          <t>Hệ thống · Tính năng thử nghiệm (UI)</t>
        </is>
      </c>
      <c r="D291" s="15" t="inlineStr">
        <is>
          <t>Sửa cờ: dialog 'Sửa tính năng · tên', khóa không đổi được, đổi %, giai đoạn</t>
        </is>
      </c>
      <c r="E291" s="15" t="inlineStr">
        <is>
          <t>Chức năng</t>
        </is>
      </c>
      <c r="F291" s="16" t="inlineStr">
        <is>
          <t>Cao</t>
        </is>
      </c>
      <c r="G291" s="17" t="inlineStr">
        <is>
          <t>Đã hoàn thiện</t>
        </is>
      </c>
      <c r="H291" s="17" t="inlineStr">
        <is>
          <t>Có</t>
        </is>
      </c>
      <c r="I2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91" s="15" t="inlineStr">
        <is>
          <t>1. Menu dòng dm_v2 &gt; 'Sửa'
2. Đổi Tỷ lệ 50 -&gt; 80, Giai đoạn 'Đang chạy', Mô tả mới &gt; 'Lưu'
3. Xóa trắng tên và xem nút Lưu</t>
        </is>
      </c>
      <c r="K291" s="15" t="inlineStr">
        <is>
          <t>dm_v2</t>
        </is>
      </c>
      <c r="L291" s="15" t="inlineStr">
        <is>
          <t>Không có ô Khóa; toast 'Đã cập nhật tính năng'; dòng đổi 'Đang chạy' kèm '80%' (phần trăm hiện khi &lt; 100); nút Lưu khóa khi tên rỗng; audit flag.update.</t>
        </is>
      </c>
      <c r="M291" s="15" t="inlineStr"/>
      <c r="N291" s="18" t="inlineStr">
        <is>
          <t>Chưa test</t>
        </is>
      </c>
      <c r="O291" s="15" t="inlineStr"/>
      <c r="P291" s="15" t="inlineStr"/>
      <c r="Q291" s="18" t="inlineStr">
        <is>
          <t>Chưa test</t>
        </is>
      </c>
      <c r="R291" s="15" t="inlineStr"/>
    </row>
    <row r="292" ht="45" customHeight="1">
      <c r="A292" s="14" t="inlineStr">
        <is>
          <t>TC-ADM3-291</t>
        </is>
      </c>
      <c r="B292" s="15" t="inlineStr">
        <is>
          <t>Admin Console (đợt 3: Phân tích, Hỗ trợ, Hệ thống)</t>
        </is>
      </c>
      <c r="C292" s="15" t="inlineStr">
        <is>
          <t>Hệ thống · Tính năng thử nghiệm (UI)</t>
        </is>
      </c>
      <c r="D292" s="15" t="inlineStr">
        <is>
          <t>Xóa cờ: dialog xác nhận, cờ biến mất khỏi /api/feature-flags</t>
        </is>
      </c>
      <c r="E292" s="15" t="inlineStr">
        <is>
          <t>Chức năng</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92" s="15" t="inlineStr">
        <is>
          <t>1. Menu dòng native_live &gt; 'Xóa'
2. Đọc nội dung cảnh báo &gt; 'Xóa'
3. GET /api/feature-flags</t>
        </is>
      </c>
      <c r="K292" s="15" t="inlineStr">
        <is>
          <t>native_live</t>
        </is>
      </c>
      <c r="L292" s="15" t="inlineStr">
        <is>
          <t>Dialog 'Xóa tính năng · Native livestream' ('...mã nguồn đang đọc cờ sẽ coi như tắt'); toast 'Đã xóa tính năng'; dòng mất; khóa native_live không còn trong data.flags; audit flag.delete.</t>
        </is>
      </c>
      <c r="M292" s="15" t="inlineStr"/>
      <c r="N292" s="18" t="inlineStr">
        <is>
          <t>Chưa test</t>
        </is>
      </c>
      <c r="O292" s="15" t="inlineStr"/>
      <c r="P292" s="15" t="inlineStr"/>
      <c r="Q292" s="18" t="inlineStr">
        <is>
          <t>Chưa test</t>
        </is>
      </c>
      <c r="R292" s="15" t="inlineStr"/>
    </row>
    <row r="293" ht="180" customHeight="1">
      <c r="A293" s="14" t="inlineStr">
        <is>
          <t>TC-ADM3-292</t>
        </is>
      </c>
      <c r="B293" s="15" t="inlineStr">
        <is>
          <t>Admin Console (đợt 3: Phân tích, Hỗ trợ, Hệ thống)</t>
        </is>
      </c>
      <c r="C293" s="15" t="inlineStr">
        <is>
          <t>Hệ thống · Tính năng thử nghiệm (API và công khai)</t>
        </is>
      </c>
      <c r="D293" s="15" t="inlineStr">
        <is>
          <t>CRUD /admin/system/flags: tạo 201, trùng 409, 404, validate, toggle, xóa, audit</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93"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93" s="15" t="inlineStr">
        <is>
          <t>qa_api_flag</t>
        </is>
      </c>
      <c r="L293"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93" s="15" t="inlineStr"/>
      <c r="N293" s="18" t="inlineStr">
        <is>
          <t>Chưa test</t>
        </is>
      </c>
      <c r="O293" s="15" t="inlineStr"/>
      <c r="P293" s="15" t="inlineStr"/>
      <c r="Q293" s="18" t="inlineStr">
        <is>
          <t>Chưa test</t>
        </is>
      </c>
      <c r="R293" s="15" t="inlineStr"/>
    </row>
    <row r="294" ht="90" customHeight="1">
      <c r="A294" s="14" t="inlineStr">
        <is>
          <t>TC-ADM3-293</t>
        </is>
      </c>
      <c r="B294" s="15" t="inlineStr">
        <is>
          <t>Admin Console (đợt 3: Phân tích, Hỗ trợ, Hệ thống)</t>
        </is>
      </c>
      <c r="C294" s="15" t="inlineStr">
        <is>
          <t>Hệ thống · Tính năng thử nghiệm (API và công khai)</t>
        </is>
      </c>
      <c r="D294" s="15" t="inlineStr">
        <is>
          <t>GET /admin/system/flags lọc q, stage, enabled; giá trị lạ trả 400</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94" s="15" t="inlineStr">
        <is>
          <t>1. GET /system/flags?q=layout
2. GET ?q=dm
3. GET ?stage=active
4. GET ?enabled=false
5. GET ?enabled=maybe
6. GET ?stage=prod</t>
        </is>
      </c>
      <c r="K294" s="15" t="inlineStr">
        <is>
          <t>-</t>
        </is>
      </c>
      <c r="L294" s="15" t="inlineStr">
        <is>
          <t>q khớp key/tên không phân biệt hoa/thường; stage=active 3 cờ; enabled=false: app_banner, native_live; enabled=maybe và stage=prod -&gt; 400.</t>
        </is>
      </c>
      <c r="M294" s="15" t="inlineStr"/>
      <c r="N294" s="18" t="inlineStr">
        <is>
          <t>Chưa test</t>
        </is>
      </c>
      <c r="O294" s="15" t="inlineStr"/>
      <c r="P294" s="15" t="inlineStr"/>
      <c r="Q294" s="18" t="inlineStr">
        <is>
          <t>Chưa test</t>
        </is>
      </c>
      <c r="R294" s="15" t="inlineStr"/>
    </row>
    <row r="295" ht="45" customHeight="1">
      <c r="A295" s="14" t="inlineStr">
        <is>
          <t>TC-ADM3-294</t>
        </is>
      </c>
      <c r="B295" s="15" t="inlineStr">
        <is>
          <t>Admin Console (đợt 3: Phân tích, Hỗ trợ, Hệ thống)</t>
        </is>
      </c>
      <c r="C295" s="15" t="inlineStr">
        <is>
          <t>Hệ thống · Tính năng thử nghiệm (API và công khai)</t>
        </is>
      </c>
      <c r="D295" s="15" t="inlineStr">
        <is>
          <t>GET /api/feature-flags công khai (không cần đăng nhập): cờ bật, maintenance, platform, no-store</t>
        </is>
      </c>
      <c r="E295" s="15" t="inlineStr">
        <is>
          <t>Chức năng</t>
        </is>
      </c>
      <c r="F295" s="16" t="inlineStr">
        <is>
          <t>Cao</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95" s="15" t="inlineStr">
        <is>
          <t>1. GET /api/feature-flags không token
2. Xem header Cache-Control
3. So với GET /api/admin/system/flags</t>
        </is>
      </c>
      <c r="K295" s="15" t="inlineStr">
        <is>
          <t>-</t>
        </is>
      </c>
      <c r="L295"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95" s="15" t="inlineStr"/>
      <c r="N295" s="18" t="inlineStr">
        <is>
          <t>Chưa test</t>
        </is>
      </c>
      <c r="O295" s="15" t="inlineStr"/>
      <c r="P295" s="15" t="inlineStr"/>
      <c r="Q295" s="18" t="inlineStr">
        <is>
          <t>Chưa test</t>
        </is>
      </c>
      <c r="R295" s="15" t="inlineStr"/>
    </row>
    <row r="296" ht="60" customHeight="1">
      <c r="A296" s="14" t="inlineStr">
        <is>
          <t>TC-ADM3-295</t>
        </is>
      </c>
      <c r="B296" s="15" t="inlineStr">
        <is>
          <t>Admin Console (đợt 3: Phân tích, Hỗ trợ, Hệ thống)</t>
        </is>
      </c>
      <c r="C296" s="15" t="inlineStr">
        <is>
          <t>Hệ thống · Tính năng thử nghiệm (API và công khai)</t>
        </is>
      </c>
      <c r="D296" s="15" t="inlineStr">
        <is>
          <t>Rollout theo %: cùng một user luôn vào/ra nhóm theo băm ổn định sha256(flag:userId)</t>
        </is>
      </c>
      <c r="E296" s="15" t="inlineStr">
        <is>
          <t>Chức năng</t>
        </is>
      </c>
      <c r="F296" s="16" t="inlineStr">
        <is>
          <t>Cao</t>
        </is>
      </c>
      <c r="G296" s="17" t="inlineStr">
        <is>
          <t>Đã hoàn thiện</t>
        </is>
      </c>
      <c r="H296" s="20" t="inlineStr">
        <is>
          <t>Một phần</t>
        </is>
      </c>
      <c r="I29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96" s="15" t="inlineStr">
        <is>
          <t>1. Với mỗi token: GET /api/feature-flags 3 lần, ghi dm_v2
2. Tự tính bucket = parseInt(sha256('dm_v2:'+userId).hex.slice(0,8),16) % 100 và so với 50
3. Admin PATCH rolloutPercent 50 -&gt; 80, gọi lại
4. PATCH 80 -&gt; 30, gọi lại</t>
        </is>
      </c>
      <c r="K296" s="15" t="inlineStr">
        <is>
          <t>dm_v2 rollout 50</t>
        </is>
      </c>
      <c r="L296"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96" s="15" t="inlineStr"/>
      <c r="N296" s="18" t="inlineStr">
        <is>
          <t>Chưa test</t>
        </is>
      </c>
      <c r="O296" s="15" t="inlineStr"/>
      <c r="P296" s="15" t="inlineStr"/>
      <c r="Q296" s="18" t="inlineStr">
        <is>
          <t>Chưa test</t>
        </is>
      </c>
      <c r="R296" s="15" t="inlineStr"/>
    </row>
    <row r="297" ht="90" customHeight="1">
      <c r="A297" s="14" t="inlineStr">
        <is>
          <t>TC-ADM3-296</t>
        </is>
      </c>
      <c r="B297" s="15" t="inlineStr">
        <is>
          <t>Admin Console (đợt 3: Phân tích, Hỗ trợ, Hệ thống)</t>
        </is>
      </c>
      <c r="C297" s="15" t="inlineStr">
        <is>
          <t>Hệ thống · Tính năng thử nghiệm (API và công khai)</t>
        </is>
      </c>
      <c r="D297" s="15" t="inlineStr">
        <is>
          <t>Rollout 0%/100%, enabled=false, stage không ảnh hưởng kết quả công khai</t>
        </is>
      </c>
      <c r="E297" s="15" t="inlineStr">
        <is>
          <t>Chức năng</t>
        </is>
      </c>
      <c r="F297" s="20" t="inlineStr">
        <is>
          <t>Trung bình</t>
        </is>
      </c>
      <c r="G297" s="17" t="inlineStr">
        <is>
          <t>Đã hoàn thiện</t>
        </is>
      </c>
      <c r="H297" s="17" t="inlineStr">
        <is>
          <t>Có</t>
        </is>
      </c>
      <c r="I29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97" s="15" t="inlineStr">
        <is>
          <t>1. PATCH dm_v2 {rolloutPercent:0}
2. GET /api/feature-flags bằng token member1@
3. PATCH {rolloutPercent:100, enabled:false}
4. GET lại
5. PATCH native_live {enabled:true, rolloutPercent:100} (stage draft)
6. GET lại (khách)</t>
        </is>
      </c>
      <c r="K297" s="15" t="inlineStr">
        <is>
          <t>dm_v2, native_live</t>
        </is>
      </c>
      <c r="L297" s="15" t="inlineStr">
        <is>
          <t>0%: dm_v2 false cho mọi user (kể cả đã đăng nhập); 100% nhưng enabled=false: false; native_live (stage 'draft') bật + 100%: true cho cả khách (giai đoạn chỉ là nhãn, không ảnh hưởng).</t>
        </is>
      </c>
      <c r="M297" s="15" t="inlineStr"/>
      <c r="N297" s="18" t="inlineStr">
        <is>
          <t>Chưa test</t>
        </is>
      </c>
      <c r="O297" s="15" t="inlineStr"/>
      <c r="P297" s="15" t="inlineStr"/>
      <c r="Q297" s="18" t="inlineStr">
        <is>
          <t>Chưa test</t>
        </is>
      </c>
      <c r="R297" s="15" t="inlineStr"/>
    </row>
    <row r="298" ht="60" customHeight="1">
      <c r="A298" s="14" t="inlineStr">
        <is>
          <t>TC-ADM3-297</t>
        </is>
      </c>
      <c r="B298" s="15" t="inlineStr">
        <is>
          <t>Admin Console (đợt 3: Phân tích, Hỗ trợ, Hệ thống)</t>
        </is>
      </c>
      <c r="C298" s="15" t="inlineStr">
        <is>
          <t>Hệ thống · Tính năng thử nghiệm (API và công khai)</t>
        </is>
      </c>
      <c r="D298" s="15" t="inlineStr">
        <is>
          <t>Cờ vừa tạo/xóa/đổi phản ánh ngay ở /api/feature-flags</t>
        </is>
      </c>
      <c r="E298" s="15" t="inlineStr">
        <is>
          <t>Chức năng</t>
        </is>
      </c>
      <c r="F298" s="20" t="inlineStr">
        <is>
          <t>Trung bình</t>
        </is>
      </c>
      <c r="G298" s="17" t="inlineStr">
        <is>
          <t>Đã hoàn thiện</t>
        </is>
      </c>
      <c r="H298" s="17" t="inlineStr">
        <is>
          <t>Có</t>
        </is>
      </c>
      <c r="I29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8" s="15" t="inlineStr">
        <is>
          <t>1. POST /system/flags {key:'qa_live', name:'QA', enabled:true, rolloutPercent:100}
2. GET /api/feature-flags
3. DELETE /system/flags/qa_live
4. GET /api/feature-flags</t>
        </is>
      </c>
      <c r="K298" s="15" t="inlineStr">
        <is>
          <t>qa_live</t>
        </is>
      </c>
      <c r="L298" s="15" t="inlineStr">
        <is>
          <t>Sau tạo: flags.qa_live=true; sau xóa: khóa qa_live KHÔNG còn trong map (không phải false).</t>
        </is>
      </c>
      <c r="M298" s="15" t="inlineStr"/>
      <c r="N298" s="18" t="inlineStr">
        <is>
          <t>Chưa test</t>
        </is>
      </c>
      <c r="O298" s="15" t="inlineStr"/>
      <c r="P298" s="15" t="inlineStr"/>
      <c r="Q298" s="18" t="inlineStr">
        <is>
          <t>Chưa test</t>
        </is>
      </c>
      <c r="R298" s="15" t="inlineStr"/>
    </row>
    <row r="299" ht="30" customHeight="1">
      <c r="A299" s="14" t="inlineStr">
        <is>
          <t>TC-ADM3-298</t>
        </is>
      </c>
      <c r="B299" s="15" t="inlineStr">
        <is>
          <t>Admin Console (đợt 3: Phân tích, Hỗ trợ, Hệ thống)</t>
        </is>
      </c>
      <c r="C299" s="15" t="inlineStr">
        <is>
          <t>Hệ thống · Tính năng thử nghiệm (API và công khai)</t>
        </is>
      </c>
      <c r="D299" s="15" t="inlineStr">
        <is>
          <t>Quyền system.flags: chỉ Super Admin (mặc định) sửa cờ; Moderator/Support/Finance 403</t>
        </is>
      </c>
      <c r="E299" s="15" t="inlineStr">
        <is>
          <t>Bảo mật</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9" s="15" t="inlineStr">
        <is>
          <t>1. GET /system/flags và POST /system/flags bằng token moderator@, support@, finance@
2. Bật system.flags cho Moderator ở ma trận rồi gọi lại</t>
        </is>
      </c>
      <c r="K299" s="15" t="inlineStr">
        <is>
          <t>-</t>
        </is>
      </c>
      <c r="L299" s="15" t="inlineStr">
        <is>
          <t>3 vai trò 403 'không có quyền "system.flags"'; sau khi bật ô, Moderator qua guard; GET /api/feature-flags công khai không cần quyền.</t>
        </is>
      </c>
      <c r="M299" s="15" t="inlineStr"/>
      <c r="N299" s="18" t="inlineStr">
        <is>
          <t>Chưa test</t>
        </is>
      </c>
      <c r="O299" s="15" t="inlineStr"/>
      <c r="P299" s="15" t="inlineStr"/>
      <c r="Q299" s="18" t="inlineStr">
        <is>
          <t>Chưa test</t>
        </is>
      </c>
      <c r="R299" s="15" t="inlineStr"/>
    </row>
    <row r="300" ht="30" customHeight="1">
      <c r="A300" s="14" t="inlineStr">
        <is>
          <t>TC-ADM3-299</t>
        </is>
      </c>
      <c r="B300" s="15" t="inlineStr">
        <is>
          <t>Admin Console (đợt 3: Phân tích, Hỗ trợ, Hệ thống)</t>
        </is>
      </c>
      <c r="C300" s="15" t="inlineStr">
        <is>
          <t>Hệ thống · Tích hợp (UI)</t>
        </is>
      </c>
      <c r="D300" s="15" t="inlineStr">
        <is>
          <t>Trang 'Tích hợp': 8 thẻ dịch vụ với trạng thái, nhóm, mô tả tiếng Việt và khóa che</t>
        </is>
      </c>
      <c r="E300" s="15" t="inlineStr">
        <is>
          <t>Giao diện</t>
        </is>
      </c>
      <c r="F300" s="16" t="inlineStr">
        <is>
          <t>Cao</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300" s="15" t="inlineStr">
        <is>
          <t>1. Mở /admin/system/integrations
2. Đọc 8 thẻ</t>
        </is>
      </c>
      <c r="K300" s="15" t="inlineStr">
        <is>
          <t>-</t>
        </is>
      </c>
      <c r="L300"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300" s="15" t="inlineStr"/>
      <c r="N300" s="18" t="inlineStr">
        <is>
          <t>Chưa test</t>
        </is>
      </c>
      <c r="O300" s="15" t="inlineStr"/>
      <c r="P300" s="15" t="inlineStr"/>
      <c r="Q300" s="18" t="inlineStr">
        <is>
          <t>Chưa test</t>
        </is>
      </c>
      <c r="R300" s="15" t="inlineStr"/>
    </row>
    <row r="301" ht="75" customHeight="1">
      <c r="A301" s="14" t="inlineStr">
        <is>
          <t>TC-ADM3-300</t>
        </is>
      </c>
      <c r="B301" s="15" t="inlineStr">
        <is>
          <t>Admin Console (đợt 3: Phân tích, Hỗ trợ, Hệ thống)</t>
        </is>
      </c>
      <c r="C301" s="15" t="inlineStr">
        <is>
          <t>Hệ thống · Tích hợp (UI)</t>
        </is>
      </c>
      <c r="D301" s="15" t="inlineStr">
        <is>
          <t>Kết nối dịch vụ chưa kết nối (Slack) với khóa API: chỉ lưu mask 4 ký tự cuối</t>
        </is>
      </c>
      <c r="E301" s="15" t="inlineStr">
        <is>
          <t>Chức năng</t>
        </is>
      </c>
      <c r="F301" s="16" t="inlineStr">
        <is>
          <t>Cao</t>
        </is>
      </c>
      <c r="G301" s="17" t="inlineStr">
        <is>
          <t>Đã hoàn thiện</t>
        </is>
      </c>
      <c r="H301" s="20" t="inlineStr">
        <is>
          <t>Một phần</t>
        </is>
      </c>
      <c r="I3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301" s="15" t="inlineStr">
        <is>
          <t>1. Thẻ Slack &gt; 'Kết nối'
2. Đọc nội dung dialog 'Kết nối Slack'
3. Nhập 'xoxb-TEST-SECRET-9876' &gt; 'Kết nối'
4. Quan sát thẻ
5. Kiểm tra DB bảng Integration cột secretMask/config</t>
        </is>
      </c>
      <c r="K301" s="15" t="inlineStr">
        <is>
          <t>xoxb-TEST-SECRET-9876</t>
        </is>
      </c>
      <c r="L301"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301" s="15" t="inlineStr"/>
      <c r="N301" s="18" t="inlineStr">
        <is>
          <t>Chưa test</t>
        </is>
      </c>
      <c r="O301" s="15" t="inlineStr"/>
      <c r="P301" s="15" t="inlineStr"/>
      <c r="Q301" s="18" t="inlineStr">
        <is>
          <t>Chưa test</t>
        </is>
      </c>
      <c r="R301" s="15" t="inlineStr"/>
    </row>
    <row r="302" ht="30" customHeight="1">
      <c r="A302" s="14" t="inlineStr">
        <is>
          <t>TC-ADM3-301</t>
        </is>
      </c>
      <c r="B302" s="15" t="inlineStr">
        <is>
          <t>Admin Console (đợt 3: Phân tích, Hỗ trợ, Hệ thống)</t>
        </is>
      </c>
      <c r="C302" s="15" t="inlineStr">
        <is>
          <t>Hệ thống · Tích hợp (UI)</t>
        </is>
      </c>
      <c r="D302" s="15" t="inlineStr">
        <is>
          <t>Kết nối không nhập khóa API (tùy chọn): kết nối được, không có dòng 'Khóa'</t>
        </is>
      </c>
      <c r="E302" s="15" t="inlineStr">
        <is>
          <t>Chức năng</t>
        </is>
      </c>
      <c r="F302" s="20" t="inlineStr">
        <is>
          <t>Trung bình</t>
        </is>
      </c>
      <c r="G302" s="17" t="inlineStr">
        <is>
          <t>Đã hoàn thiện</t>
        </is>
      </c>
      <c r="H302" s="17" t="inlineStr">
        <is>
          <t>Có</t>
        </is>
      </c>
      <c r="I3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302" s="15" t="inlineStr">
        <is>
          <t>1. Thẻ Google Analytics &gt; 'Kết nối' &gt; để trống &gt; 'Kết nối'</t>
        </is>
      </c>
      <c r="K302" s="15" t="inlineStr">
        <is>
          <t>-</t>
        </is>
      </c>
      <c r="L302" s="15" t="inlineStr">
        <is>
          <t>Toast 'Đã kết nối Google Analytics'; thẻ 'Đã kết nối' nhưng không có 'Khóa ••••' (secretMask null).</t>
        </is>
      </c>
      <c r="M302" s="15" t="inlineStr"/>
      <c r="N302" s="18" t="inlineStr">
        <is>
          <t>Chưa test</t>
        </is>
      </c>
      <c r="O302" s="15" t="inlineStr"/>
      <c r="P302" s="15" t="inlineStr"/>
      <c r="Q302" s="18" t="inlineStr">
        <is>
          <t>Chưa test</t>
        </is>
      </c>
      <c r="R302" s="15" t="inlineStr"/>
    </row>
    <row r="303" ht="45" customHeight="1">
      <c r="A303" s="14" t="inlineStr">
        <is>
          <t>TC-ADM3-302</t>
        </is>
      </c>
      <c r="B303" s="15" t="inlineStr">
        <is>
          <t>Admin Console (đợt 3: Phân tích, Hỗ trợ, Hệ thống)</t>
        </is>
      </c>
      <c r="C303" s="15" t="inlineStr">
        <is>
          <t>Hệ thống · Tích hợp (UI)</t>
        </is>
      </c>
      <c r="D303" s="15" t="inlineStr">
        <is>
          <t>Ngắt kết nối: dialog cảnh báo, xóa mask và thời điểm kết nối</t>
        </is>
      </c>
      <c r="E303" s="15" t="inlineStr">
        <is>
          <t>Chức năng</t>
        </is>
      </c>
      <c r="F303" s="16" t="inlineStr">
        <is>
          <t>Cao</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303" s="15" t="inlineStr">
        <is>
          <t>1. Thẻ Zoom &gt; 'Ngắt kết nối'
2. Đọc dialog 'Ngắt kết nối Zoom?' &gt; xác nhận
3. Kết nối lại không nhập khóa</t>
        </is>
      </c>
      <c r="K303" s="15" t="inlineStr">
        <is>
          <t>zoom</t>
        </is>
      </c>
      <c r="L303"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303" s="15" t="inlineStr"/>
      <c r="N303" s="18" t="inlineStr">
        <is>
          <t>Chưa test</t>
        </is>
      </c>
      <c r="O303" s="15" t="inlineStr"/>
      <c r="P303" s="15" t="inlineStr"/>
      <c r="Q303" s="18" t="inlineStr">
        <is>
          <t>Chưa test</t>
        </is>
      </c>
      <c r="R303" s="15" t="inlineStr"/>
    </row>
    <row r="304" ht="30" customHeight="1">
      <c r="A304" s="14" t="inlineStr">
        <is>
          <t>TC-ADM3-303</t>
        </is>
      </c>
      <c r="B304" s="15" t="inlineStr">
        <is>
          <t>Admin Console (đợt 3: Phân tích, Hỗ trợ, Hệ thống)</t>
        </is>
      </c>
      <c r="C304" s="15" t="inlineStr">
        <is>
          <t>Hệ thống · Tích hợp (UI)</t>
        </is>
      </c>
      <c r="D304" s="15" t="inlineStr">
        <is>
          <t>Nút 'Kiểm tra' (mô phỏng): toast thành công kèm độ trễ ổn định theo khóa dịch vụ</t>
        </is>
      </c>
      <c r="E304" s="15" t="inlineStr">
        <is>
          <t>Chức năng</t>
        </is>
      </c>
      <c r="F304" s="20" t="inlineStr">
        <is>
          <t>Trung bình</t>
        </is>
      </c>
      <c r="G304" s="17" t="inlineStr">
        <is>
          <t>Đã hoàn thiện</t>
        </is>
      </c>
      <c r="H304" s="17" t="inlineStr">
        <is>
          <t>Có</t>
        </is>
      </c>
      <c r="I3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304" s="15" t="inlineStr">
        <is>
          <t>1. Thẻ Stripe &gt; 'Kiểm tra' (hai lần)
2. Thẻ Mailgun &gt; 'Kiểm tra'</t>
        </is>
      </c>
      <c r="K304" s="15" t="inlineStr">
        <is>
          <t>stripe, mailgun</t>
        </is>
      </c>
      <c r="L304" s="15" t="inlineStr">
        <is>
          <t>Nút hiện 'Đang thử…' rồi toast 'Stripe: kết nối ổn (N ms)' với N trong 40-159 và GIỐNG nhau giữa 2 lần (tính theo md5 của khóa, không ngẫu nhiên); Mailgun có N khác. Đây là mô phỏng, không gọi dịch vụ thật.</t>
        </is>
      </c>
      <c r="M304" s="15" t="inlineStr"/>
      <c r="N304" s="18" t="inlineStr">
        <is>
          <t>Chưa test</t>
        </is>
      </c>
      <c r="O304" s="15" t="inlineStr"/>
      <c r="P304" s="15" t="inlineStr"/>
      <c r="Q304" s="18" t="inlineStr">
        <is>
          <t>Chưa test</t>
        </is>
      </c>
      <c r="R304" s="15" t="inlineStr"/>
    </row>
    <row r="305" ht="30" customHeight="1">
      <c r="A305" s="14" t="inlineStr">
        <is>
          <t>TC-ADM3-304</t>
        </is>
      </c>
      <c r="B305" s="15" t="inlineStr">
        <is>
          <t>Admin Console (đợt 3: Phân tích, Hỗ trợ, Hệ thống)</t>
        </is>
      </c>
      <c r="C305" s="15" t="inlineStr">
        <is>
          <t>Hệ thống · Tích hợp (UI)</t>
        </is>
      </c>
      <c r="D305" s="15" t="inlineStr">
        <is>
          <t>Thẻ chưa kết nối không có nút 'Kiểm tra'; kiểm tra bằng API trả ok=false</t>
        </is>
      </c>
      <c r="E305" s="15" t="inlineStr">
        <is>
          <t>Chức năng</t>
        </is>
      </c>
      <c r="F305" s="17" t="inlineStr">
        <is>
          <t>Thấp</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305" s="15" t="inlineStr">
        <is>
          <t>1. Xác nhận thẻ Slack không có nút 'Kiểm tra'
2. POST /api/admin/system/integrations/slack/test</t>
        </is>
      </c>
      <c r="K305" s="15" t="inlineStr">
        <is>
          <t>slack</t>
        </is>
      </c>
      <c r="L305" s="15" t="inlineStr">
        <is>
          <t>Giao diện không có nút; API 200 {ok:false, message:'Slack chưa được kết nối', latencyMs:0}.</t>
        </is>
      </c>
      <c r="M305" s="15" t="inlineStr"/>
      <c r="N305" s="18" t="inlineStr">
        <is>
          <t>Chưa test</t>
        </is>
      </c>
      <c r="O305" s="15" t="inlineStr"/>
      <c r="P305" s="15" t="inlineStr"/>
      <c r="Q305" s="18" t="inlineStr">
        <is>
          <t>Chưa test</t>
        </is>
      </c>
      <c r="R305" s="15" t="inlineStr"/>
    </row>
    <row r="306" ht="75" customHeight="1">
      <c r="A306" s="14" t="inlineStr">
        <is>
          <t>TC-ADM3-305</t>
        </is>
      </c>
      <c r="B306" s="15" t="inlineStr">
        <is>
          <t>Admin Console (đợt 3: Phân tích, Hỗ trợ, Hệ thống)</t>
        </is>
      </c>
      <c r="C306" s="15" t="inlineStr">
        <is>
          <t>Hệ thống · Tích hợp (API)</t>
        </is>
      </c>
      <c r="D306" s="15" t="inlineStr">
        <is>
          <t>GET /admin/system/integrations (lọc category) và GET /:key; 404</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306" s="15" t="inlineStr">
        <is>
          <t>1. GET /system/integrations
2. GET ?category=payments
3. GET ?category=chat
4. GET /system/integrations/stripe
5. GET /system/integrations/khong-co</t>
        </is>
      </c>
      <c r="K306" s="15" t="inlineStr">
        <is>
          <t>-</t>
        </is>
      </c>
      <c r="L306"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306" s="15" t="inlineStr"/>
      <c r="N306" s="18" t="inlineStr">
        <is>
          <t>Chưa test</t>
        </is>
      </c>
      <c r="O306" s="15" t="inlineStr"/>
      <c r="P306" s="15" t="inlineStr"/>
      <c r="Q306" s="18" t="inlineStr">
        <is>
          <t>Chưa test</t>
        </is>
      </c>
      <c r="R306" s="15" t="inlineStr"/>
    </row>
    <row r="307" ht="105" customHeight="1">
      <c r="A307" s="14" t="inlineStr">
        <is>
          <t>TC-ADM3-306</t>
        </is>
      </c>
      <c r="B307" s="15" t="inlineStr">
        <is>
          <t>Admin Console (đợt 3: Phân tích, Hỗ trợ, Hệ thống)</t>
        </is>
      </c>
      <c r="C307" s="15" t="inlineStr">
        <is>
          <t>Hệ thống · Tích hợp (API)</t>
        </is>
      </c>
      <c r="D307" s="15" t="inlineStr">
        <is>
          <t>POST connect/disconnect: 409 khi đã ở trạng thái đó; apiKey -&gt; mask; config nhận chuỗi/số/bool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307"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307" s="15" t="inlineStr">
        <is>
          <t>slack</t>
        </is>
      </c>
      <c r="L307"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307" s="15" t="inlineStr"/>
      <c r="N307" s="18" t="inlineStr">
        <is>
          <t>Chưa test</t>
        </is>
      </c>
      <c r="O307" s="15" t="inlineStr"/>
      <c r="P307" s="15" t="inlineStr"/>
      <c r="Q307" s="18" t="inlineStr">
        <is>
          <t>Chưa test</t>
        </is>
      </c>
      <c r="R307" s="15" t="inlineStr"/>
    </row>
    <row r="308" ht="105" customHeight="1">
      <c r="A308" s="14" t="inlineStr">
        <is>
          <t>TC-ADM3-307</t>
        </is>
      </c>
      <c r="B308" s="15" t="inlineStr">
        <is>
          <t>Admin Console (đợt 3: Phân tích, Hỗ trợ, Hệ thống)</t>
        </is>
      </c>
      <c r="C308" s="15" t="inlineStr">
        <is>
          <t>Hệ thống · Tích hợp (API)</t>
        </is>
      </c>
      <c r="D308" s="15" t="inlineStr">
        <is>
          <t>PATCH /system/integrations/:key cập nhật config/apiKey; audit chỉ ghi tên trường, không ghi khóa</t>
        </is>
      </c>
      <c r="E308" s="15" t="inlineStr">
        <is>
          <t>Bảo mật</t>
        </is>
      </c>
      <c r="F308" s="16" t="inlineStr">
        <is>
          <t>Cao</t>
        </is>
      </c>
      <c r="G308" s="17" t="inlineStr">
        <is>
          <t>Đã hoàn thiện</t>
        </is>
      </c>
      <c r="H308" s="17" t="inlineStr">
        <is>
          <t>Có</t>
        </is>
      </c>
      <c r="I3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8" s="15" t="inlineStr">
        <is>
          <t>1. PATCH /system/integrations/stripe {apiKey:'sk_live_NEWKEY5555'}
2. PATCH {config:{mode:'live'}}
3. PATCH {}
4. PATCH {config:{nested:{a:1}}}
5. PATCH {apiKey:'   '}
6. PATCH {apiKey:'&lt;501 ký tự&gt;'}
7. GET /admin/audit-logs?action=integration.update</t>
        </is>
      </c>
      <c r="K308" s="15" t="inlineStr">
        <is>
          <t>stripe</t>
        </is>
      </c>
      <c r="L308"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308" s="15" t="inlineStr"/>
      <c r="N308" s="18" t="inlineStr">
        <is>
          <t>Chưa test</t>
        </is>
      </c>
      <c r="O308" s="15" t="inlineStr"/>
      <c r="P308" s="15" t="inlineStr"/>
      <c r="Q308" s="18" t="inlineStr">
        <is>
          <t>Chưa test</t>
        </is>
      </c>
      <c r="R308" s="15" t="inlineStr"/>
    </row>
    <row r="309" ht="45" customHeight="1">
      <c r="A309" s="14" t="inlineStr">
        <is>
          <t>TC-ADM3-308</t>
        </is>
      </c>
      <c r="B309" s="15" t="inlineStr">
        <is>
          <t>Admin Console (đợt 3: Phân tích, Hỗ trợ, Hệ thống)</t>
        </is>
      </c>
      <c r="C309" s="15" t="inlineStr">
        <is>
          <t>Hệ thống · Tích hợp (API)</t>
        </is>
      </c>
      <c r="D309" s="15" t="inlineStr">
        <is>
          <t>POST test: connected -&gt; ok:true (mô phỏng), chưa kết nối -&gt; ok:false; 404</t>
        </is>
      </c>
      <c r="E309" s="15" t="inlineStr">
        <is>
          <t>Chức năng</t>
        </is>
      </c>
      <c r="F309" s="20" t="inlineStr">
        <is>
          <t>Trung bình</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309" s="15" t="inlineStr">
        <is>
          <t>1. POST /system/integrations/stripe/test
2. POST /system/integrations/slack/test
3. POST /system/integrations/khong-co/test</t>
        </is>
      </c>
      <c r="K309" s="15" t="inlineStr">
        <is>
          <t>-</t>
        </is>
      </c>
      <c r="L309" s="15" t="inlineStr">
        <is>
          <t>stripe: {ok:true, message:'Kết nối tới Stripe hoạt động bình thường (mô phỏng)', latencyMs:40..159}; slack: {ok:false, message:'Slack chưa được kết nối', latencyMs:0}; khóa lạ 404. Không có audit (test không ghi).</t>
        </is>
      </c>
      <c r="M309" s="15" t="inlineStr"/>
      <c r="N309" s="18" t="inlineStr">
        <is>
          <t>Chưa test</t>
        </is>
      </c>
      <c r="O309" s="15" t="inlineStr"/>
      <c r="P309" s="15" t="inlineStr"/>
      <c r="Q309" s="18" t="inlineStr">
        <is>
          <t>Chưa test</t>
        </is>
      </c>
      <c r="R309" s="15" t="inlineStr"/>
    </row>
    <row r="310" ht="30" customHeight="1">
      <c r="A310" s="14" t="inlineStr">
        <is>
          <t>TC-ADM3-309</t>
        </is>
      </c>
      <c r="B310" s="15" t="inlineStr">
        <is>
          <t>Admin Console (đợt 3: Phân tích, Hỗ trợ, Hệ thống)</t>
        </is>
      </c>
      <c r="C310" s="15" t="inlineStr">
        <is>
          <t>Hệ thống · Tích hợp (API)</t>
        </is>
      </c>
      <c r="D310" s="15" t="inlineStr">
        <is>
          <t>Quyền system.settings cho Tích hợp: Moderator/Support/Finance 403</t>
        </is>
      </c>
      <c r="E310" s="15" t="inlineStr">
        <is>
          <t>Bảo mật</t>
        </is>
      </c>
      <c r="F310" s="20" t="inlineStr">
        <is>
          <t>Trung bình</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0" s="15" t="inlineStr">
        <is>
          <t>1. GET /system/integrations bằng moderator@, support@, finance@</t>
        </is>
      </c>
      <c r="K310" s="15" t="inlineStr">
        <is>
          <t>-</t>
        </is>
      </c>
      <c r="L310" s="15" t="inlineStr">
        <is>
          <t>403 'không có quyền "system.settings"' ở cả 3.</t>
        </is>
      </c>
      <c r="M310" s="15" t="inlineStr"/>
      <c r="N310" s="18" t="inlineStr">
        <is>
          <t>Chưa test</t>
        </is>
      </c>
      <c r="O310" s="15" t="inlineStr"/>
      <c r="P310" s="15" t="inlineStr"/>
      <c r="Q310" s="18" t="inlineStr">
        <is>
          <t>Chưa test</t>
        </is>
      </c>
      <c r="R310" s="15" t="inlineStr"/>
    </row>
    <row r="311" ht="45" customHeight="1">
      <c r="A311" s="14" t="inlineStr">
        <is>
          <t>TC-ADM3-310</t>
        </is>
      </c>
      <c r="B311" s="15" t="inlineStr">
        <is>
          <t>Admin Console (đợt 3: Phân tích, Hỗ trợ, Hệ thống)</t>
        </is>
      </c>
      <c r="C311" s="15" t="inlineStr">
        <is>
          <t>Hệ thống · Thông báo (UI)</t>
        </is>
      </c>
      <c r="D311" s="15" t="inlineStr">
        <is>
          <t>Trang 'Thông báo': 3 form cảnh báo với giá trị mặc định và ghi chú 'chỉ lưu cấu hình'</t>
        </is>
      </c>
      <c r="E311" s="15" t="inlineStr">
        <is>
          <t>Giao diện</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311" s="15" t="inlineStr">
        <is>
          <t>1. Mở /admin/system/notifications
2. Đọc các công tắc và email nhận báo cáo
3. Đọc dòng chú thích cuối khối cảnh báo</t>
        </is>
      </c>
      <c r="K311" s="15" t="inlineStr">
        <is>
          <t>-</t>
        </is>
      </c>
      <c r="L311"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311" s="15" t="inlineStr"/>
      <c r="N311" s="18" t="inlineStr">
        <is>
          <t>Chưa test</t>
        </is>
      </c>
      <c r="O311" s="15" t="inlineStr"/>
      <c r="P311" s="15" t="inlineStr"/>
      <c r="Q311" s="18" t="inlineStr">
        <is>
          <t>Chưa test</t>
        </is>
      </c>
      <c r="R311" s="15" t="inlineStr"/>
    </row>
    <row r="312" ht="75" customHeight="1">
      <c r="A312" s="14" t="inlineStr">
        <is>
          <t>TC-ADM3-311</t>
        </is>
      </c>
      <c r="B312" s="15" t="inlineStr">
        <is>
          <t>Admin Console (đợt 3: Phân tích, Hỗ trợ, Hệ thống)</t>
        </is>
      </c>
      <c r="C312" s="15" t="inlineStr">
        <is>
          <t>Hệ thống · Thông báo (UI)</t>
        </is>
      </c>
      <c r="D312" s="15" t="inlineStr">
        <is>
          <t>Đổi công tắc cảnh báo rồi 'Lưu thay đổi' / 'Hoàn tác'</t>
        </is>
      </c>
      <c r="E312" s="15" t="inlineStr">
        <is>
          <t>Chức năng</t>
        </is>
      </c>
      <c r="F312" s="16" t="inlineStr">
        <is>
          <t>Cao</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312" s="15" t="inlineStr">
        <is>
          <t>1. Bật 'Nội dung bị AI gắn cờ', tắt 'Tranh chấp mới'
2. Quan sát nút 'Hoàn tác' và 'Lưu thay đổi'
3. Bấm 'Hoàn tác'
4. Đổi lại và bấm 'Lưu thay đổi'
5. F5</t>
        </is>
      </c>
      <c r="K312" s="15" t="inlineStr">
        <is>
          <t>aiFlagged, newChargeback</t>
        </is>
      </c>
      <c r="L312" s="15" t="inlineStr">
        <is>
          <t>Khi có thay đổi xuất hiện 'Hoàn tác' và 'Lưu thay đổi' bật; 'Hoàn tác' trả về giá trị đã lưu; Lưu -&gt; toast 'Đã lưu cấu hình thông báo'; sau F5 giá trị giữ nguyên; audit notification.settings_update.</t>
        </is>
      </c>
      <c r="M312" s="15" t="inlineStr"/>
      <c r="N312" s="18" t="inlineStr">
        <is>
          <t>Chưa test</t>
        </is>
      </c>
      <c r="O312" s="15" t="inlineStr"/>
      <c r="P312" s="15" t="inlineStr"/>
      <c r="Q312" s="18" t="inlineStr">
        <is>
          <t>Chưa test</t>
        </is>
      </c>
      <c r="R312" s="15" t="inlineStr"/>
    </row>
    <row r="313" ht="45" customHeight="1">
      <c r="A313" s="14" t="inlineStr">
        <is>
          <t>TC-ADM3-312</t>
        </is>
      </c>
      <c r="B313" s="15" t="inlineStr">
        <is>
          <t>Admin Console (đợt 3: Phân tích, Hỗ trợ, Hệ thống)</t>
        </is>
      </c>
      <c r="C313" s="15" t="inlineStr">
        <is>
          <t>Hệ thống · Thông báo (UI)</t>
        </is>
      </c>
      <c r="D313" s="15" t="inlineStr">
        <is>
          <t>Email nhận báo cáo ('Gửi đến'): hợp lệ lưu được, sai định dạng bị API từ chối</t>
        </is>
      </c>
      <c r="E313" s="15" t="inlineStr">
        <is>
          <t>Chức năng</t>
        </is>
      </c>
      <c r="F313" s="20" t="inlineStr">
        <is>
          <t>Trung bình</t>
        </is>
      </c>
      <c r="G313" s="17" t="inlineStr">
        <is>
          <t>Đã hoàn thiện</t>
        </is>
      </c>
      <c r="H313" s="17" t="inlineStr">
        <is>
          <t>Có</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313" s="15" t="inlineStr">
        <is>
          <t>1. Đổi 'Gửi đến' thành 'ban-giam-doc@example.com' &gt; Lưu
2. Đổi thành 'khong-phai-email' &gt; Lưu
3. Xóa trắng &gt; Lưu</t>
        </is>
      </c>
      <c r="K313" s="15" t="inlineStr">
        <is>
          <t>ban-giam-doc@example.com / khong-phai-email / rỗng</t>
        </is>
      </c>
      <c r="L313" s="15" t="inlineStr">
        <is>
          <t>Lần 1: lưu thành công; lần 2: toast lỗi từ API (400 email không hợp lệ), giá trị không đổi; lần 3: lưu được chuỗi rỗng (sendTo '' hợp lệ).</t>
        </is>
      </c>
      <c r="M313" s="15" t="inlineStr"/>
      <c r="N313" s="18" t="inlineStr">
        <is>
          <t>Chưa test</t>
        </is>
      </c>
      <c r="O313" s="15" t="inlineStr"/>
      <c r="P313" s="15" t="inlineStr"/>
      <c r="Q313" s="18" t="inlineStr">
        <is>
          <t>Chưa test</t>
        </is>
      </c>
      <c r="R313" s="15" t="inlineStr"/>
    </row>
    <row r="314" ht="60" customHeight="1">
      <c r="A314" s="14" t="inlineStr">
        <is>
          <t>TC-ADM3-313</t>
        </is>
      </c>
      <c r="B314" s="15" t="inlineStr">
        <is>
          <t>Admin Console (đợt 3: Phân tích, Hỗ trợ, Hệ thống)</t>
        </is>
      </c>
      <c r="C314" s="15" t="inlineStr">
        <is>
          <t>Hệ thống · Thông báo (UI)</t>
        </is>
      </c>
      <c r="D314" s="15" t="inlineStr">
        <is>
          <t>Gửi thông báo tới người dùng: nút 'Gửi thông báo' khóa tới khi đủ Tiêu đề + Nội dung</t>
        </is>
      </c>
      <c r="E314" s="15" t="inlineStr">
        <is>
          <t>Giao diện</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314" s="15" t="inlineStr">
        <is>
          <t>1. Cuộn tới thẻ 'Thông báo tới người dùng'
2. Quan sát nút 'Gửi thông báo' khi trống
3. Nhập Tiêu đề và Nội dung
4. Chọn đối tượng 'Một cộng đồng' và quan sát</t>
        </is>
      </c>
      <c r="K314" s="15" t="inlineStr">
        <is>
          <t>-</t>
        </is>
      </c>
      <c r="L314"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314" s="15" t="inlineStr"/>
      <c r="N314" s="18" t="inlineStr">
        <is>
          <t>Chưa test</t>
        </is>
      </c>
      <c r="O314" s="15" t="inlineStr"/>
      <c r="P314" s="15" t="inlineStr"/>
      <c r="Q314" s="18" t="inlineStr">
        <is>
          <t>Chưa test</t>
        </is>
      </c>
      <c r="R314" s="15" t="inlineStr"/>
    </row>
    <row r="315" ht="30" customHeight="1">
      <c r="A315" s="14" t="inlineStr">
        <is>
          <t>TC-ADM3-314</t>
        </is>
      </c>
      <c r="B315" s="15" t="inlineStr">
        <is>
          <t>Admin Console (đợt 3: Phân tích, Hỗ trợ, Hệ thống)</t>
        </is>
      </c>
      <c r="C315" s="15" t="inlineStr">
        <is>
          <t>Hệ thống · Thông báo (UI)</t>
        </is>
      </c>
      <c r="D315" s="15" t="inlineStr">
        <is>
          <t>'Xem số người nhận' hiện toast số lượng theo từng đối tượng</t>
        </is>
      </c>
      <c r="E315" s="15" t="inlineStr">
        <is>
          <t>Chức năng</t>
        </is>
      </c>
      <c r="F315" s="16" t="inlineStr">
        <is>
          <t>Cao</t>
        </is>
      </c>
      <c r="G315" s="17" t="inlineStr">
        <is>
          <t>Đã hoàn thiện</t>
        </is>
      </c>
      <c r="H315" s="20" t="inlineStr">
        <is>
          <t>Một phần</t>
        </is>
      </c>
      <c r="I3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315" s="15" t="inlineStr">
        <is>
          <t>1. Chọn lần lượt 'Mọi người dùng', 'Creator', 'Thành viên trả phí', 'Một cộng đồng' (photo) và bấm 'Xem số người nhận'
2. Đối chiếu bằng SQL</t>
        </is>
      </c>
      <c r="K315" s="15" t="inlineStr">
        <is>
          <t>photo</t>
        </is>
      </c>
      <c r="L315"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315" s="15" t="inlineStr"/>
      <c r="N315" s="18" t="inlineStr">
        <is>
          <t>Chưa test</t>
        </is>
      </c>
      <c r="O315" s="15" t="inlineStr"/>
      <c r="P315" s="15" t="inlineStr"/>
      <c r="Q315" s="18" t="inlineStr">
        <is>
          <t>Chưa test</t>
        </is>
      </c>
      <c r="R315" s="15" t="inlineStr"/>
    </row>
    <row r="316" ht="60" customHeight="1">
      <c r="A316" s="14" t="inlineStr">
        <is>
          <t>TC-ADM3-315</t>
        </is>
      </c>
      <c r="B316" s="15" t="inlineStr">
        <is>
          <t>Admin Console (đợt 3: Phân tích, Hỗ trợ, Hệ thống)</t>
        </is>
      </c>
      <c r="C316" s="15" t="inlineStr">
        <is>
          <t>Hệ thống · Thông báo (UI)</t>
        </is>
      </c>
      <c r="D316" s="15" t="inlineStr">
        <is>
          <t>Gửi thông báo cho một cộng đồng nhỏ: dialog xác nhận, toast, người nhận thấy thông báo</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316"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316" s="15" t="inlineStr">
        <is>
          <t>photo</t>
        </is>
      </c>
      <c r="L316"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316" s="15" t="inlineStr"/>
      <c r="N316" s="18" t="inlineStr">
        <is>
          <t>Chưa test</t>
        </is>
      </c>
      <c r="O316" s="15" t="inlineStr"/>
      <c r="P316" s="15" t="inlineStr"/>
      <c r="Q316" s="18" t="inlineStr">
        <is>
          <t>Chưa test</t>
        </is>
      </c>
      <c r="R316" s="15" t="inlineStr"/>
    </row>
    <row r="317" ht="45" customHeight="1">
      <c r="A317" s="14" t="inlineStr">
        <is>
          <t>TC-ADM3-316</t>
        </is>
      </c>
      <c r="B317" s="15" t="inlineStr">
        <is>
          <t>Admin Console (đợt 3: Phân tích, Hỗ trợ, Hệ thống)</t>
        </is>
      </c>
      <c r="C317" s="15" t="inlineStr">
        <is>
          <t>Hệ thống · Thông báo (UI)</t>
        </is>
      </c>
      <c r="D317" s="15" t="inlineStr">
        <is>
          <t>Gửi thông báo kèm email (≤500 người nhận): emailCount = số người nhận, thư nằm trong outbox</t>
        </is>
      </c>
      <c r="E317" s="15" t="inlineStr">
        <is>
          <t>Chức năng</t>
        </is>
      </c>
      <c r="F317" s="16" t="inlineStr">
        <is>
          <t>Cao</t>
        </is>
      </c>
      <c r="G317" s="17" t="inlineStr">
        <is>
          <t>Đã hoàn thiện</t>
        </is>
      </c>
      <c r="H317" s="20" t="inlineStr">
        <is>
          <t>Một phần</t>
        </is>
      </c>
      <c r="I3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317" s="15" t="inlineStr">
        <is>
          <t>1. Gửi tới 'Một cộng đồng' photo với công tắc 'Gửi kèm email' bật, Liên kết '/communities/photo'
2. GET /api/dev/outbox?to=member1@sofinhub.test
3. Xem cột Email ở lịch sử</t>
        </is>
      </c>
      <c r="K317" s="15" t="inlineStr">
        <is>
          <t>photo + email</t>
        </is>
      </c>
      <c r="L317" s="15" t="inlineStr">
        <is>
          <t>Mỗi người nhận có 1 thư tiêu đề = tiêu đề thông báo, nội dung = nội dung + dòng '&lt;FRONTEND_URL&gt;/communities/photo'; cột Email = số thư đã gửi = số người nhận.</t>
        </is>
      </c>
      <c r="M317" s="15" t="inlineStr"/>
      <c r="N317" s="18" t="inlineStr">
        <is>
          <t>Chưa test</t>
        </is>
      </c>
      <c r="O317" s="15" t="inlineStr"/>
      <c r="P317" s="15" t="inlineStr"/>
      <c r="Q317" s="18" t="inlineStr">
        <is>
          <t>Chưa test</t>
        </is>
      </c>
      <c r="R317" s="15" t="inlineStr"/>
    </row>
    <row r="318" ht="30" customHeight="1">
      <c r="A318" s="14" t="inlineStr">
        <is>
          <t>TC-ADM3-317</t>
        </is>
      </c>
      <c r="B318" s="15" t="inlineStr">
        <is>
          <t>Admin Console (đợt 3: Phân tích, Hỗ trợ, Hệ thống)</t>
        </is>
      </c>
      <c r="C318" s="15" t="inlineStr">
        <is>
          <t>Hệ thống · Thông báo (UI)</t>
        </is>
      </c>
      <c r="D318" s="15" t="inlineStr">
        <is>
          <t>Lịch sử thông báo: 2 dòng seed, phân trang 10/dòng, cột đúng</t>
        </is>
      </c>
      <c r="E318" s="15" t="inlineStr">
        <is>
          <t>Giao diện</t>
        </is>
      </c>
      <c r="F318" s="20" t="inlineStr">
        <is>
          <t>Trung bình</t>
        </is>
      </c>
      <c r="G318" s="17" t="inlineStr">
        <is>
          <t>Đã hoàn thiện</t>
        </is>
      </c>
      <c r="H318" s="17" t="inlineStr">
        <is>
          <t>Có</t>
        </is>
      </c>
      <c r="I3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318" s="15" t="inlineStr">
        <is>
          <t>1. Cuộn xuống 'Lịch sử thông báo đã gửi'
2. Đọc các cột và 2 dòng seed</t>
        </is>
      </c>
      <c r="K318" s="15" t="inlineStr">
        <is>
          <t>-</t>
        </is>
      </c>
      <c r="L318"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318" s="15" t="inlineStr"/>
      <c r="N318" s="18" t="inlineStr">
        <is>
          <t>Chưa test</t>
        </is>
      </c>
      <c r="O318" s="15" t="inlineStr"/>
      <c r="P318" s="15" t="inlineStr"/>
      <c r="Q318" s="18" t="inlineStr">
        <is>
          <t>Chưa test</t>
        </is>
      </c>
      <c r="R318" s="15" t="inlineStr"/>
    </row>
    <row r="319" ht="30" customHeight="1">
      <c r="A319" s="14" t="inlineStr">
        <is>
          <t>TC-ADM3-318</t>
        </is>
      </c>
      <c r="B319" s="15" t="inlineStr">
        <is>
          <t>Admin Console (đợt 3: Phân tích, Hỗ trợ, Hệ thống)</t>
        </is>
      </c>
      <c r="C319" s="15" t="inlineStr">
        <is>
          <t>Hệ thống · Thông báo (UI)</t>
        </is>
      </c>
      <c r="D319" s="15" t="inlineStr">
        <is>
          <t>Giao diện chưa có đối tượng 'users' (danh sách id) dù API hỗ trợ</t>
        </is>
      </c>
      <c r="E319" s="15" t="inlineStr">
        <is>
          <t>Chức năng</t>
        </is>
      </c>
      <c r="F319" s="17" t="inlineStr">
        <is>
          <t>Thấp</t>
        </is>
      </c>
      <c r="G319" s="17" t="inlineStr">
        <is>
          <t>Đã hoàn thiện</t>
        </is>
      </c>
      <c r="H319" s="20" t="inlineStr">
        <is>
          <t>Một phần</t>
        </is>
      </c>
      <c r="I3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319" s="15" t="inlineStr">
        <is>
          <t>1. Đếm các chip 'Đối tượng nhận' trong thẻ gửi thông báo</t>
        </is>
      </c>
      <c r="K319" s="15" t="inlineStr">
        <is>
          <t>-</t>
        </is>
      </c>
      <c r="L319" s="15" t="inlineStr">
        <is>
          <t>Chỉ có 4 đối tượng; đối tượng {type:'users', userIds[]} chỉ dùng được bằng API (khoảng trống đã biết trong ADMIN_BACKEND_GAPS).</t>
        </is>
      </c>
      <c r="M319" s="15" t="inlineStr"/>
      <c r="N319" s="18" t="inlineStr">
        <is>
          <t>Chưa test</t>
        </is>
      </c>
      <c r="O319" s="15" t="inlineStr"/>
      <c r="P319" s="15" t="inlineStr"/>
      <c r="Q319" s="18" t="inlineStr">
        <is>
          <t>Chưa test</t>
        </is>
      </c>
      <c r="R319" s="15" t="inlineStr"/>
    </row>
    <row r="320" ht="135" customHeight="1">
      <c r="A320" s="14" t="inlineStr">
        <is>
          <t>TC-ADM3-319</t>
        </is>
      </c>
      <c r="B320" s="15" t="inlineStr">
        <is>
          <t>Admin Console (đợt 3: Phân tích, Hỗ trợ, Hệ thống)</t>
        </is>
      </c>
      <c r="C320" s="15" t="inlineStr">
        <is>
          <t>Hệ thống · Thông báo (API)</t>
        </is>
      </c>
      <c r="D320" s="15" t="inlineStr">
        <is>
          <t>GET/PUT /admin/system/notifications/settings: mặc định, PUT từng phần, validate</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20" s="15" t="inlineStr">
        <is>
          <t>1. GET /system/notifications/settings
2. PUT {moderation:{aiFlagged:true}}
3. GET lại
4. PUT {payments:{refundOver500:false}, reports:{sendTo:'a@b.co'}}
5. PUT {reports:{sendTo:'xx'}}
6. PUT {moderation:{khongCo:true}}
7. PUT {khongCoNhom:{}}
8. PUT {moderation:{aiFlagged:'yes'}}
9. PUT {}</t>
        </is>
      </c>
      <c r="K320" s="15" t="inlineStr">
        <is>
          <t>-</t>
        </is>
      </c>
      <c r="L320"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320" s="15" t="inlineStr"/>
      <c r="N320" s="18" t="inlineStr">
        <is>
          <t>Chưa test</t>
        </is>
      </c>
      <c r="O320" s="15" t="inlineStr"/>
      <c r="P320" s="15" t="inlineStr"/>
      <c r="Q320" s="18" t="inlineStr">
        <is>
          <t>Chưa test</t>
        </is>
      </c>
      <c r="R320" s="15" t="inlineStr"/>
    </row>
    <row r="321" ht="135" customHeight="1">
      <c r="A321" s="14" t="inlineStr">
        <is>
          <t>TC-ADM3-320</t>
        </is>
      </c>
      <c r="B321" s="15" t="inlineStr">
        <is>
          <t>Admin Console (đợt 3: Phân tích, Hỗ trợ, Hệ thống)</t>
        </is>
      </c>
      <c r="C321" s="15" t="inlineStr">
        <is>
          <t>Hệ thống · Thông báo (API)</t>
        </is>
      </c>
      <c r="D321" s="15" t="inlineStr">
        <is>
          <t>POST /admin/system/notifications/preview: đếm người nhận theo từng audience, loại user bị cấm/đã xóa/demo</t>
        </is>
      </c>
      <c r="E321" s="15" t="inlineStr">
        <is>
          <t>Chức năng</t>
        </is>
      </c>
      <c r="F321" s="16" t="inlineStr">
        <is>
          <t>Cao</t>
        </is>
      </c>
      <c r="G321" s="17" t="inlineStr">
        <is>
          <t>Đã hoàn thiện</t>
        </is>
      </c>
      <c r="H321" s="17" t="inlineStr">
        <is>
          <t>Có</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321"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321" s="15" t="inlineStr">
        <is>
          <t>-</t>
        </is>
      </c>
      <c r="L321"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321" s="15" t="inlineStr"/>
      <c r="N321" s="18" t="inlineStr">
        <is>
          <t>Chưa test</t>
        </is>
      </c>
      <c r="O321" s="15" t="inlineStr"/>
      <c r="P321" s="15" t="inlineStr"/>
      <c r="Q321" s="18" t="inlineStr">
        <is>
          <t>Chưa test</t>
        </is>
      </c>
      <c r="R321" s="15" t="inlineStr"/>
    </row>
    <row r="322" ht="60" customHeight="1">
      <c r="A322" s="14" t="inlineStr">
        <is>
          <t>TC-ADM3-321</t>
        </is>
      </c>
      <c r="B322" s="15" t="inlineStr">
        <is>
          <t>Admin Console (đợt 3: Phân tích, Hỗ trợ, Hệ thống)</t>
        </is>
      </c>
      <c r="C322" s="15" t="inlineStr">
        <is>
          <t>Hệ thống · Thông báo (API)</t>
        </is>
      </c>
      <c r="D322" s="15" t="inlineStr">
        <is>
          <t>POST /admin/system/notifications/broadcast: 201, tạo thông báo loại 'system' cho người nhận, ghi lịch sử + audit</t>
        </is>
      </c>
      <c r="E322" s="15" t="inlineStr">
        <is>
          <t>Chức năng</t>
        </is>
      </c>
      <c r="F322" s="16" t="inlineStr">
        <is>
          <t>Cao</t>
        </is>
      </c>
      <c r="G322" s="17" t="inlineStr">
        <is>
          <t>Đã hoàn thiện</t>
        </is>
      </c>
      <c r="H322" s="17" t="inlineStr">
        <is>
          <t>Có</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22" s="15" t="inlineStr">
        <is>
          <t>1. POST broadcast {title:'API QA', body:'Nội dung', link:'/communities/photo', audience:{type:'users', userIds:['&lt;id member1&gt;','&lt;id member2&gt;']}}
2. Đăng nhập member1@ xem thông báo
3. GET /system/notifications/broadcasts
4. GET /admin/audit-logs?action=notification.broadcast</t>
        </is>
      </c>
      <c r="K322" s="15" t="inlineStr">
        <is>
          <t>2 người nhận</t>
        </is>
      </c>
      <c r="L322" s="15" t="inlineStr">
        <is>
          <t>201 Broadcast {id,title,body,link,audience,recipientCount:2,emailCount:0,sentBy:{id,name},createdAt}; member1@ và member2@ có thông báo type 'system' đúng title/body/link; lịch sử có dòng mới; audit metadata {audience, recipientCount:2, emailCount:0}.</t>
        </is>
      </c>
      <c r="M322" s="15" t="inlineStr"/>
      <c r="N322" s="18" t="inlineStr">
        <is>
          <t>Chưa test</t>
        </is>
      </c>
      <c r="O322" s="15" t="inlineStr"/>
      <c r="P322" s="15" t="inlineStr"/>
      <c r="Q322" s="18" t="inlineStr">
        <is>
          <t>Chưa test</t>
        </is>
      </c>
      <c r="R322" s="15" t="inlineStr"/>
    </row>
    <row r="323" ht="135" customHeight="1">
      <c r="A323" s="14" t="inlineStr">
        <is>
          <t>TC-ADM3-322</t>
        </is>
      </c>
      <c r="B323" s="15" t="inlineStr">
        <is>
          <t>Admin Console (đợt 3: Phân tích, Hỗ trợ, Hệ thống)</t>
        </is>
      </c>
      <c r="C323" s="15" t="inlineStr">
        <is>
          <t>Hệ thống · Thông báo (API)</t>
        </is>
      </c>
      <c r="D323" s="15" t="inlineStr">
        <is>
          <t>POST broadcast validate: tiêu đề/nội dung/liên kết/audience; 0 người nhận 400; courseId lạ 404</t>
        </is>
      </c>
      <c r="E323" s="15" t="inlineStr">
        <is>
          <t>Chức năng</t>
        </is>
      </c>
      <c r="F323" s="16" t="inlineStr">
        <is>
          <t>Cao</t>
        </is>
      </c>
      <c r="G323" s="17" t="inlineStr">
        <is>
          <t>Đã hoàn thiện</t>
        </is>
      </c>
      <c r="H323" s="17" t="inlineStr">
        <is>
          <t>Có</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23"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323" s="15" t="inlineStr">
        <is>
          <t>-</t>
        </is>
      </c>
      <c r="L323"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323" s="15" t="inlineStr"/>
      <c r="N323" s="18" t="inlineStr">
        <is>
          <t>Chưa test</t>
        </is>
      </c>
      <c r="O323" s="15" t="inlineStr"/>
      <c r="P323" s="15" t="inlineStr"/>
      <c r="Q323" s="18" t="inlineStr">
        <is>
          <t>Chưa test</t>
        </is>
      </c>
      <c r="R323" s="15" t="inlineStr"/>
    </row>
    <row r="324" ht="45" customHeight="1">
      <c r="A324" s="14" t="inlineStr">
        <is>
          <t>TC-ADM3-323</t>
        </is>
      </c>
      <c r="B324" s="15" t="inlineStr">
        <is>
          <t>Admin Console (đợt 3: Phân tích, Hỗ trợ, Hệ thống)</t>
        </is>
      </c>
      <c r="C324" s="15" t="inlineStr">
        <is>
          <t>Hệ thống · Thông báo (API)</t>
        </is>
      </c>
      <c r="D324" s="15" t="inlineStr">
        <is>
          <t>Broadcast kèm email: sendEmail=true gửi thư cho từng người; emailCount ghi lịch sử; &gt;500 người nhận bị 400</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24" s="15" t="inlineStr">
        <is>
          <t>1. POST broadcast {..., audience:{type:'users', userIds:[3 id]}, sendEmail:true}
2. GET /api/dev/outbox?to=&lt;email từng người&gt;
3. Chọn audience có &gt;500 người nhận (cộng đồng lớn/dữ liệu nạp thêm), sendEmail:true</t>
        </is>
      </c>
      <c r="K324" s="15" t="inlineStr">
        <is>
          <t>sendEmail</t>
        </is>
      </c>
      <c r="L324" s="15" t="inlineStr">
        <is>
          <t>Lần 1: emailCount=3, mỗi người có thư (tiêu đề = title; nội dung kèm '&lt;FRONTEND_URL&gt;&lt;link&gt;' nếu có link); &gt;500 + sendEmail -&gt; 400 'Chỉ gửi kèm email khi có tối đa 500 người nhận' và KHÔNG tạo thông báo/lịch sử nào.</t>
        </is>
      </c>
      <c r="M324" s="15" t="inlineStr"/>
      <c r="N324" s="18" t="inlineStr">
        <is>
          <t>Chưa test</t>
        </is>
      </c>
      <c r="O324" s="15" t="inlineStr"/>
      <c r="P324" s="15" t="inlineStr"/>
      <c r="Q324" s="18" t="inlineStr">
        <is>
          <t>Chưa test</t>
        </is>
      </c>
      <c r="R324" s="15" t="inlineStr"/>
    </row>
    <row r="325" ht="60" customHeight="1">
      <c r="A325" s="14" t="inlineStr">
        <is>
          <t>TC-ADM3-324</t>
        </is>
      </c>
      <c r="B325" s="15" t="inlineStr">
        <is>
          <t>Admin Console (đợt 3: Phân tích, Hỗ trợ, Hệ thống)</t>
        </is>
      </c>
      <c r="C325" s="15" t="inlineStr">
        <is>
          <t>Hệ thống · Thông báo (API)</t>
        </is>
      </c>
      <c r="D325" s="15" t="inlineStr">
        <is>
          <t>Broadcast &gt;500 người nhận (không email): ghi hàng loạt theo lô, KHÔNG đẩy realtime SSE</t>
        </is>
      </c>
      <c r="E325" s="15" t="inlineStr">
        <is>
          <t>Chức năng</t>
        </is>
      </c>
      <c r="F325" s="20" t="inlineStr">
        <is>
          <t>Trung bình</t>
        </is>
      </c>
      <c r="G325" s="17" t="inlineStr">
        <is>
          <t>Đã hoàn thiện</t>
        </is>
      </c>
      <c r="H325" s="16" t="inlineStr">
        <is>
          <t>Không</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325" s="15" t="inlineStr">
        <is>
          <t>1. POST preview rồi POST broadcast {audience có &gt;500 người nhận, sendEmail:false}
2. Người nhận đang mở sẵn trang (SSE): quan sát chuông thông báo
3. Người nhận F5/tải lại
4. Đếm Notification mới trong DB</t>
        </is>
      </c>
      <c r="K325" s="15" t="inlineStr">
        <is>
          <t>&gt;500 người nhận</t>
        </is>
      </c>
      <c r="L325"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325" s="15" t="inlineStr"/>
      <c r="N325" s="18" t="inlineStr">
        <is>
          <t>Chưa test</t>
        </is>
      </c>
      <c r="O325" s="15" t="inlineStr"/>
      <c r="P325" s="15" t="inlineStr"/>
      <c r="Q325" s="18" t="inlineStr">
        <is>
          <t>Chưa test</t>
        </is>
      </c>
      <c r="R325" s="15" t="inlineStr"/>
    </row>
    <row r="326" ht="45" customHeight="1">
      <c r="A326" s="14" t="inlineStr">
        <is>
          <t>TC-ADM3-325</t>
        </is>
      </c>
      <c r="B326" s="15" t="inlineStr">
        <is>
          <t>Admin Console (đợt 3: Phân tích, Hỗ trợ, Hệ thống)</t>
        </is>
      </c>
      <c r="C326" s="15" t="inlineStr">
        <is>
          <t>Hệ thống · Thông báo (API)</t>
        </is>
      </c>
      <c r="D326" s="15" t="inlineStr">
        <is>
          <t>GET /admin/system/notifications/broadcasts: phân trang, mới nhất trước, 2 dòng seed</t>
        </is>
      </c>
      <c r="E326" s="15" t="inlineStr">
        <is>
          <t>Chức năng</t>
        </is>
      </c>
      <c r="F326" s="20" t="inlineStr">
        <is>
          <t>Trung bình</t>
        </is>
      </c>
      <c r="G326" s="17" t="inlineStr">
        <is>
          <t>Đã hoàn thiện</t>
        </is>
      </c>
      <c r="H326" s="17" t="inlineStr">
        <is>
          <t>Có</t>
        </is>
      </c>
      <c r="I3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326" s="15" t="inlineStr">
        <is>
          <t>1. GET /system/notifications/broadcasts
2. GET ?limit=1&amp;page=2
3. GET ?limit=101</t>
        </is>
      </c>
      <c r="K326" s="15" t="inlineStr">
        <is>
          <t>-</t>
        </is>
      </c>
      <c r="L326" s="15" t="inlineStr">
        <is>
          <t>2 dòng seed (mới nhất 'Chính sách phí mới cho Creator' trước); meta đúng; limit=101 -&gt; 400.</t>
        </is>
      </c>
      <c r="M326" s="15" t="inlineStr"/>
      <c r="N326" s="18" t="inlineStr">
        <is>
          <t>Chưa test</t>
        </is>
      </c>
      <c r="O326" s="15" t="inlineStr"/>
      <c r="P326" s="15" t="inlineStr"/>
      <c r="Q326" s="18" t="inlineStr">
        <is>
          <t>Chưa test</t>
        </is>
      </c>
      <c r="R326" s="15" t="inlineStr"/>
    </row>
    <row r="327" ht="30" customHeight="1">
      <c r="A327" s="14" t="inlineStr">
        <is>
          <t>TC-ADM3-326</t>
        </is>
      </c>
      <c r="B327" s="15" t="inlineStr">
        <is>
          <t>Admin Console (đợt 3: Phân tích, Hỗ trợ, Hệ thống)</t>
        </is>
      </c>
      <c r="C327" s="15" t="inlineStr">
        <is>
          <t>Hệ thống · Thông báo (API)</t>
        </is>
      </c>
      <c r="D327" s="15" t="inlineStr">
        <is>
          <t>Quyền system.settings cho Thông báo: Moderator/Support/Finance 403</t>
        </is>
      </c>
      <c r="E327" s="15" t="inlineStr">
        <is>
          <t>Bảo mật</t>
        </is>
      </c>
      <c r="F327" s="20" t="inlineStr">
        <is>
          <t>Trung bình</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7" s="15" t="inlineStr">
        <is>
          <t>1. GET /system/notifications/settings và POST /system/notifications/broadcast bằng moderator@, support@, finance@</t>
        </is>
      </c>
      <c r="K327" s="15" t="inlineStr">
        <is>
          <t>-</t>
        </is>
      </c>
      <c r="L327" s="15" t="inlineStr">
        <is>
          <t>403 'không có quyền "system.settings"'.</t>
        </is>
      </c>
      <c r="M327" s="15" t="inlineStr"/>
      <c r="N327" s="18" t="inlineStr">
        <is>
          <t>Chưa test</t>
        </is>
      </c>
      <c r="O327" s="15" t="inlineStr"/>
      <c r="P327" s="15" t="inlineStr"/>
      <c r="Q327" s="18" t="inlineStr">
        <is>
          <t>Chưa test</t>
        </is>
      </c>
      <c r="R327" s="15" t="inlineStr"/>
    </row>
    <row r="328" ht="30" customHeight="1">
      <c r="A328" s="14" t="inlineStr">
        <is>
          <t>TC-ADM3-327</t>
        </is>
      </c>
      <c r="B328" s="15" t="inlineStr">
        <is>
          <t>Admin Console (đợt 3: Phân tích, Hỗ trợ, Hệ thống)</t>
        </is>
      </c>
      <c r="C328" s="15" t="inlineStr">
        <is>
          <t>Hệ thống · Mẫu email (UI)</t>
        </is>
      </c>
      <c r="D328" s="15" t="inlineStr">
        <is>
          <t>Trang 'Mẫu email': 7 mẫu hệ thống với trạng thái, ngôn ngữ và tiêu đề</t>
        </is>
      </c>
      <c r="E328" s="15" t="inlineStr">
        <is>
          <t>Giao diện</t>
        </is>
      </c>
      <c r="F328" s="16" t="inlineStr">
        <is>
          <t>Cao</t>
        </is>
      </c>
      <c r="G328" s="17" t="inlineStr">
        <is>
          <t>Đã hoàn thiện</t>
        </is>
      </c>
      <c r="H328" s="17" t="inlineStr">
        <is>
          <t>Có</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28" s="15" t="inlineStr">
        <is>
          <t>1. Mở /admin/system/email
2. Đọc cột và 7 dòng</t>
        </is>
      </c>
      <c r="K328" s="15" t="inlineStr">
        <is>
          <t>-</t>
        </is>
      </c>
      <c r="L328"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328" s="15" t="inlineStr"/>
      <c r="N328" s="18" t="inlineStr">
        <is>
          <t>Chưa test</t>
        </is>
      </c>
      <c r="O328" s="15" t="inlineStr"/>
      <c r="P328" s="15" t="inlineStr"/>
      <c r="Q328" s="18" t="inlineStr">
        <is>
          <t>Chưa test</t>
        </is>
      </c>
      <c r="R328" s="15" t="inlineStr"/>
    </row>
    <row r="329" ht="45" customHeight="1">
      <c r="A329" s="14" t="inlineStr">
        <is>
          <t>TC-ADM3-328</t>
        </is>
      </c>
      <c r="B329" s="15" t="inlineStr">
        <is>
          <t>Admin Console (đợt 3: Phân tích, Hỗ trợ, Hệ thống)</t>
        </is>
      </c>
      <c r="C329" s="15" t="inlineStr">
        <is>
          <t>Hệ thống · Mẫu email (UI)</t>
        </is>
      </c>
      <c r="D329" s="15" t="inlineStr">
        <is>
          <t>Lọc theo trạng thái và tìm mẫu theo tên/khóa</t>
        </is>
      </c>
      <c r="E329" s="15" t="inlineStr">
        <is>
          <t>Chức năng</t>
        </is>
      </c>
      <c r="F329" s="20" t="inlineStr">
        <is>
          <t>Trung bình</t>
        </is>
      </c>
      <c r="G329" s="17" t="inlineStr">
        <is>
          <t>Đã hoàn thiện</t>
        </is>
      </c>
      <c r="H329" s="17" t="inlineStr">
        <is>
          <t>Có</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29" s="15" t="inlineStr">
        <is>
          <t>1. Lọc Trạng thái = 'Bản nháp'
2. Xóa, gõ 'reset'
3. Gõ 'receipt'</t>
        </is>
      </c>
      <c r="K329" s="15" t="inlineStr">
        <is>
          <t>-</t>
        </is>
      </c>
      <c r="L329" s="15" t="inlineStr">
        <is>
          <t>Bản nháp: chỉ 'Account suspended'; 'reset': reset_password; 'receipt': Payment receipt.</t>
        </is>
      </c>
      <c r="M329" s="15" t="inlineStr"/>
      <c r="N329" s="18" t="inlineStr">
        <is>
          <t>Chưa test</t>
        </is>
      </c>
      <c r="O329" s="15" t="inlineStr"/>
      <c r="P329" s="15" t="inlineStr"/>
      <c r="Q329" s="18" t="inlineStr">
        <is>
          <t>Chưa test</t>
        </is>
      </c>
      <c r="R329" s="15" t="inlineStr"/>
    </row>
    <row r="330" ht="30" customHeight="1">
      <c r="A330" s="14" t="inlineStr">
        <is>
          <t>TC-ADM3-329</t>
        </is>
      </c>
      <c r="B330" s="15" t="inlineStr">
        <is>
          <t>Admin Console (đợt 3: Phân tích, Hỗ trợ, Hệ thống)</t>
        </is>
      </c>
      <c r="C330" s="15" t="inlineStr">
        <is>
          <t>Hệ thống · Mẫu email (UI)</t>
        </is>
      </c>
      <c r="D330" s="15" t="inlineStr">
        <is>
          <t>Bật/Tắt mẫu từ menu dòng: toast và đổi trạng thái (Đang dùng &lt;-&gt; Đã tắt)</t>
        </is>
      </c>
      <c r="E330" s="15" t="inlineStr">
        <is>
          <t>Chức năng</t>
        </is>
      </c>
      <c r="F330" s="16" t="inlineStr">
        <is>
          <t>Cao</t>
        </is>
      </c>
      <c r="G330" s="17" t="inlineStr">
        <is>
          <t>Đã hoàn thiện</t>
        </is>
      </c>
      <c r="H330" s="17" t="inlineStr">
        <is>
          <t>Có</t>
        </is>
      </c>
      <c r="I3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330" s="15" t="inlineStr">
        <is>
          <t>1. Menu dòng 'Welcome member' &gt; 'Tắt'
2. Menu dòng 'Account suspended' &gt; 'Bật'</t>
        </is>
      </c>
      <c r="K330" s="15" t="inlineStr">
        <is>
          <t>welcome, suspended</t>
        </is>
      </c>
      <c r="L330" s="15" t="inlineStr">
        <is>
          <t>Toast 'Đã tắt "Welcome member"' -&gt; trạng thái 'Đã tắt' (đỏ); toast 'Đã bật "Account suspended"' -&gt; 'Đang dùng'; audit email_template.disable / email_template.enable.</t>
        </is>
      </c>
      <c r="M330" s="15" t="inlineStr"/>
      <c r="N330" s="18" t="inlineStr">
        <is>
          <t>Chưa test</t>
        </is>
      </c>
      <c r="O330" s="15" t="inlineStr"/>
      <c r="P330" s="15" t="inlineStr"/>
      <c r="Q330" s="18" t="inlineStr">
        <is>
          <t>Chưa test</t>
        </is>
      </c>
      <c r="R330" s="15" t="inlineStr"/>
    </row>
    <row r="331" ht="30" customHeight="1">
      <c r="A331" s="14" t="inlineStr">
        <is>
          <t>TC-ADM3-330</t>
        </is>
      </c>
      <c r="B331" s="15" t="inlineStr">
        <is>
          <t>Admin Console (đợt 3: Phân tích, Hỗ trợ, Hệ thống)</t>
        </is>
      </c>
      <c r="C331" s="15" t="inlineStr">
        <is>
          <t>Hệ thống · Mẫu email (UI)</t>
        </is>
      </c>
      <c r="D331" s="15" t="inlineStr">
        <is>
          <t>Mẫu hệ thống không có 'Xóa' trong menu; mẫu tự tạo có</t>
        </is>
      </c>
      <c r="E331" s="15" t="inlineStr">
        <is>
          <t>Giao diện</t>
        </is>
      </c>
      <c r="F331" s="20" t="inlineStr">
        <is>
          <t>Trung bình</t>
        </is>
      </c>
      <c r="G331" s="17" t="inlineStr">
        <is>
          <t>Đã hoàn thiện</t>
        </is>
      </c>
      <c r="H331" s="17" t="inlineStr">
        <is>
          <t>Có</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31" s="15" t="inlineStr">
        <is>
          <t>1. Mở menu dòng một mẫu hệ thống
2. Tạo mẫu mới (xem case sau) rồi mở menu dòng của nó</t>
        </is>
      </c>
      <c r="K331" s="15" t="inlineStr">
        <is>
          <t>-</t>
        </is>
      </c>
      <c r="L331" s="15" t="inlineStr">
        <is>
          <t>Mẫu hệ thống: Sửa + Bật/Tắt (không 'Xóa'); mẫu tự tạo: Sửa + Bật/Tắt + 'Xóa' (đỏ).</t>
        </is>
      </c>
      <c r="M331" s="15" t="inlineStr"/>
      <c r="N331" s="18" t="inlineStr">
        <is>
          <t>Chưa test</t>
        </is>
      </c>
      <c r="O331" s="15" t="inlineStr"/>
      <c r="P331" s="15" t="inlineStr"/>
      <c r="Q331" s="18" t="inlineStr">
        <is>
          <t>Chưa test</t>
        </is>
      </c>
      <c r="R331" s="15" t="inlineStr"/>
    </row>
    <row r="332" ht="45" customHeight="1">
      <c r="A332" s="14" t="inlineStr">
        <is>
          <t>TC-ADM3-331</t>
        </is>
      </c>
      <c r="B332" s="15" t="inlineStr">
        <is>
          <t>Admin Console (đợt 3: Phân tích, Hỗ trợ, Hệ thống)</t>
        </is>
      </c>
      <c r="C332" s="15" t="inlineStr">
        <is>
          <t>Hệ thống · Mẫu email (UI)</t>
        </is>
      </c>
      <c r="D332" s="15" t="inlineStr">
        <is>
          <t>Trình soạn: mở 'Welcome member' hiển thị trường, ngôn ngữ, chip biến và xem trước</t>
        </is>
      </c>
      <c r="E332" s="15" t="inlineStr">
        <is>
          <t>Giao diện</t>
        </is>
      </c>
      <c r="F332" s="16" t="inlineStr">
        <is>
          <t>Cao</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32" s="15" t="inlineStr">
        <is>
          <t>1. Bấm dòng 'Welcome member'
2. Đọc Nội dung (Tiếng Anh), đổi Segment sang Tiếng Việt
3. Đọc khối 'Xem trước' và 'Dữ liệu mẫu'</t>
        </is>
      </c>
      <c r="K332" s="15" t="inlineStr">
        <is>
          <t>welcome</t>
        </is>
      </c>
      <c r="L332"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332" s="15" t="inlineStr"/>
      <c r="N332" s="18" t="inlineStr">
        <is>
          <t>Chưa test</t>
        </is>
      </c>
      <c r="O332" s="15" t="inlineStr"/>
      <c r="P332" s="15" t="inlineStr"/>
      <c r="Q332" s="18" t="inlineStr">
        <is>
          <t>Chưa test</t>
        </is>
      </c>
      <c r="R332" s="15" t="inlineStr"/>
    </row>
    <row r="333" ht="60" customHeight="1">
      <c r="A333" s="14" t="inlineStr">
        <is>
          <t>TC-ADM3-332</t>
        </is>
      </c>
      <c r="B333" s="15" t="inlineStr">
        <is>
          <t>Admin Console (đợt 3: Phân tích, Hỗ trợ, Hệ thống)</t>
        </is>
      </c>
      <c r="C333" s="15" t="inlineStr">
        <is>
          <t>Hệ thống · Mẫu email (UI)</t>
        </is>
      </c>
      <c r="D333" s="15" t="inlineStr">
        <is>
          <t>Chèn biến vào ô tiêu đề/nội dung đang focus bằng chip</t>
        </is>
      </c>
      <c r="E333" s="15" t="inlineStr">
        <is>
          <t>Chức năng</t>
        </is>
      </c>
      <c r="F333" s="20" t="inlineStr">
        <is>
          <t>Trung bình</t>
        </is>
      </c>
      <c r="G333" s="17" t="inlineStr">
        <is>
          <t>Đã hoàn thiện</t>
        </is>
      </c>
      <c r="H333" s="17" t="inlineStr">
        <is>
          <t>Có</t>
        </is>
      </c>
      <c r="I3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33" s="15" t="inlineStr">
        <is>
          <t>1. Trong trình soạn, click vào ô Tiêu đề
2. Bấm chip {{name}}
3. Click vào ô Nội dung (đặt con trỏ giữa câu)
4. Bấm chip {{community}}</t>
        </is>
      </c>
      <c r="K333" s="15" t="inlineStr">
        <is>
          <t>-</t>
        </is>
      </c>
      <c r="L333" s="15" t="inlineStr">
        <is>
          <t>Biến chèn đúng tại vị trí con trỏ của ô đang focus (tiêu đề rồi nội dung); xem trước cập nhật.</t>
        </is>
      </c>
      <c r="M333" s="15" t="inlineStr"/>
      <c r="N333" s="18" t="inlineStr">
        <is>
          <t>Chưa test</t>
        </is>
      </c>
      <c r="O333" s="15" t="inlineStr"/>
      <c r="P333" s="15" t="inlineStr"/>
      <c r="Q333" s="18" t="inlineStr">
        <is>
          <t>Chưa test</t>
        </is>
      </c>
      <c r="R333" s="15" t="inlineStr"/>
    </row>
    <row r="334" ht="75" customHeight="1">
      <c r="A334" s="14" t="inlineStr">
        <is>
          <t>TC-ADM3-333</t>
        </is>
      </c>
      <c r="B334" s="15" t="inlineStr">
        <is>
          <t>Admin Console (đợt 3: Phân tích, Hỗ trợ, Hệ thống)</t>
        </is>
      </c>
      <c r="C334" s="15" t="inlineStr">
        <is>
          <t>Hệ thống · Mẫu email (UI)</t>
        </is>
      </c>
      <c r="D334" s="15" t="inlineStr">
        <is>
          <t>Khai báo thêm/bỏ biến; cảnh báo 'Biến chưa khai báo'</t>
        </is>
      </c>
      <c r="E334" s="15" t="inlineStr">
        <is>
          <t>Chức năng</t>
        </is>
      </c>
      <c r="F334" s="20" t="inlineStr">
        <is>
          <t>Trung bình</t>
        </is>
      </c>
      <c r="G334" s="17" t="inlineStr">
        <is>
          <t>Đã hoàn thiện</t>
        </is>
      </c>
      <c r="H334" s="17" t="inlineStr">
        <is>
          <t>Có</t>
        </is>
      </c>
      <c r="I3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334" s="15" t="inlineStr">
        <is>
          <t>1. Trong nội dung gõ thêm '{{coupon}}' (chưa khai báo)
2. Quan sát cảnh báo vàng
3. Gõ 'coupon' vào ô 'Thêm biến' &gt; 'Thêm biến'
4. Thử thêm biến '1abc' và '  '
5. Bấm × ở biến vừa thêm</t>
        </is>
      </c>
      <c r="K334" s="15" t="inlineStr">
        <is>
          <t>coupon</t>
        </is>
      </c>
      <c r="L334"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334" s="15" t="inlineStr"/>
      <c r="N334" s="18" t="inlineStr">
        <is>
          <t>Chưa test</t>
        </is>
      </c>
      <c r="O334" s="15" t="inlineStr"/>
      <c r="P334" s="15" t="inlineStr"/>
      <c r="Q334" s="18" t="inlineStr">
        <is>
          <t>Chưa test</t>
        </is>
      </c>
      <c r="R334" s="15" t="inlineStr"/>
    </row>
    <row r="335" ht="45" customHeight="1">
      <c r="A335" s="14" t="inlineStr">
        <is>
          <t>TC-ADM3-334</t>
        </is>
      </c>
      <c r="B335" s="15" t="inlineStr">
        <is>
          <t>Admin Console (đợt 3: Phân tích, Hỗ trợ, Hệ thống)</t>
        </is>
      </c>
      <c r="C335" s="15" t="inlineStr">
        <is>
          <t>Hệ thống · Mẫu email (UI)</t>
        </is>
      </c>
      <c r="D335" s="15" t="inlineStr">
        <is>
          <t>Lưu mẫu hệ thống đã sửa: toast, quay lại danh sách, nội dung lưu, biến tự suy khi không khai báo</t>
        </is>
      </c>
      <c r="E335" s="15" t="inlineStr">
        <is>
          <t>Chức năng</t>
        </is>
      </c>
      <c r="F335" s="16" t="inlineStr">
        <is>
          <t>Cao</t>
        </is>
      </c>
      <c r="G335" s="17" t="inlineStr">
        <is>
          <t>Đã hoàn thiện</t>
        </is>
      </c>
      <c r="H335" s="17" t="inlineStr">
        <is>
          <t>Có</t>
        </is>
      </c>
      <c r="I3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335" s="15" t="inlineStr">
        <is>
          <t>1. Mở 'Payment receipt', sửa Tiêu đề EN thành 'Receipt #{{id}} for {{name}}'
2. Bấm 'Lưu mẫu'
3. Mở lại mẫu và đọc nội dung</t>
        </is>
      </c>
      <c r="K335" s="15" t="inlineStr">
        <is>
          <t>receipt</t>
        </is>
      </c>
      <c r="L335" s="15" t="inlineStr">
        <is>
          <t>Toast 'Đã lưu mẫu email' và quay lại danh sách; mở lại thấy tiêu đề mới; cột 'Cập nhật' mới; audit email_template.update metadata.fields.</t>
        </is>
      </c>
      <c r="M335" s="15" t="inlineStr"/>
      <c r="N335" s="18" t="inlineStr">
        <is>
          <t>Chưa test</t>
        </is>
      </c>
      <c r="O335" s="15" t="inlineStr"/>
      <c r="P335" s="15" t="inlineStr"/>
      <c r="Q335" s="18" t="inlineStr">
        <is>
          <t>Chưa test</t>
        </is>
      </c>
      <c r="R335" s="15" t="inlineStr"/>
    </row>
    <row r="336" ht="60" customHeight="1">
      <c r="A336" s="14" t="inlineStr">
        <is>
          <t>TC-ADM3-335</t>
        </is>
      </c>
      <c r="B336" s="15" t="inlineStr">
        <is>
          <t>Admin Console (đợt 3: Phân tích, Hỗ trợ, Hệ thống)</t>
        </is>
      </c>
      <c r="C336" s="15" t="inlineStr">
        <is>
          <t>Hệ thống · Mẫu email (UI)</t>
        </is>
      </c>
      <c r="D336" s="15" t="inlineStr">
        <is>
          <t>Tạo mẫu mới: khóa a-z0-9_, EN bắt buộc, VI tùy chọn, trạng thái mặc định Bản nháp</t>
        </is>
      </c>
      <c r="E336" s="15" t="inlineStr">
        <is>
          <t>Chức năng</t>
        </is>
      </c>
      <c r="F336" s="16" t="inlineStr">
        <is>
          <t>Cao</t>
        </is>
      </c>
      <c r="G336" s="17" t="inlineStr">
        <is>
          <t>Đã hoàn thiện</t>
        </is>
      </c>
      <c r="H336" s="17" t="inlineStr">
        <is>
          <t>Có</t>
        </is>
      </c>
      <c r="I3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336" s="15" t="inlineStr">
        <is>
          <t>1. Bấm 'Tạo mẫu'
2. Nhập Khóa 'course_invite', Tên 'Mời vào khóa học', Tiêu đề EN 'Join {{community}}', Nội dung EN 'Hi {{name}}, join {{community}}.'
3. Khai báo biến name, community
4. Để VI trống, trạng thái 'Bản nháp' &gt; 'Lưu mẫu'</t>
        </is>
      </c>
      <c r="K336" s="15" t="inlineStr">
        <is>
          <t>course_invite</t>
        </is>
      </c>
      <c r="L336"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336" s="15" t="inlineStr"/>
      <c r="N336" s="18" t="inlineStr">
        <is>
          <t>Chưa test</t>
        </is>
      </c>
      <c r="O336" s="15" t="inlineStr"/>
      <c r="P336" s="15" t="inlineStr"/>
      <c r="Q336" s="18" t="inlineStr">
        <is>
          <t>Chưa test</t>
        </is>
      </c>
      <c r="R336" s="15" t="inlineStr"/>
    </row>
    <row r="337" ht="45" customHeight="1">
      <c r="A337" s="14" t="inlineStr">
        <is>
          <t>TC-ADM3-336</t>
        </is>
      </c>
      <c r="B337" s="15" t="inlineStr">
        <is>
          <t>Admin Console (đợt 3: Phân tích, Hỗ trợ, Hệ thống)</t>
        </is>
      </c>
      <c r="C337" s="15" t="inlineStr">
        <is>
          <t>Hệ thống · Mẫu email (UI)</t>
        </is>
      </c>
      <c r="D337" s="15" t="inlineStr">
        <is>
          <t>'Xem bản từ máy chủ' dựng bằng dữ liệu mẫu và báo biến thiếu</t>
        </is>
      </c>
      <c r="E337" s="15" t="inlineStr">
        <is>
          <t>Chức năng</t>
        </is>
      </c>
      <c r="F337" s="16" t="inlineStr">
        <is>
          <t>Cao</t>
        </is>
      </c>
      <c r="G337" s="17" t="inlineStr">
        <is>
          <t>Đã hoàn thiện</t>
        </is>
      </c>
      <c r="H337" s="20" t="inlineStr">
        <is>
          <t>Một phần</t>
        </is>
      </c>
      <c r="I3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37" s="15" t="inlineStr">
        <is>
          <t>1. Mở mẫu 'Reset password'
2. Xóa giá trị mẫu của biến {{link}} trong 'Dữ liệu mẫu'
3. Bấm 'Xem bản từ máy chủ'</t>
        </is>
      </c>
      <c r="K337" s="15" t="inlineStr">
        <is>
          <t>reset_password</t>
        </is>
      </c>
      <c r="L337" s="15" t="inlineStr">
        <is>
          <t>Xuất hiện khối 'Bản dựng từ máy chủ' với tiêu đề/nội dung đã thay biến (biến còn thiếu giữ nguyên '{{link}}'); toast 'Còn thiếu biến: link'; lời nhắc 'dùng nội dung đã lưu - hãy lưu trước khi kiểm tra'.</t>
        </is>
      </c>
      <c r="M337" s="15" t="inlineStr"/>
      <c r="N337" s="18" t="inlineStr">
        <is>
          <t>Chưa test</t>
        </is>
      </c>
      <c r="O337" s="15" t="inlineStr"/>
      <c r="P337" s="15" t="inlineStr"/>
      <c r="Q337" s="18" t="inlineStr">
        <is>
          <t>Chưa test</t>
        </is>
      </c>
      <c r="R337" s="15" t="inlineStr"/>
    </row>
    <row r="338" ht="45" customHeight="1">
      <c r="A338" s="14" t="inlineStr">
        <is>
          <t>TC-ADM3-337</t>
        </is>
      </c>
      <c r="B338" s="15" t="inlineStr">
        <is>
          <t>Admin Console (đợt 3: Phân tích, Hỗ trợ, Hệ thống)</t>
        </is>
      </c>
      <c r="C338" s="15" t="inlineStr">
        <is>
          <t>Hệ thống · Mẫu email (UI)</t>
        </is>
      </c>
      <c r="D338" s="15" t="inlineStr">
        <is>
          <t>'Gửi thử cho tôi': thư [TEST] vào outbox của admin đang đăng nhập</t>
        </is>
      </c>
      <c r="E338" s="15" t="inlineStr">
        <is>
          <t>Chức năng</t>
        </is>
      </c>
      <c r="F338" s="16" t="inlineStr">
        <is>
          <t>Cao</t>
        </is>
      </c>
      <c r="G338" s="17" t="inlineStr">
        <is>
          <t>Đã hoàn thiện</t>
        </is>
      </c>
      <c r="H338" s="20" t="inlineStr">
        <is>
          <t>Một phần</t>
        </is>
      </c>
      <c r="I33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338" s="15" t="inlineStr">
        <is>
          <t>1. Mở mẫu 'Welcome member', ngôn ngữ Tiếng Việt
2. Bấm 'Gửi thử cho tôi'
3. GET /api/dev/outbox?to=admin@sofinhub.test</t>
        </is>
      </c>
      <c r="K338" s="15" t="inlineStr">
        <is>
          <t>welcome (vi)</t>
        </is>
      </c>
      <c r="L338" s="15" t="inlineStr">
        <is>
          <t>Toast 'Đã gửi thử tới admin@sofinhub.test'; outbox có thư tiêu đề '[TEST] Chào mừng bạn đến với Growth Hackers VN' (dùng dữ liệu mẫu); audit email_template.test_send metadata.to.</t>
        </is>
      </c>
      <c r="M338" s="15" t="inlineStr"/>
      <c r="N338" s="18" t="inlineStr">
        <is>
          <t>Chưa test</t>
        </is>
      </c>
      <c r="O338" s="15" t="inlineStr"/>
      <c r="P338" s="15" t="inlineStr"/>
      <c r="Q338" s="18" t="inlineStr">
        <is>
          <t>Chưa test</t>
        </is>
      </c>
      <c r="R338" s="15" t="inlineStr"/>
    </row>
    <row r="339" ht="30" customHeight="1">
      <c r="A339" s="14" t="inlineStr">
        <is>
          <t>TC-ADM3-338</t>
        </is>
      </c>
      <c r="B339" s="15" t="inlineStr">
        <is>
          <t>Admin Console (đợt 3: Phân tích, Hỗ trợ, Hệ thống)</t>
        </is>
      </c>
      <c r="C339" s="15" t="inlineStr">
        <is>
          <t>Hệ thống · Mẫu email (UI)</t>
        </is>
      </c>
      <c r="D339" s="15" t="inlineStr">
        <is>
          <t>Xóa mẫu tự tạo từ menu: dialog và toast</t>
        </is>
      </c>
      <c r="E339" s="15" t="inlineStr">
        <is>
          <t>Chức năng</t>
        </is>
      </c>
      <c r="F339" s="20" t="inlineStr">
        <is>
          <t>Trung bình</t>
        </is>
      </c>
      <c r="G339" s="17" t="inlineStr">
        <is>
          <t>Đã hoàn thiện</t>
        </is>
      </c>
      <c r="H339" s="17" t="inlineStr">
        <is>
          <t>Có</t>
        </is>
      </c>
      <c r="I33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339" s="15" t="inlineStr">
        <is>
          <t>1. Menu dòng 'Mời vào khóa học' &gt; 'Xóa' &gt; xác nhận</t>
        </is>
      </c>
      <c r="K339" s="15" t="inlineStr">
        <is>
          <t>course_invite</t>
        </is>
      </c>
      <c r="L339" s="15" t="inlineStr">
        <is>
          <t>Dialog 'Xóa mẫu · Mời vào khóa học'; toast 'Đã xóa mẫu email'; dòng biến mất; audit email_template.delete.</t>
        </is>
      </c>
      <c r="M339" s="15" t="inlineStr"/>
      <c r="N339" s="18" t="inlineStr">
        <is>
          <t>Chưa test</t>
        </is>
      </c>
      <c r="O339" s="15" t="inlineStr"/>
      <c r="P339" s="15" t="inlineStr"/>
      <c r="Q339" s="18" t="inlineStr">
        <is>
          <t>Chưa test</t>
        </is>
      </c>
      <c r="R339" s="15" t="inlineStr"/>
    </row>
    <row r="340" ht="30" customHeight="1">
      <c r="A340" s="14" t="inlineStr">
        <is>
          <t>TC-ADM3-339</t>
        </is>
      </c>
      <c r="B340" s="15" t="inlineStr">
        <is>
          <t>Admin Console (đợt 3: Phân tích, Hỗ trợ, Hệ thống)</t>
        </is>
      </c>
      <c r="C340" s="15" t="inlineStr">
        <is>
          <t>Hệ thống · Mẫu email (UI)</t>
        </is>
      </c>
      <c r="D340" s="15" t="inlineStr">
        <is>
          <t>Khai báo biến có dấu chấm (user.name): giao diện cho phép nhưng API 400 và bộ dựng không thay thế</t>
        </is>
      </c>
      <c r="E340" s="15" t="inlineStr">
        <is>
          <t>Chức năng</t>
        </is>
      </c>
      <c r="F340" s="20" t="inlineStr">
        <is>
          <t>Trung bình</t>
        </is>
      </c>
      <c r="G340" s="20" t="inlineStr">
        <is>
          <t>Kế hoạch</t>
        </is>
      </c>
      <c r="H340" s="20" t="inlineStr">
        <is>
          <t>Một phần</t>
        </is>
      </c>
      <c r="I34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340" s="15" t="inlineStr">
        <is>
          <t>1. Mở mẫu bất kỳ, thêm biến 'user.name' và gõ '{{user.name}}' vào nội dung
2. Bấm 'Lưu mẫu'</t>
        </is>
      </c>
      <c r="K340" s="15" t="inlineStr">
        <is>
          <t>user.name</t>
        </is>
      </c>
      <c r="L340"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340" s="15" t="inlineStr"/>
      <c r="N340" s="18" t="inlineStr">
        <is>
          <t>Chưa test</t>
        </is>
      </c>
      <c r="O340" s="15" t="inlineStr"/>
      <c r="P340" s="15" t="inlineStr"/>
      <c r="Q340" s="18" t="inlineStr">
        <is>
          <t>Chưa test</t>
        </is>
      </c>
      <c r="R340" s="15" t="inlineStr"/>
    </row>
    <row r="341" ht="90" customHeight="1">
      <c r="A341" s="14" t="inlineStr">
        <is>
          <t>TC-ADM3-340</t>
        </is>
      </c>
      <c r="B341" s="15" t="inlineStr">
        <is>
          <t>Admin Console (đợt 3: Phân tích, Hỗ trợ, Hệ thống)</t>
        </is>
      </c>
      <c r="C341" s="15" t="inlineStr">
        <is>
          <t>Hệ thống · Mẫu email (API) và hiệu lực lên email thật</t>
        </is>
      </c>
      <c r="D341" s="15" t="inlineStr">
        <is>
          <t>GET /admin/system/email-templates (lọc q/status) và GET /:key có body</t>
        </is>
      </c>
      <c r="E341" s="15" t="inlineStr">
        <is>
          <t>Chức năng</t>
        </is>
      </c>
      <c r="F341" s="16" t="inlineStr">
        <is>
          <t>Cao</t>
        </is>
      </c>
      <c r="G341" s="17" t="inlineStr">
        <is>
          <t>Đã hoàn thiện</t>
        </is>
      </c>
      <c r="H341" s="17" t="inlineStr">
        <is>
          <t>Có</t>
        </is>
      </c>
      <c r="I3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1" s="15" t="inlineStr">
        <is>
          <t>1. GET /system/email-templates
2. GET ?status=draft
3. GET ?q=reset
4. GET ?status=bogus
5. GET /system/email-templates/welcome
6. GET /system/email-templates/khong-co</t>
        </is>
      </c>
      <c r="K341" s="15" t="inlineStr">
        <is>
          <t>-</t>
        </is>
      </c>
      <c r="L341" s="15" t="inlineStr">
        <is>
          <t>Danh sách 7 mẫu (isSystem trước), mỗi mẫu {key,name,description,status,isSystem,variables,languages,subject,updatedAt,updatedBy} KHÔNG có body; chi tiết có thêm body {en,vi}; status=bogus 400; khóa lạ 404 'Không tìm thấy mẫu email'.</t>
        </is>
      </c>
      <c r="M341" s="15" t="inlineStr"/>
      <c r="N341" s="18" t="inlineStr">
        <is>
          <t>Chưa test</t>
        </is>
      </c>
      <c r="O341" s="15" t="inlineStr"/>
      <c r="P341" s="15" t="inlineStr"/>
      <c r="Q341" s="18" t="inlineStr">
        <is>
          <t>Chưa test</t>
        </is>
      </c>
      <c r="R341" s="15" t="inlineStr"/>
    </row>
    <row r="342" ht="105" customHeight="1">
      <c r="A342" s="14" t="inlineStr">
        <is>
          <t>TC-ADM3-341</t>
        </is>
      </c>
      <c r="B342" s="15" t="inlineStr">
        <is>
          <t>Admin Console (đợt 3: Phân tích, Hỗ trợ, Hệ thống)</t>
        </is>
      </c>
      <c r="C342" s="15" t="inlineStr">
        <is>
          <t>Hệ thống · Mẫu email (API) và hiệu lực lên email thật</t>
        </is>
      </c>
      <c r="D342" s="15" t="inlineStr">
        <is>
          <t>POST tạo mẫu: 201, biến tự suy từ nội dung nếu không gửi, trùng 409, validate</t>
        </is>
      </c>
      <c r="E342" s="15" t="inlineStr">
        <is>
          <t>Chức năng</t>
        </is>
      </c>
      <c r="F342" s="16" t="inlineStr">
        <is>
          <t>Cao</t>
        </is>
      </c>
      <c r="G342" s="17" t="inlineStr">
        <is>
          <t>Đã hoàn thiện</t>
        </is>
      </c>
      <c r="H342" s="17" t="inlineStr">
        <is>
          <t>Có</t>
        </is>
      </c>
      <c r="I3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42" s="15" t="inlineStr">
        <is>
          <t>1. POST /system/email-templates {key:'qa_tpl', name:'QA', subject:{en:'Hi {{name}}'}, body:{en:'Code {{code}} for {{name}}'}}
2. POST lại cùng key
3. POST {key:'Bad Key',...}
4. POST thiếu subject.en
5. POST subject.vi rỗng chuỗi
6. POST variables:['bad-var']
7. POST status:'bogus'</t>
        </is>
      </c>
      <c r="K342" s="15" t="inlineStr">
        <is>
          <t>qa_tpl</t>
        </is>
      </c>
      <c r="L342" s="15" t="inlineStr">
        <is>
          <t>Lần 1: 201 status 'draft', isSystem=false, variables tự suy ['name','code'] (theo thứ tự xuất hiện trong tiêu đề rồi nội dung); lần 2: 409 'Khóa mẫu email đã tồn tại'; 3-7: 400 VALIDATION_ERROR; audit email_template.create.</t>
        </is>
      </c>
      <c r="M342" s="15" t="inlineStr"/>
      <c r="N342" s="18" t="inlineStr">
        <is>
          <t>Chưa test</t>
        </is>
      </c>
      <c r="O342" s="15" t="inlineStr"/>
      <c r="P342" s="15" t="inlineStr"/>
      <c r="Q342" s="18" t="inlineStr">
        <is>
          <t>Chưa test</t>
        </is>
      </c>
      <c r="R342" s="15" t="inlineStr"/>
    </row>
    <row r="343" ht="105" customHeight="1">
      <c r="A343" s="14" t="inlineStr">
        <is>
          <t>TC-ADM3-342</t>
        </is>
      </c>
      <c r="B343" s="15" t="inlineStr">
        <is>
          <t>Admin Console (đợt 3: Phân tích, Hỗ trợ, Hệ thống)</t>
        </is>
      </c>
      <c r="C343" s="15" t="inlineStr">
        <is>
          <t>Hệ thống · Mẫu email (API) và hiệu lực lên email thật</t>
        </is>
      </c>
      <c r="D343" s="15" t="inlineStr">
        <is>
          <t>PATCH mẫu: sửa từng ngôn ngữ (hợp nhất với bản cũ), tự suy lại biến, đổi trạng thái; body rỗng 400</t>
        </is>
      </c>
      <c r="E343" s="15" t="inlineStr">
        <is>
          <t>Chức năng</t>
        </is>
      </c>
      <c r="F343" s="16" t="inlineStr">
        <is>
          <t>Cao</t>
        </is>
      </c>
      <c r="G343" s="17" t="inlineStr">
        <is>
          <t>Đã hoàn thiện</t>
        </is>
      </c>
      <c r="H343" s="17" t="inlineStr">
        <is>
          <t>Có</t>
        </is>
      </c>
      <c r="I3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3" s="15" t="inlineStr">
        <is>
          <t>1. PATCH /system/email-templates/welcome {subject:{vi:'Chào {{name}}'}}
2. GET xem subject.en còn nguyên
3. PATCH {body:{en:'Hi {{name}} {{extra}}'}} (không gửi variables)
4. PATCH {status:'disabled'}
5. PATCH {status:'active'}
6. PATCH {}
7. PATCH /system/email-templates/khong-co {name:'x'}</t>
        </is>
      </c>
      <c r="K343" s="15" t="inlineStr">
        <is>
          <t>welcome</t>
        </is>
      </c>
      <c r="L343" s="15" t="inlineStr">
        <is>
          <t>subject.vi đổi, subject.en giữ nguyên (hợp nhất); lần 3 biến tự suy lại gồm 'extra'; audit action email_template.update / disable / enable; {} -&gt; 400 'Không có gì để cập nhật'; khóa lạ 404.</t>
        </is>
      </c>
      <c r="M343" s="15" t="inlineStr"/>
      <c r="N343" s="18" t="inlineStr">
        <is>
          <t>Chưa test</t>
        </is>
      </c>
      <c r="O343" s="15" t="inlineStr"/>
      <c r="P343" s="15" t="inlineStr"/>
      <c r="Q343" s="18" t="inlineStr">
        <is>
          <t>Chưa test</t>
        </is>
      </c>
      <c r="R343" s="15" t="inlineStr"/>
    </row>
    <row r="344" ht="45" customHeight="1">
      <c r="A344" s="14" t="inlineStr">
        <is>
          <t>TC-ADM3-343</t>
        </is>
      </c>
      <c r="B344" s="15" t="inlineStr">
        <is>
          <t>Admin Console (đợt 3: Phân tích, Hỗ trợ, Hệ thống)</t>
        </is>
      </c>
      <c r="C344" s="15" t="inlineStr">
        <is>
          <t>Hệ thống · Mẫu email (API) và hiệu lực lên email thật</t>
        </is>
      </c>
      <c r="D344" s="15" t="inlineStr">
        <is>
          <t>DELETE: mẫu hệ thống 409, mẫu tự tạo 200, lần 2 404</t>
        </is>
      </c>
      <c r="E344" s="15" t="inlineStr">
        <is>
          <t>Chức năng</t>
        </is>
      </c>
      <c r="F344" s="16" t="inlineStr">
        <is>
          <t>Cao</t>
        </is>
      </c>
      <c r="G344" s="17" t="inlineStr">
        <is>
          <t>Đã hoàn thiện</t>
        </is>
      </c>
      <c r="H344" s="17" t="inlineStr">
        <is>
          <t>Có</t>
        </is>
      </c>
      <c r="I3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44" s="15" t="inlineStr">
        <is>
          <t>1. DELETE /system/email-templates/welcome
2. DELETE /system/email-templates/qa_tpl
3. DELETE lần 2</t>
        </is>
      </c>
      <c r="K344" s="15" t="inlineStr">
        <is>
          <t>welcome, qa_tpl</t>
        </is>
      </c>
      <c r="L344" s="15" t="inlineStr">
        <is>
          <t>Lần 1: 409 'Không thể xóa mẫu email hệ thống (hãy đặt trạng thái disabled)'; lần 2: 200 {deleted:true}; lần 3: 404.</t>
        </is>
      </c>
      <c r="M344" s="15" t="inlineStr"/>
      <c r="N344" s="18" t="inlineStr">
        <is>
          <t>Chưa test</t>
        </is>
      </c>
      <c r="O344" s="15" t="inlineStr"/>
      <c r="P344" s="15" t="inlineStr"/>
      <c r="Q344" s="18" t="inlineStr">
        <is>
          <t>Chưa test</t>
        </is>
      </c>
      <c r="R344" s="15" t="inlineStr"/>
    </row>
    <row r="345" ht="90" customHeight="1">
      <c r="A345" s="14" t="inlineStr">
        <is>
          <t>TC-ADM3-344</t>
        </is>
      </c>
      <c r="B345" s="15" t="inlineStr">
        <is>
          <t>Admin Console (đợt 3: Phân tích, Hỗ trợ, Hệ thống)</t>
        </is>
      </c>
      <c r="C345" s="15" t="inlineStr">
        <is>
          <t>Hệ thống · Mẫu email (API) và hiệu lực lên email thật</t>
        </is>
      </c>
      <c r="D345" s="15" t="inlineStr">
        <is>
          <t>POST preview: thay biến, báo missingVariables, fallback ngôn ngữ, HTML thoát ký tự và tự gắn liên kết</t>
        </is>
      </c>
      <c r="E345" s="15" t="inlineStr">
        <is>
          <t>Chức năng</t>
        </is>
      </c>
      <c r="F345" s="16" t="inlineStr">
        <is>
          <t>Cao</t>
        </is>
      </c>
      <c r="G345" s="17" t="inlineStr">
        <is>
          <t>Đã hoàn thiện</t>
        </is>
      </c>
      <c r="H345" s="17" t="inlineStr">
        <is>
          <t>Có</t>
        </is>
      </c>
      <c r="I3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5"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345" s="15" t="inlineStr">
        <is>
          <t>reset_password</t>
        </is>
      </c>
      <c r="L345"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345" s="15" t="inlineStr"/>
      <c r="N345" s="18" t="inlineStr">
        <is>
          <t>Chưa test</t>
        </is>
      </c>
      <c r="O345" s="15" t="inlineStr"/>
      <c r="P345" s="15" t="inlineStr"/>
      <c r="Q345" s="18" t="inlineStr">
        <is>
          <t>Chưa test</t>
        </is>
      </c>
      <c r="R345" s="15" t="inlineStr"/>
    </row>
    <row r="346" ht="60" customHeight="1">
      <c r="A346" s="14" t="inlineStr">
        <is>
          <t>TC-ADM3-345</t>
        </is>
      </c>
      <c r="B346" s="15" t="inlineStr">
        <is>
          <t>Admin Console (đợt 3: Phân tích, Hỗ trợ, Hệ thống)</t>
        </is>
      </c>
      <c r="C346" s="15" t="inlineStr">
        <is>
          <t>Hệ thống · Mẫu email (API) và hiệu lực lên email thật</t>
        </is>
      </c>
      <c r="D346" s="15" t="inlineStr">
        <is>
          <t>POST test-send: gửi tới email admin hoặc 'to' chỉ định, tiêu đề [TEST], audit, validate to</t>
        </is>
      </c>
      <c r="E346" s="15" t="inlineStr">
        <is>
          <t>Chức năng</t>
        </is>
      </c>
      <c r="F346" s="16" t="inlineStr">
        <is>
          <t>Cao</t>
        </is>
      </c>
      <c r="G346" s="17" t="inlineStr">
        <is>
          <t>Đã hoàn thiện</t>
        </is>
      </c>
      <c r="H346" s="20" t="inlineStr">
        <is>
          <t>Một phần</t>
        </is>
      </c>
      <c r="I3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46" s="15" t="inlineStr">
        <is>
          <t>1. POST /system/email-templates/receipt/test-send {variables:{name:'A',id:'1',amount:'$1'}}
2. POST .../test-send {to:'khac@example.com', language:'vi'}
3. POST {to:'khong-phai-email'}
4. GET /api/dev/outbox?to=admin@sofinhub.test và ?to=khac@example.com</t>
        </is>
      </c>
      <c r="K346" s="15" t="inlineStr">
        <is>
          <t>receipt</t>
        </is>
      </c>
      <c r="L346" s="15" t="inlineStr">
        <is>
          <t>Lần 1: 200 {sent:true, to:'admin@sofinhub.test'}; lần 2: to khác; lần 3: 400; outbox có thư '[TEST] Your receipt #1' / '[TEST] Biên lai #1 của bạn'; audit email_template.test_send metadata.to.</t>
        </is>
      </c>
      <c r="M346" s="15" t="inlineStr"/>
      <c r="N346" s="18" t="inlineStr">
        <is>
          <t>Chưa test</t>
        </is>
      </c>
      <c r="O346" s="15" t="inlineStr"/>
      <c r="P346" s="15" t="inlineStr"/>
      <c r="Q346" s="18" t="inlineStr">
        <is>
          <t>Chưa test</t>
        </is>
      </c>
      <c r="R346" s="15" t="inlineStr"/>
    </row>
    <row r="347" ht="45" customHeight="1">
      <c r="A347" s="14" t="inlineStr">
        <is>
          <t>TC-ADM3-346</t>
        </is>
      </c>
      <c r="B347" s="15" t="inlineStr">
        <is>
          <t>Admin Console (đợt 3: Phân tích, Hỗ trợ, Hệ thống)</t>
        </is>
      </c>
      <c r="C347" s="15" t="inlineStr">
        <is>
          <t>Hệ thống · Mẫu email (API) và hiệu lực lên email thật</t>
        </is>
      </c>
      <c r="D347" s="15" t="inlineStr">
        <is>
          <t>Mẫu verify_email 'Đang dùng' được dùng thật khi đăng ký (ghi đè nội dung mặc định)</t>
        </is>
      </c>
      <c r="E347" s="15" t="inlineStr">
        <is>
          <t>Tích hợp</t>
        </is>
      </c>
      <c r="F347" s="16" t="inlineStr">
        <is>
          <t>Cao</t>
        </is>
      </c>
      <c r="G347" s="17" t="inlineStr">
        <is>
          <t>Đã hoàn thiện</t>
        </is>
      </c>
      <c r="H347" s="20" t="inlineStr">
        <is>
          <t>Một phần</t>
        </is>
      </c>
      <c r="I3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347" s="15" t="inlineStr">
        <is>
          <t>1. PATCH /system/email-templates/verify_email {subject:{vi:'[QA] Xác thực {{name}}'}, body:{vi:'QA verify {{link}}'}}
2. POST /api/auth/register với email mới 'qa.verify@example.com'
3. GET /api/dev/outbox?to=qa.verify@example.com</t>
        </is>
      </c>
      <c r="K347" s="15" t="inlineStr">
        <is>
          <t>verify_email</t>
        </is>
      </c>
      <c r="L347" s="15" t="inlineStr">
        <is>
          <t>Thư xác thực có tiêu đề '[QA] Xác thực &lt;tên&gt;' và nội dung 'QA verify &lt;link thật có token&gt;' (ngôn ngữ = Cài đặt chung &gt; Ngôn ngữ mặc định, mặc định 'vi'); link trong thư dùng được để xác thực email.</t>
        </is>
      </c>
      <c r="M347" s="15" t="inlineStr"/>
      <c r="N347" s="18" t="inlineStr">
        <is>
          <t>Chưa test</t>
        </is>
      </c>
      <c r="O347" s="15" t="inlineStr"/>
      <c r="P347" s="15" t="inlineStr"/>
      <c r="Q347" s="18" t="inlineStr">
        <is>
          <t>Chưa test</t>
        </is>
      </c>
      <c r="R347" s="15" t="inlineStr"/>
    </row>
    <row r="348" ht="105" customHeight="1">
      <c r="A348" s="14" t="inlineStr">
        <is>
          <t>TC-ADM3-347</t>
        </is>
      </c>
      <c r="B348" s="15" t="inlineStr">
        <is>
          <t>Admin Console (đợt 3: Phân tích, Hỗ trợ, Hệ thống)</t>
        </is>
      </c>
      <c r="C348" s="15" t="inlineStr">
        <is>
          <t>Hệ thống · Mẫu email (API) và hiệu lực lên email thật</t>
        </is>
      </c>
      <c r="D348" s="15" t="inlineStr">
        <is>
          <t>Mẫu reset_password: 'Đang dùng' -&gt; email quên mật khẩu dùng mẫu; 'Đã tắt'/'Bản nháp' -&gt; dùng nội dung mặc định trong code</t>
        </is>
      </c>
      <c r="E348" s="15" t="inlineStr">
        <is>
          <t>Tích hợp</t>
        </is>
      </c>
      <c r="F348" s="16" t="inlineStr">
        <is>
          <t>Cao</t>
        </is>
      </c>
      <c r="G348" s="17" t="inlineStr">
        <is>
          <t>Đã hoàn thiện</t>
        </is>
      </c>
      <c r="H348" s="20" t="inlineStr">
        <is>
          <t>Một phần</t>
        </is>
      </c>
      <c r="I3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48"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348" s="15" t="inlineStr">
        <is>
          <t>reset_password</t>
        </is>
      </c>
      <c r="L348"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348" s="15" t="inlineStr"/>
      <c r="N348" s="18" t="inlineStr">
        <is>
          <t>Chưa test</t>
        </is>
      </c>
      <c r="O348" s="15" t="inlineStr"/>
      <c r="P348" s="15" t="inlineStr"/>
      <c r="Q348" s="18" t="inlineStr">
        <is>
          <t>Chưa test</t>
        </is>
      </c>
      <c r="R348" s="15" t="inlineStr"/>
    </row>
    <row r="349" ht="75" customHeight="1">
      <c r="A349" s="14" t="inlineStr">
        <is>
          <t>TC-ADM3-348</t>
        </is>
      </c>
      <c r="B349" s="15" t="inlineStr">
        <is>
          <t>Admin Console (đợt 3: Phân tích, Hỗ trợ, Hệ thống)</t>
        </is>
      </c>
      <c r="C349" s="15" t="inlineStr">
        <is>
          <t>Hệ thống · Mẫu email (API) và hiệu lực lên email thật</t>
        </is>
      </c>
      <c r="D349" s="15" t="inlineStr">
        <is>
          <t>Ngôn ngữ mặc định nền tảng quyết định bản dịch của mẫu khi gửi email thật; thiếu bản dịch dùng bản kia</t>
        </is>
      </c>
      <c r="E349" s="15" t="inlineStr">
        <is>
          <t>Tích hợp</t>
        </is>
      </c>
      <c r="F349" s="20" t="inlineStr">
        <is>
          <t>Trung bình</t>
        </is>
      </c>
      <c r="G349" s="17" t="inlineStr">
        <is>
          <t>Đã hoàn thiện</t>
        </is>
      </c>
      <c r="H349" s="20" t="inlineStr">
        <is>
          <t>Một phần</t>
        </is>
      </c>
      <c r="I3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49"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349" s="15" t="inlineStr">
        <is>
          <t>defaultLanguage en/vi</t>
        </is>
      </c>
      <c r="L349" s="15" t="inlineStr">
        <is>
          <t>en -&gt; thư dùng tiêu đề/nội dung EN; vi -&gt; bản VI; mẫu thiếu ngôn ngữ đang chọn thì dùng ngôn ngữ còn lại. Mặc định hệ thống là 'vi' (khác tài liệu mockup 'en') để giữ email tiếng Việt như trước.</t>
        </is>
      </c>
      <c r="M349" s="15" t="inlineStr"/>
      <c r="N349" s="18" t="inlineStr">
        <is>
          <t>Chưa test</t>
        </is>
      </c>
      <c r="O349" s="15" t="inlineStr"/>
      <c r="P349" s="15" t="inlineStr"/>
      <c r="Q349" s="18" t="inlineStr">
        <is>
          <t>Chưa test</t>
        </is>
      </c>
      <c r="R349" s="15" t="inlineStr"/>
    </row>
    <row r="350" ht="30" customHeight="1">
      <c r="A350" s="14" t="inlineStr">
        <is>
          <t>TC-ADM3-349</t>
        </is>
      </c>
      <c r="B350" s="15" t="inlineStr">
        <is>
          <t>Admin Console (đợt 3: Phân tích, Hỗ trợ, Hệ thống)</t>
        </is>
      </c>
      <c r="C350" s="15" t="inlineStr">
        <is>
          <t>Hệ thống · Mẫu email (API) và hiệu lực lên email thật</t>
        </is>
      </c>
      <c r="D350" s="15" t="inlineStr">
        <is>
          <t>Quyền system.settings cho Mẫu email: Moderator/Support/Finance 403</t>
        </is>
      </c>
      <c r="E350" s="15" t="inlineStr">
        <is>
          <t>Bảo mật</t>
        </is>
      </c>
      <c r="F350" s="20" t="inlineStr">
        <is>
          <t>Trung bình</t>
        </is>
      </c>
      <c r="G350" s="17" t="inlineStr">
        <is>
          <t>Đã hoàn thiện</t>
        </is>
      </c>
      <c r="H350" s="17" t="inlineStr">
        <is>
          <t>Có</t>
        </is>
      </c>
      <c r="I3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0" s="15" t="inlineStr">
        <is>
          <t>1. GET /system/email-templates và POST .../welcome/test-send bằng moderator@, support@, finance@</t>
        </is>
      </c>
      <c r="K350" s="15" t="inlineStr">
        <is>
          <t>-</t>
        </is>
      </c>
      <c r="L350" s="15" t="inlineStr">
        <is>
          <t>403 'không có quyền "system.settings"'.</t>
        </is>
      </c>
      <c r="M350" s="15" t="inlineStr"/>
      <c r="N350" s="18" t="inlineStr">
        <is>
          <t>Chưa test</t>
        </is>
      </c>
      <c r="O350" s="15" t="inlineStr"/>
      <c r="P350" s="15" t="inlineStr"/>
      <c r="Q350" s="18" t="inlineStr">
        <is>
          <t>Chưa test</t>
        </is>
      </c>
      <c r="R350" s="15" t="inlineStr"/>
    </row>
    <row r="351" ht="30" customHeight="1">
      <c r="A351" s="14" t="inlineStr">
        <is>
          <t>TC-ADM3-350</t>
        </is>
      </c>
      <c r="B351" s="15" t="inlineStr">
        <is>
          <t>Admin Console (đợt 3: Phân tích, Hỗ trợ, Hệ thống)</t>
        </is>
      </c>
      <c r="C351" s="15" t="inlineStr">
        <is>
          <t>Hệ thống · Nhật ký hoạt động (UI)</t>
        </is>
      </c>
      <c r="D351" s="15" t="inlineStr">
        <is>
          <t>Trang 'Nhật ký hoạt động': cột Thời gian, Quản trị viên (+vai trò), Hành động, Đối tượng, Vụ việc, IP</t>
        </is>
      </c>
      <c r="E351" s="15" t="inlineStr">
        <is>
          <t>Giao diện</t>
        </is>
      </c>
      <c r="F351" s="16" t="inlineStr">
        <is>
          <t>Cao</t>
        </is>
      </c>
      <c r="G351" s="17" t="inlineStr">
        <is>
          <t>Đã hoàn thiện</t>
        </is>
      </c>
      <c r="H351" s="17" t="inlineStr">
        <is>
          <t>Có</t>
        </is>
      </c>
      <c r="I35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1" s="15" t="inlineStr">
        <is>
          <t>1. Mở /admin/system/audit
2. Đọc tiêu đề, nút 'Xuất CSV' và dòng của Ryan Cho</t>
        </is>
      </c>
      <c r="K351" s="15" t="inlineStr">
        <is>
          <t>-</t>
        </is>
      </c>
      <c r="L351"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351" s="15" t="inlineStr"/>
      <c r="N351" s="18" t="inlineStr">
        <is>
          <t>Chưa test</t>
        </is>
      </c>
      <c r="O351" s="15" t="inlineStr"/>
      <c r="P351" s="15" t="inlineStr"/>
      <c r="Q351" s="18" t="inlineStr">
        <is>
          <t>Chưa test</t>
        </is>
      </c>
      <c r="R351" s="15" t="inlineStr"/>
    </row>
    <row r="352" ht="75" customHeight="1">
      <c r="A352" s="14" t="inlineStr">
        <is>
          <t>TC-ADM3-351</t>
        </is>
      </c>
      <c r="B352" s="15" t="inlineStr">
        <is>
          <t>Admin Console (đợt 3: Phân tích, Hỗ trợ, Hệ thống)</t>
        </is>
      </c>
      <c r="C352" s="15" t="inlineStr">
        <is>
          <t>Hệ thống · Nhật ký hoạt động (UI)</t>
        </is>
      </c>
      <c r="D352" s="15" t="inlineStr">
        <is>
          <t>Lọc theo Quản trị viên, Nhóm hành động, Hành động và khoảng ngày; 'Xóa bộ lọc'</t>
        </is>
      </c>
      <c r="E352" s="15" t="inlineStr">
        <is>
          <t>Chức năng</t>
        </is>
      </c>
      <c r="F352" s="16" t="inlineStr">
        <is>
          <t>Cao</t>
        </is>
      </c>
      <c r="G352" s="17" t="inlineStr">
        <is>
          <t>Đã hoàn thiện</t>
        </is>
      </c>
      <c r="H352" s="17" t="inlineStr">
        <is>
          <t>Có</t>
        </is>
      </c>
      <c r="I35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2" s="15" t="inlineStr">
        <is>
          <t>1. Lọc 'Quản trị viên' = Ryan Cho
2. Xóa, lọc 'Nhóm hành động' = 'Hỗ trợ'
3. Xóa, lọc 'Hành động' = một mã cụ thể
4. Chọn Từ ngày/Đến ngày ôm 1 ngày có dữ liệu
5. Bấm 'Xóa bộ lọc'</t>
        </is>
      </c>
      <c r="K352" s="15" t="inlineStr">
        <is>
          <t>-</t>
        </is>
      </c>
      <c r="L352"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352" s="15" t="inlineStr"/>
      <c r="N352" s="18" t="inlineStr">
        <is>
          <t>Chưa test</t>
        </is>
      </c>
      <c r="O352" s="15" t="inlineStr"/>
      <c r="P352" s="15" t="inlineStr"/>
      <c r="Q352" s="18" t="inlineStr">
        <is>
          <t>Chưa test</t>
        </is>
      </c>
      <c r="R352" s="15" t="inlineStr"/>
    </row>
    <row r="353" ht="60" customHeight="1">
      <c r="A353" s="14" t="inlineStr">
        <is>
          <t>TC-ADM3-352</t>
        </is>
      </c>
      <c r="B353" s="15" t="inlineStr">
        <is>
          <t>Admin Console (đợt 3: Phân tích, Hỗ trợ, Hệ thống)</t>
        </is>
      </c>
      <c r="C353" s="15" t="inlineStr">
        <is>
          <t>Hệ thống · Nhật ký hoạt động (UI)</t>
        </is>
      </c>
      <c r="D353" s="15" t="inlineStr">
        <is>
          <t>Tìm kiếm audit theo tên admin, hành động, đối tượng, lý do, mã vụ việc</t>
        </is>
      </c>
      <c r="E353" s="15" t="inlineStr">
        <is>
          <t>Chức năng</t>
        </is>
      </c>
      <c r="F353" s="20" t="inlineStr">
        <is>
          <t>Trung bình</t>
        </is>
      </c>
      <c r="G353" s="17" t="inlineStr">
        <is>
          <t>Đã hoàn thiện</t>
        </is>
      </c>
      <c r="H353" s="17" t="inlineStr">
        <is>
          <t>Có</t>
        </is>
      </c>
      <c r="I35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3" s="15" t="inlineStr">
        <is>
          <t>1. Gõ 'Grace'
2. Gõ 'refund'
3. Gõ 'Repeated spam'
4. Gõ 'Account locked'</t>
        </is>
      </c>
      <c r="K353" s="15" t="inlineStr">
        <is>
          <t>-</t>
        </is>
      </c>
      <c r="L353" s="15" t="inlineStr">
        <is>
          <t>'Grace': dòng refund.approve của Grace Lee; 'refund': các mã chứa refund; 'Repeated spam': dòng user.warn của Moderator Test; 'Account locked': dòng ticket T-2004 (theo nhãn đối tượng). Không phân biệt hoa/thường.</t>
        </is>
      </c>
      <c r="M353" s="15" t="inlineStr"/>
      <c r="N353" s="18" t="inlineStr">
        <is>
          <t>Chưa test</t>
        </is>
      </c>
      <c r="O353" s="15" t="inlineStr"/>
      <c r="P353" s="15" t="inlineStr"/>
      <c r="Q353" s="18" t="inlineStr">
        <is>
          <t>Chưa test</t>
        </is>
      </c>
      <c r="R353" s="15" t="inlineStr"/>
    </row>
    <row r="354" ht="30" customHeight="1">
      <c r="A354" s="14" t="inlineStr">
        <is>
          <t>TC-ADM3-353</t>
        </is>
      </c>
      <c r="B354" s="15" t="inlineStr">
        <is>
          <t>Admin Console (đợt 3: Phân tích, Hỗ trợ, Hệ thống)</t>
        </is>
      </c>
      <c r="C354" s="15" t="inlineStr">
        <is>
          <t>Hệ thống · Nhật ký hoạt động (UI)</t>
        </is>
      </c>
      <c r="D354" s="15" t="inlineStr">
        <is>
          <t>Chi tiết dòng audit: Quản trị viên (email · vai trò), Hành động mã, Đối tượng, IP, lý do, dữ liệu kèm theo</t>
        </is>
      </c>
      <c r="E354" s="15" t="inlineStr">
        <is>
          <t>Giao diện</t>
        </is>
      </c>
      <c r="F354" s="20" t="inlineStr">
        <is>
          <t>Trung bình</t>
        </is>
      </c>
      <c r="G354" s="17" t="inlineStr">
        <is>
          <t>Đã hoàn thiện</t>
        </is>
      </c>
      <c r="H354" s="17" t="inlineStr">
        <is>
          <t>Có</t>
        </is>
      </c>
      <c r="I3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4" s="15" t="inlineStr">
        <is>
          <t>1. Bấm dòng 'support.ticket.escalate' của Ryan Cho
2. Đọc các cặp khóa-giá trị và khối 'Dữ liệu kèm theo'</t>
        </is>
      </c>
      <c r="K354" s="15" t="inlineStr">
        <is>
          <t>support.ticket.escalate</t>
        </is>
      </c>
      <c r="L354"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354" s="15" t="inlineStr"/>
      <c r="N354" s="18" t="inlineStr">
        <is>
          <t>Chưa test</t>
        </is>
      </c>
      <c r="O354" s="15" t="inlineStr"/>
      <c r="P354" s="15" t="inlineStr"/>
      <c r="Q354" s="18" t="inlineStr">
        <is>
          <t>Chưa test</t>
        </is>
      </c>
      <c r="R354" s="15" t="inlineStr"/>
    </row>
    <row r="355" ht="30" customHeight="1">
      <c r="A355" s="14" t="inlineStr">
        <is>
          <t>TC-ADM3-354</t>
        </is>
      </c>
      <c r="B355" s="15" t="inlineStr">
        <is>
          <t>Admin Console (đợt 3: Phân tích, Hỗ trợ, Hệ thống)</t>
        </is>
      </c>
      <c r="C355" s="15" t="inlineStr">
        <is>
          <t>Hệ thống · Nhật ký hoạt động (UI)</t>
        </is>
      </c>
      <c r="D355" s="15" t="inlineStr">
        <is>
          <t>Nhãn hành động tiếng Việt: một số mã hiện nguyên mã (support.ticket.*, discovery.search_visibility, notification.settings_update, audit.export, flag.disable)</t>
        </is>
      </c>
      <c r="E355" s="15" t="inlineStr">
        <is>
          <t>Giao diện</t>
        </is>
      </c>
      <c r="F355" s="17" t="inlineStr">
        <is>
          <t>Thấp</t>
        </is>
      </c>
      <c r="G355" s="20" t="inlineStr">
        <is>
          <t>Kế hoạch</t>
        </is>
      </c>
      <c r="H355" s="20" t="inlineStr">
        <is>
          <t>Một phần</t>
        </is>
      </c>
      <c r="I3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355" s="15" t="inlineStr">
        <is>
          <t>1. Tạo vài hành động (trả lời ticket, tắt cờ, lưu cấu hình thông báo, xuất CSV)
2. Mở bảng audit và đọc cột 'Hành động'</t>
        </is>
      </c>
      <c r="K355" s="15" t="inlineStr">
        <is>
          <t>-</t>
        </is>
      </c>
      <c r="L355"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355" s="15" t="inlineStr"/>
      <c r="N355" s="18" t="inlineStr">
        <is>
          <t>Chưa test</t>
        </is>
      </c>
      <c r="O355" s="15" t="inlineStr"/>
      <c r="P355" s="15" t="inlineStr"/>
      <c r="Q355" s="18" t="inlineStr">
        <is>
          <t>Chưa test</t>
        </is>
      </c>
      <c r="R355" s="15" t="inlineStr"/>
    </row>
    <row r="356" ht="45" customHeight="1">
      <c r="A356" s="14" t="inlineStr">
        <is>
          <t>TC-ADM3-355</t>
        </is>
      </c>
      <c r="B356" s="15" t="inlineStr">
        <is>
          <t>Admin Console (đợt 3: Phân tích, Hỗ trợ, Hệ thống)</t>
        </is>
      </c>
      <c r="C356" s="15" t="inlineStr">
        <is>
          <t>Hệ thống · Nhật ký hoạt động (UI)</t>
        </is>
      </c>
      <c r="D356" s="15" t="inlineStr">
        <is>
          <t>Bộ lọc 'Nhóm hành động' = 'Hệ thống' không trả dòng nào vì không có mã nào bắt đầu bằng 'system.'</t>
        </is>
      </c>
      <c r="E356" s="15" t="inlineStr">
        <is>
          <t>Chức năng</t>
        </is>
      </c>
      <c r="F356" s="20" t="inlineStr">
        <is>
          <t>Trung bình</t>
        </is>
      </c>
      <c r="G356" s="20" t="inlineStr">
        <is>
          <t>Kế hoạch</t>
        </is>
      </c>
      <c r="H356" s="20" t="inlineStr">
        <is>
          <t>Một phần</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356" s="15" t="inlineStr">
        <is>
          <t>1. Tạo vài thao tác hệ thống (tắt cờ, đổi cài đặt chung, gỡ quyền nhân viên)
2. Lọc 'Nhóm hành động' = 'Hệ thống'
3. Lọc 'Nội dung' và 'Thanh toán'</t>
        </is>
      </c>
      <c r="K356" s="15" t="inlineStr">
        <is>
          <t>system. / content. / payment.</t>
        </is>
      </c>
      <c r="L356"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356" s="15" t="inlineStr"/>
      <c r="N356" s="18" t="inlineStr">
        <is>
          <t>Chưa test</t>
        </is>
      </c>
      <c r="O356" s="15" t="inlineStr"/>
      <c r="P356" s="15" t="inlineStr"/>
      <c r="Q356" s="18" t="inlineStr">
        <is>
          <t>Chưa test</t>
        </is>
      </c>
      <c r="R356" s="15" t="inlineStr"/>
    </row>
    <row r="357" ht="45" customHeight="1">
      <c r="A357" s="14" t="inlineStr">
        <is>
          <t>TC-ADM3-356</t>
        </is>
      </c>
      <c r="B357" s="15" t="inlineStr">
        <is>
          <t>Admin Console (đợt 3: Phân tích, Hỗ trợ, Hệ thống)</t>
        </is>
      </c>
      <c r="C357" s="15" t="inlineStr">
        <is>
          <t>Hệ thống · Nhật ký hoạt động (UI)</t>
        </is>
      </c>
      <c r="D357" s="15" t="inlineStr">
        <is>
          <t>Xuất CSV từ giao diện: tải file theo bộ lọc hiện tại, toast, tối đa 5.000 dòng</t>
        </is>
      </c>
      <c r="E357" s="15" t="inlineStr">
        <is>
          <t>Chức năng</t>
        </is>
      </c>
      <c r="F357" s="16" t="inlineStr">
        <is>
          <t>Cao</t>
        </is>
      </c>
      <c r="G357" s="17" t="inlineStr">
        <is>
          <t>Đã hoàn thiện</t>
        </is>
      </c>
      <c r="H357" s="20" t="inlineStr">
        <is>
          <t>Một phần</t>
        </is>
      </c>
      <c r="I3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357" s="15" t="inlineStr">
        <is>
          <t>1. Lọc 'Quản trị viên' = Ryan Cho
2. Bấm 'Xuất CSV'
3. Mở file tải về trong Excel/Notepad</t>
        </is>
      </c>
      <c r="K357" s="15" t="inlineStr">
        <is>
          <t>-</t>
        </is>
      </c>
      <c r="L357" s="15" t="inlineStr">
        <is>
          <t>Nút đổi 'Đang xuất…' rồi toast 'Đã xuất nhật ký (tối đa 5.000 dòng)'; file 'nhat-ky-hoat-dong-YYYY-MM-DD.csv' chỉ chứa dòng của Ryan (cùng bộ lọc); tiếng Việt không vỡ phông (có BOM UTF-8); tạo thêm 1 dòng audit 'audit.export'.</t>
        </is>
      </c>
      <c r="M357" s="15" t="inlineStr"/>
      <c r="N357" s="18" t="inlineStr">
        <is>
          <t>Chưa test</t>
        </is>
      </c>
      <c r="O357" s="15" t="inlineStr"/>
      <c r="P357" s="15" t="inlineStr"/>
      <c r="Q357" s="18" t="inlineStr">
        <is>
          <t>Chưa test</t>
        </is>
      </c>
      <c r="R357" s="15" t="inlineStr"/>
    </row>
    <row r="358" ht="120" customHeight="1">
      <c r="A358" s="14" t="inlineStr">
        <is>
          <t>TC-ADM3-357</t>
        </is>
      </c>
      <c r="B358" s="15" t="inlineStr">
        <is>
          <t>Admin Console (đợt 3: Phân tích, Hỗ trợ, Hệ thống)</t>
        </is>
      </c>
      <c r="C358" s="15" t="inlineStr">
        <is>
          <t>Hệ thống · Nhật ký hoạt động (API)</t>
        </is>
      </c>
      <c r="D358" s="15" t="inlineStr">
        <is>
          <t>GET /admin/audit-logs có ip + actor.role; lọc actor/action (tiền tố khi kết thúc bằng '.')/targetType/targetId/q/from/to</t>
        </is>
      </c>
      <c r="E358" s="15" t="inlineStr">
        <is>
          <t>Chức năng</t>
        </is>
      </c>
      <c r="F358" s="16" t="inlineStr">
        <is>
          <t>Cao</t>
        </is>
      </c>
      <c r="G358" s="17" t="inlineStr">
        <is>
          <t>Đã hoàn thiện</t>
        </is>
      </c>
      <c r="H358" s="17" t="inlineStr">
        <is>
          <t>Có</t>
        </is>
      </c>
      <c r="I3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8" s="15" t="inlineStr">
        <is>
          <t>1. GET /admin/audit-logs?limit=5
2. GET ?actor=&lt;id Ryan&gt;
3. GET ?action=support.ticket.reply
4. GET ?action=support.
5. GET ?targetType=ticket
6. GET ?q=Repeated
7. GET ?from=2020-01-01T00:00:00Z&amp;to=2020-01-02T00:00:00Z
8. GET ?from=khong-phai-ngay</t>
        </is>
      </c>
      <c r="K358" s="15" t="inlineStr">
        <is>
          <t>-</t>
        </is>
      </c>
      <c r="L358" s="15" t="inlineStr">
        <is>
          <t>Mỗi item có ip (string|null) và actor.role ({key,name}|null: Ryan -&gt; support, Grace -&gt; finance, admin env -&gt; super_admin); lọc action chính xác hoặc tiền tố khi giá trị kết thúc bằng '.'; khoảng 2020 rỗng; from sai định dạng -&gt; 400.</t>
        </is>
      </c>
      <c r="M358" s="15" t="inlineStr"/>
      <c r="N358" s="18" t="inlineStr">
        <is>
          <t>Chưa test</t>
        </is>
      </c>
      <c r="O358" s="15" t="inlineStr"/>
      <c r="P358" s="15" t="inlineStr"/>
      <c r="Q358" s="18" t="inlineStr">
        <is>
          <t>Chưa test</t>
        </is>
      </c>
      <c r="R358" s="15" t="inlineStr"/>
    </row>
    <row r="359" ht="30" customHeight="1">
      <c r="A359" s="14" t="inlineStr">
        <is>
          <t>TC-ADM3-358</t>
        </is>
      </c>
      <c r="B359" s="15" t="inlineStr">
        <is>
          <t>Admin Console (đợt 3: Phân tích, Hỗ trợ, Hệ thống)</t>
        </is>
      </c>
      <c r="C359" s="15" t="inlineStr">
        <is>
          <t>Hệ thống · Nhật ký hoạt động (API)</t>
        </is>
      </c>
      <c r="D359" s="15" t="inlineStr">
        <is>
          <t>GET /admin/audit-logs/filters trả actors, actions, targetTypes cho dropdown</t>
        </is>
      </c>
      <c r="E359" s="15" t="inlineStr">
        <is>
          <t>Chức năng</t>
        </is>
      </c>
      <c r="F359" s="20" t="inlineStr">
        <is>
          <t>Trung bình</t>
        </is>
      </c>
      <c r="G359" s="17" t="inlineStr">
        <is>
          <t>Đã hoàn thiện</t>
        </is>
      </c>
      <c r="H359" s="17" t="inlineStr">
        <is>
          <t>Có</t>
        </is>
      </c>
      <c r="I3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9" s="15" t="inlineStr">
        <is>
          <t>1. GET /admin/audit-logs/filters</t>
        </is>
      </c>
      <c r="K359" s="15" t="inlineStr">
        <is>
          <t>-</t>
        </is>
      </c>
      <c r="L359" s="15" t="inlineStr">
        <is>
          <t>{data:{actors:[{id,name}...] sắp theo tên (gồm Ryan Cho, Grace Lee, Moderator Test, Tom Baker, Platform Admin...), actions:[mã không trùng, sắp A-Z], targetTypes:[...]}}.</t>
        </is>
      </c>
      <c r="M359" s="15" t="inlineStr"/>
      <c r="N359" s="18" t="inlineStr">
        <is>
          <t>Chưa test</t>
        </is>
      </c>
      <c r="O359" s="15" t="inlineStr"/>
      <c r="P359" s="15" t="inlineStr"/>
      <c r="Q359" s="18" t="inlineStr">
        <is>
          <t>Chưa test</t>
        </is>
      </c>
      <c r="R359" s="15" t="inlineStr"/>
    </row>
    <row r="360" ht="60" customHeight="1">
      <c r="A360" s="14" t="inlineStr">
        <is>
          <t>TC-ADM3-359</t>
        </is>
      </c>
      <c r="B360" s="15" t="inlineStr">
        <is>
          <t>Admin Console (đợt 3: Phân tích, Hỗ trợ, Hệ thống)</t>
        </is>
      </c>
      <c r="C360" s="15" t="inlineStr">
        <is>
          <t>Hệ thống · Nhật ký hoạt động (API)</t>
        </is>
      </c>
      <c r="D360" s="15" t="inlineStr">
        <is>
          <t>GET /admin/audit-logs/export trả CSV UTF-8 có BOM, đúng cột, CRLF, Content-Disposition attachment</t>
        </is>
      </c>
      <c r="E360" s="15" t="inlineStr">
        <is>
          <t>Chức năng</t>
        </is>
      </c>
      <c r="F360" s="16" t="inlineStr">
        <is>
          <t>Cao</t>
        </is>
      </c>
      <c r="G360" s="17" t="inlineStr">
        <is>
          <t>Đã hoàn thiện</t>
        </is>
      </c>
      <c r="H360" s="17" t="inlineStr">
        <is>
          <t>Có</t>
        </is>
      </c>
      <c r="I3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60" s="15" t="inlineStr">
        <is>
          <t>1. GET /admin/audit-logs/export?actor=&lt;id Ryan&gt;
2. Đọc header Content-Type và Content-Disposition
3. Đọc byte đầu của body
4. Đếm dòng so với danh sách</t>
        </is>
      </c>
      <c r="K360" s="15" t="inlineStr">
        <is>
          <t>-</t>
        </is>
      </c>
      <c r="L360"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60" s="15" t="inlineStr"/>
      <c r="N360" s="18" t="inlineStr">
        <is>
          <t>Chưa test</t>
        </is>
      </c>
      <c r="O360" s="15" t="inlineStr"/>
      <c r="P360" s="15" t="inlineStr"/>
      <c r="Q360" s="18" t="inlineStr">
        <is>
          <t>Chưa test</t>
        </is>
      </c>
      <c r="R360" s="15" t="inlineStr"/>
    </row>
    <row r="361" ht="45" customHeight="1">
      <c r="A361" s="14" t="inlineStr">
        <is>
          <t>TC-ADM3-360</t>
        </is>
      </c>
      <c r="B361" s="15" t="inlineStr">
        <is>
          <t>Admin Console (đợt 3: Phân tích, Hỗ trợ, Hệ thống)</t>
        </is>
      </c>
      <c r="C361" s="15" t="inlineStr">
        <is>
          <t>Hệ thống · Nhật ký hoạt động (API)</t>
        </is>
      </c>
      <c r="D361" s="15" t="inlineStr">
        <is>
          <t>CSV chống formula injection: ô bắt đầu bằng = + - @ tab CR được thêm dấu nháy đơn</t>
        </is>
      </c>
      <c r="E361" s="15" t="inlineStr">
        <is>
          <t>Bảo mật</t>
        </is>
      </c>
      <c r="F361" s="16" t="inlineStr">
        <is>
          <t>Cao</t>
        </is>
      </c>
      <c r="G361" s="17" t="inlineStr">
        <is>
          <t>Đã hoàn thiện</t>
        </is>
      </c>
      <c r="H361" s="20" t="inlineStr">
        <is>
          <t>Một phần</t>
        </is>
      </c>
      <c r="I3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61" s="15" t="inlineStr">
        <is>
          <t>1. Tạo audit có reason/targetLabel dạng '=HYPERLINK("http://x","a")', '+1+1', '-2', '@SUM(A1)' (vd bằng PATCH ticket subject '=cmd|...' rồi hành động có targetLabel)
2. GET /admin/audit-logs/export
3. Mở file bằng Excel</t>
        </is>
      </c>
      <c r="K361" s="15">
        <f>HYPERLINK(...)</f>
        <v/>
      </c>
      <c r="L361" s="15" t="inlineStr">
        <is>
          <t>Các ô độc hại xuất hiện dạng '=HYPERLINK(...) (có ký tự ' đứng trước) nên Excel hiển thị như văn bản, không thực thi công thức; giá trị hợp lệ khác không bị đổi.</t>
        </is>
      </c>
      <c r="M361" s="15" t="inlineStr"/>
      <c r="N361" s="18" t="inlineStr">
        <is>
          <t>Chưa test</t>
        </is>
      </c>
      <c r="O361" s="15" t="inlineStr"/>
      <c r="P361" s="15" t="inlineStr"/>
      <c r="Q361" s="18" t="inlineStr">
        <is>
          <t>Chưa test</t>
        </is>
      </c>
      <c r="R361" s="15" t="inlineStr"/>
    </row>
    <row r="362" ht="45" customHeight="1">
      <c r="A362" s="14" t="inlineStr">
        <is>
          <t>TC-ADM3-361</t>
        </is>
      </c>
      <c r="B362" s="15" t="inlineStr">
        <is>
          <t>Admin Console (đợt 3: Phân tích, Hỗ trợ, Hệ thống)</t>
        </is>
      </c>
      <c r="C362" s="15" t="inlineStr">
        <is>
          <t>Hệ thống · Nhật ký hoạt động (API)</t>
        </is>
      </c>
      <c r="D362" s="15" t="inlineStr">
        <is>
          <t>Xuất CSV cũng được ghi audit (audit.export) và cần quyền audit.view</t>
        </is>
      </c>
      <c r="E362" s="15" t="inlineStr">
        <is>
          <t>Bảo mật</t>
        </is>
      </c>
      <c r="F362" s="20" t="inlineStr">
        <is>
          <t>Trung bình</t>
        </is>
      </c>
      <c r="G362" s="17" t="inlineStr">
        <is>
          <t>Đã hoàn thiện</t>
        </is>
      </c>
      <c r="H362" s="17" t="inlineStr">
        <is>
          <t>Có</t>
        </is>
      </c>
      <c r="I3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2" s="15" t="inlineStr">
        <is>
          <t>1. GET /admin/audit-logs/export bằng admin@
2. GET /admin/audit-logs?action=audit.export
3. GET /admin/audit-logs/export bằng moderator@/support@/finance@</t>
        </is>
      </c>
      <c r="K362" s="15" t="inlineStr">
        <is>
          <t>-</t>
        </is>
      </c>
      <c r="L362" s="15" t="inlineStr">
        <is>
          <t>Admin: 200 và có dòng audit.export (targetType 'audit', targetLabel 'Audit log CSV'); 3 vai trò khác: 403 'không có quyền "audit.view"'.</t>
        </is>
      </c>
      <c r="M362" s="15" t="inlineStr"/>
      <c r="N362" s="18" t="inlineStr">
        <is>
          <t>Chưa test</t>
        </is>
      </c>
      <c r="O362" s="15" t="inlineStr"/>
      <c r="P362" s="15" t="inlineStr"/>
      <c r="Q362" s="18" t="inlineStr">
        <is>
          <t>Chưa test</t>
        </is>
      </c>
      <c r="R362" s="15" t="inlineStr"/>
    </row>
    <row r="363" ht="60" customHeight="1">
      <c r="A363" s="14" t="inlineStr">
        <is>
          <t>TC-ADM3-362</t>
        </is>
      </c>
      <c r="B363" s="15" t="inlineStr">
        <is>
          <t>Admin Console (đợt 3: Phân tích, Hỗ trợ, Hệ thống)</t>
        </is>
      </c>
      <c r="C363" s="15" t="inlineStr">
        <is>
          <t>Hệ thống · Nhật ký hoạt động (API)</t>
        </is>
      </c>
      <c r="D363" s="15" t="inlineStr">
        <is>
          <t>Quyền audit.view: chỉ Super Admin mặc định xem Nhật ký; bật cho Moderator thì xem được</t>
        </is>
      </c>
      <c r="E363" s="15" t="inlineStr">
        <is>
          <t>Bảo mật</t>
        </is>
      </c>
      <c r="F363" s="16" t="inlineStr">
        <is>
          <t>Cao</t>
        </is>
      </c>
      <c r="G363" s="17" t="inlineStr">
        <is>
          <t>Đã hoàn thiện</t>
        </is>
      </c>
      <c r="H363" s="20" t="inlineStr">
        <is>
          <t>Một phần</t>
        </is>
      </c>
      <c r="I3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63" s="15" t="inlineStr">
        <is>
          <t>1. GET /admin/audit-logs bằng moderator@ -&gt; 403
2. Bật audit.view cho Moderator ở ma trận
3. GET lại; thấy sidebar mục 'Nhật ký hoạt động'
4. Tắt lại</t>
        </is>
      </c>
      <c r="K363" s="15" t="inlineStr">
        <is>
          <t>audit.view</t>
        </is>
      </c>
      <c r="L363" s="15" t="inlineStr">
        <is>
          <t>403 -&gt; sau khi bật: 200 và mục 'Nhật ký hoạt động' xuất hiện trong nhóm Hệ thống của Moderator; tắt lại: 403.</t>
        </is>
      </c>
      <c r="M363" s="15" t="inlineStr"/>
      <c r="N363" s="18" t="inlineStr">
        <is>
          <t>Chưa test</t>
        </is>
      </c>
      <c r="O363" s="15" t="inlineStr"/>
      <c r="P363" s="15" t="inlineStr"/>
      <c r="Q363" s="18" t="inlineStr">
        <is>
          <t>Chưa test</t>
        </is>
      </c>
      <c r="R363" s="15" t="inlineStr"/>
    </row>
    <row r="364" ht="30" customHeight="1">
      <c r="A364" s="14" t="inlineStr">
        <is>
          <t>TC-ADM3-363</t>
        </is>
      </c>
      <c r="B364" s="15" t="inlineStr">
        <is>
          <t>Admin Console (đợt 3: Phân tích, Hỗ trợ, Hệ thống)</t>
        </is>
      </c>
      <c r="C364" s="15" t="inlineStr">
        <is>
          <t>Hệ thống · Nhật ký hoạt động (API)</t>
        </is>
      </c>
      <c r="D364" s="15" t="inlineStr">
        <is>
          <t>Mọi thao tác ghi của đợt 3 đều tạo đúng 1 dòng audit với mã action tương ứng</t>
        </is>
      </c>
      <c r="E364" s="15" t="inlineStr">
        <is>
          <t>Chức năng</t>
        </is>
      </c>
      <c r="F364" s="16" t="inlineStr">
        <is>
          <t>Cao</t>
        </is>
      </c>
      <c r="G364" s="17" t="inlineStr">
        <is>
          <t>Đã hoàn thiện</t>
        </is>
      </c>
      <c r="H364" s="20" t="inlineStr">
        <is>
          <t>Một phần</t>
        </is>
      </c>
      <c r="I3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6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64" s="15" t="inlineStr">
        <is>
          <t>-</t>
        </is>
      </c>
      <c r="L36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64" s="15" t="inlineStr"/>
      <c r="N364" s="18" t="inlineStr">
        <is>
          <t>Chưa test</t>
        </is>
      </c>
      <c r="O364" s="15" t="inlineStr"/>
      <c r="P364" s="15" t="inlineStr"/>
      <c r="Q364" s="18" t="inlineStr">
        <is>
          <t>Chưa test</t>
        </is>
      </c>
      <c r="R364" s="15" t="inlineStr"/>
    </row>
    <row r="365" ht="30" customHeight="1">
      <c r="A365" s="14" t="inlineStr">
        <is>
          <t>TC-ADM3-364</t>
        </is>
      </c>
      <c r="B365" s="15" t="inlineStr">
        <is>
          <t>Admin Console (đợt 3: Phân tích, Hỗ trợ, Hệ thống)</t>
        </is>
      </c>
      <c r="C365" s="15" t="inlineStr">
        <is>
          <t>Hệ thống · Cài đặt chung (UI)</t>
        </is>
      </c>
      <c r="D365" s="15" t="inlineStr">
        <is>
          <t>Trang 'Cài đặt chung': 3 khối (Nền tảng, Bảo mật, Thanh toán) với giá trị mặc định và nhãn 'Chỉ lưu cấu hình'</t>
        </is>
      </c>
      <c r="E365" s="15" t="inlineStr">
        <is>
          <t>Giao diện</t>
        </is>
      </c>
      <c r="F365" s="16" t="inlineStr">
        <is>
          <t>Cao</t>
        </is>
      </c>
      <c r="G365" s="17" t="inlineStr">
        <is>
          <t>Đã hoàn thiện</t>
        </is>
      </c>
      <c r="H365" s="17" t="inlineStr">
        <is>
          <t>Có</t>
        </is>
      </c>
      <c r="I36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65" s="15" t="inlineStr">
        <is>
          <t>1. Mở /admin/system/settings
2. Đọc từng hàng và gợi ý bên dưới nhãn</t>
        </is>
      </c>
      <c r="K365" s="15" t="inlineStr">
        <is>
          <t>-</t>
        </is>
      </c>
      <c r="L36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65" s="15" t="inlineStr"/>
      <c r="N365" s="18" t="inlineStr">
        <is>
          <t>Chưa test</t>
        </is>
      </c>
      <c r="O365" s="15" t="inlineStr"/>
      <c r="P365" s="15" t="inlineStr"/>
      <c r="Q365" s="18" t="inlineStr">
        <is>
          <t>Chưa test</t>
        </is>
      </c>
      <c r="R365" s="15" t="inlineStr"/>
    </row>
    <row r="366" ht="90" customHeight="1">
      <c r="A366" s="14" t="inlineStr">
        <is>
          <t>TC-ADM3-365</t>
        </is>
      </c>
      <c r="B366" s="15" t="inlineStr">
        <is>
          <t>Admin Console (đợt 3: Phân tích, Hỗ trợ, Hệ thống)</t>
        </is>
      </c>
      <c r="C366" s="15" t="inlineStr">
        <is>
          <t>Hệ thống · Cài đặt chung (UI)</t>
        </is>
      </c>
      <c r="D366" s="15" t="inlineStr">
        <is>
          <t>Sửa số: chỉ gửi các trường đã đổi; 'Lưu thay đổi'/'Hoàn tác'; 'Cập nhật lần cuối'</t>
        </is>
      </c>
      <c r="E366" s="15" t="inlineStr">
        <is>
          <t>Chức năng</t>
        </is>
      </c>
      <c r="F366" s="16" t="inlineStr">
        <is>
          <t>Cao</t>
        </is>
      </c>
      <c r="G366" s="17" t="inlineStr">
        <is>
          <t>Đã hoàn thiện</t>
        </is>
      </c>
      <c r="H366" s="17" t="inlineStr">
        <is>
          <t>Có</t>
        </is>
      </c>
      <c r="I36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66" s="15" t="inlineStr">
        <is>
          <t>1. Đổi Hoa hồng nền tảng 10 -&gt; 12
2. Quan sát nút 'Hoàn tác' và 'Lưu thay đổi'
3. Bấm 'Hoàn tác'
4. Đổi lại 12 và bấm 'Lưu thay đổi'
5. Mở Network xem PATCH /api/admin/system/settings
6. F5</t>
        </is>
      </c>
      <c r="K366" s="15" t="inlineStr">
        <is>
          <t>commissionPct 12</t>
        </is>
      </c>
      <c r="L36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66" s="15" t="inlineStr"/>
      <c r="N366" s="18" t="inlineStr">
        <is>
          <t>Chưa test</t>
        </is>
      </c>
      <c r="O366" s="15" t="inlineStr"/>
      <c r="P366" s="15" t="inlineStr"/>
      <c r="Q366" s="18" t="inlineStr">
        <is>
          <t>Chưa test</t>
        </is>
      </c>
      <c r="R366" s="15" t="inlineStr"/>
    </row>
    <row r="367" ht="45" customHeight="1">
      <c r="A367" s="14" t="inlineStr">
        <is>
          <t>TC-ADM3-366</t>
        </is>
      </c>
      <c r="B367" s="15" t="inlineStr">
        <is>
          <t>Admin Console (đợt 3: Phân tích, Hỗ trợ, Hệ thống)</t>
        </is>
      </c>
      <c r="C367" s="15" t="inlineStr">
        <is>
          <t>Hệ thống · Cài đặt chung (UI)</t>
        </is>
      </c>
      <c r="D367" s="15" t="inlineStr">
        <is>
          <t>Kiểm tra khoảng giá trị ở giao diện trước khi lưu (7 trường số, tên, email)</t>
        </is>
      </c>
      <c r="E367" s="15" t="inlineStr">
        <is>
          <t>Chức năng</t>
        </is>
      </c>
      <c r="F367" s="16" t="inlineStr">
        <is>
          <t>Cao</t>
        </is>
      </c>
      <c r="G367" s="17" t="inlineStr">
        <is>
          <t>Đã hoàn thiện</t>
        </is>
      </c>
      <c r="H367" s="17" t="inlineStr">
        <is>
          <t>Có</t>
        </is>
      </c>
      <c r="I36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6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67" s="15" t="inlineStr">
        <is>
          <t>-</t>
        </is>
      </c>
      <c r="L36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67" s="15" t="inlineStr"/>
      <c r="N367" s="18" t="inlineStr">
        <is>
          <t>Chưa test</t>
        </is>
      </c>
      <c r="O367" s="15" t="inlineStr"/>
      <c r="P367" s="15" t="inlineStr"/>
      <c r="Q367" s="18" t="inlineStr">
        <is>
          <t>Chưa test</t>
        </is>
      </c>
      <c r="R367" s="15" t="inlineStr"/>
    </row>
    <row r="368" ht="45" customHeight="1">
      <c r="A368" s="14" t="inlineStr">
        <is>
          <t>TC-ADM3-367</t>
        </is>
      </c>
      <c r="B368" s="15" t="inlineStr">
        <is>
          <t>Admin Console (đợt 3: Phân tích, Hỗ trợ, Hệ thống)</t>
        </is>
      </c>
      <c r="C368" s="15" t="inlineStr">
        <is>
          <t>Hệ thống · Cài đặt chung (UI)</t>
        </is>
      </c>
      <c r="D368" s="15" t="inlineStr">
        <is>
          <t>Số ngày dùng thử = 0 và các khoảng FE khác BE: giao diện cho phép, API trả 400</t>
        </is>
      </c>
      <c r="E368" s="15" t="inlineStr">
        <is>
          <t>Chức năng</t>
        </is>
      </c>
      <c r="F368" s="20" t="inlineStr">
        <is>
          <t>Trung bình</t>
        </is>
      </c>
      <c r="G368" s="20" t="inlineStr">
        <is>
          <t>Kế hoạch</t>
        </is>
      </c>
      <c r="H368" s="20" t="inlineStr">
        <is>
          <t>Một phần</t>
        </is>
      </c>
      <c r="I36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68" s="15" t="inlineStr">
        <is>
          <t>1. Đặt 'Số ngày dùng thử' = 0 &gt; 'Lưu thay đổi'
2. Đặt 'Phí cổng cố định' = 12.5 &gt; Lưu
3. Đặt 'Chu kỳ gói đăng ký' = 366 &gt; Lưu</t>
        </is>
      </c>
      <c r="K368" s="15" t="inlineStr">
        <is>
          <t>trialDays 0, fixed 12.5, period 366</t>
        </is>
      </c>
      <c r="L36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68" s="15" t="inlineStr"/>
      <c r="N368" s="18" t="inlineStr">
        <is>
          <t>Chưa test</t>
        </is>
      </c>
      <c r="O368" s="15" t="inlineStr"/>
      <c r="P368" s="15" t="inlineStr"/>
      <c r="Q368" s="18" t="inlineStr">
        <is>
          <t>Chưa test</t>
        </is>
      </c>
      <c r="R368" s="15" t="inlineStr"/>
    </row>
    <row r="369" ht="45" customHeight="1">
      <c r="A369" s="14" t="inlineStr">
        <is>
          <t>TC-ADM3-368</t>
        </is>
      </c>
      <c r="B369" s="15" t="inlineStr">
        <is>
          <t>Admin Console (đợt 3: Phân tích, Hỗ trợ, Hệ thống)</t>
        </is>
      </c>
      <c r="C369" s="15" t="inlineStr">
        <is>
          <t>Hệ thống · Cài đặt chung (UI)</t>
        </is>
      </c>
      <c r="D369" s="15" t="inlineStr">
        <is>
          <t>Khôi phục từng giá trị về mặc định env bằng liên kết 'Mặc định: X · Khôi phục'</t>
        </is>
      </c>
      <c r="E369" s="15" t="inlineStr">
        <is>
          <t>Chức năng</t>
        </is>
      </c>
      <c r="F369" s="16" t="inlineStr">
        <is>
          <t>Cao</t>
        </is>
      </c>
      <c r="G369" s="17" t="inlineStr">
        <is>
          <t>Đã hoàn thiện</t>
        </is>
      </c>
      <c r="H369" s="17" t="inlineStr">
        <is>
          <t>Có</t>
        </is>
      </c>
      <c r="I36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69" s="15" t="inlineStr">
        <is>
          <t>1. Đặt Hoa hồng 15 và Mức rút tối thiểu 80 rồi Lưu
2. Bấm 'Mặc định: 10 · Khôi phục' ở hàng Hoa hồng
3. Đọc dialog &gt; 'Khôi phục'</t>
        </is>
      </c>
      <c r="K369" s="15" t="inlineStr">
        <is>
          <t>commissionPct</t>
        </is>
      </c>
      <c r="L36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69" s="15" t="inlineStr"/>
      <c r="N369" s="18" t="inlineStr">
        <is>
          <t>Chưa test</t>
        </is>
      </c>
      <c r="O369" s="15" t="inlineStr"/>
      <c r="P369" s="15" t="inlineStr"/>
      <c r="Q369" s="18" t="inlineStr">
        <is>
          <t>Chưa test</t>
        </is>
      </c>
      <c r="R369" s="15" t="inlineStr"/>
    </row>
    <row r="370" ht="30" customHeight="1">
      <c r="A370" s="14" t="inlineStr">
        <is>
          <t>TC-ADM3-369</t>
        </is>
      </c>
      <c r="B370" s="15" t="inlineStr">
        <is>
          <t>Admin Console (đợt 3: Phân tích, Hỗ trợ, Hệ thống)</t>
        </is>
      </c>
      <c r="C370" s="15" t="inlineStr">
        <is>
          <t>Hệ thống · Cài đặt chung (UI)</t>
        </is>
      </c>
      <c r="D370" s="15" t="inlineStr">
        <is>
          <t>'Khôi phục toàn bộ về mặc định' xóa mọi ghi đè</t>
        </is>
      </c>
      <c r="E370" s="15" t="inlineStr">
        <is>
          <t>Chức năng</t>
        </is>
      </c>
      <c r="F370" s="16" t="inlineStr">
        <is>
          <t>Cao</t>
        </is>
      </c>
      <c r="G370" s="17" t="inlineStr">
        <is>
          <t>Đã hoàn thiện</t>
        </is>
      </c>
      <c r="H370" s="17" t="inlineStr">
        <is>
          <t>Có</t>
        </is>
      </c>
      <c r="I3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70" s="15" t="inlineStr">
        <is>
          <t>1. Đổi 3 giá trị khác nhau (một ở mỗi khối) và Lưu
2. Bấm 'Khôi phục toàn bộ về mặc định' &gt; 'Khôi phục'</t>
        </is>
      </c>
      <c r="K370" s="15" t="inlineStr">
        <is>
          <t>-</t>
        </is>
      </c>
      <c r="L37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70" s="15" t="inlineStr"/>
      <c r="N370" s="18" t="inlineStr">
        <is>
          <t>Chưa test</t>
        </is>
      </c>
      <c r="O370" s="15" t="inlineStr"/>
      <c r="P370" s="15" t="inlineStr"/>
      <c r="Q370" s="18" t="inlineStr">
        <is>
          <t>Chưa test</t>
        </is>
      </c>
      <c r="R370" s="15" t="inlineStr"/>
    </row>
    <row r="371" ht="75" customHeight="1">
      <c r="A371" s="14" t="inlineStr">
        <is>
          <t>TC-ADM3-370</t>
        </is>
      </c>
      <c r="B371" s="15" t="inlineStr">
        <is>
          <t>Admin Console (đợt 3: Phân tích, Hỗ trợ, Hệ thống)</t>
        </is>
      </c>
      <c r="C371" s="15" t="inlineStr">
        <is>
          <t>Hệ thống · Cài đặt chung (UI)</t>
        </is>
      </c>
      <c r="D371" s="15" t="inlineStr">
        <is>
          <t>Bật chế độ bảo trì: dialog xác nhận, chỉ có hiệu lực sau khi bấm 'Lưu thay đổi'</t>
        </is>
      </c>
      <c r="E371" s="15" t="inlineStr">
        <is>
          <t>Chức năng</t>
        </is>
      </c>
      <c r="F371" s="16" t="inlineStr">
        <is>
          <t>Cao</t>
        </is>
      </c>
      <c r="G371" s="17" t="inlineStr">
        <is>
          <t>Đã hoàn thiện</t>
        </is>
      </c>
      <c r="H371" s="17" t="inlineStr">
        <is>
          <t>Có</t>
        </is>
      </c>
      <c r="I3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71" s="15" t="inlineStr">
        <is>
          <t>1. Bật công tắc 'Chế độ bảo trì'
2. Đọc dialog 'Bật chế độ bảo trì?' &gt; 'Bật khi lưu'
3. Kiểm tra GET /api/feature-flags (maintenance)
4. Bấm 'Lưu thay đổi'
5. Kiểm tra lại</t>
        </is>
      </c>
      <c r="K371" s="15" t="inlineStr">
        <is>
          <t>maintenanceMode</t>
        </is>
      </c>
      <c r="L37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71" s="15" t="inlineStr"/>
      <c r="N371" s="18" t="inlineStr">
        <is>
          <t>Chưa test</t>
        </is>
      </c>
      <c r="O371" s="15" t="inlineStr"/>
      <c r="P371" s="15" t="inlineStr"/>
      <c r="Q371" s="18" t="inlineStr">
        <is>
          <t>Chưa test</t>
        </is>
      </c>
      <c r="R371" s="15" t="inlineStr"/>
    </row>
    <row r="372" ht="60" customHeight="1">
      <c r="A372" s="14" t="inlineStr">
        <is>
          <t>TC-ADM3-371</t>
        </is>
      </c>
      <c r="B372" s="15" t="inlineStr">
        <is>
          <t>Admin Console (đợt 3: Phân tích, Hỗ trợ, Hệ thống)</t>
        </is>
      </c>
      <c r="C372" s="15" t="inlineStr">
        <is>
          <t>Hệ thống · Cài đặt chung (UI)</t>
        </is>
      </c>
      <c r="D372" s="15" t="inlineStr">
        <is>
          <t>Đổi Ngôn ngữ mặc định (Tiếng Anh/Tiếng Việt), Tiền tệ, Tự đăng xuất, Múi giờ: lưu được nhưng chỉ là cấu hình</t>
        </is>
      </c>
      <c r="E372" s="15" t="inlineStr">
        <is>
          <t>Chức năng</t>
        </is>
      </c>
      <c r="F372" s="20" t="inlineStr">
        <is>
          <t>Trung bình</t>
        </is>
      </c>
      <c r="G372" s="17" t="inlineStr">
        <is>
          <t>Đã hoàn thiện</t>
        </is>
      </c>
      <c r="H372" s="17" t="inlineStr">
        <is>
          <t>Có</t>
        </is>
      </c>
      <c r="I3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72" s="15" t="inlineStr">
        <is>
          <t>1. Đổi Ngôn ngữ mặc định sang Tiếng Anh, Tiền tệ sang VND, Tự đăng xuất 2 giờ, Múi giờ 'GMT+0', tắt 'Chi trả tự động'
2. Lưu
3. F5
4. GET /api/feature-flags</t>
        </is>
      </c>
      <c r="K372" s="15" t="inlineStr">
        <is>
          <t>-</t>
        </is>
      </c>
      <c r="L372" s="15" t="inlineStr">
        <is>
          <t>Lưu thành công và giữ sau F5; /api/feature-flags.platform.defaultLanguage='en'; Tiền tệ/Tự đăng xuất/Múi giờ/Chi trả tự động chỉ được lưu (xem case Kế hoạch: chưa có cơ chế thực thi).</t>
        </is>
      </c>
      <c r="M372" s="15" t="inlineStr"/>
      <c r="N372" s="18" t="inlineStr">
        <is>
          <t>Chưa test</t>
        </is>
      </c>
      <c r="O372" s="15" t="inlineStr"/>
      <c r="P372" s="15" t="inlineStr"/>
      <c r="Q372" s="18" t="inlineStr">
        <is>
          <t>Chưa test</t>
        </is>
      </c>
      <c r="R372" s="15" t="inlineStr"/>
    </row>
    <row r="373" ht="30" customHeight="1">
      <c r="A373" s="14" t="inlineStr">
        <is>
          <t>TC-ADM3-372</t>
        </is>
      </c>
      <c r="B373" s="15" t="inlineStr">
        <is>
          <t>Admin Console (đợt 3: Phân tích, Hỗ trợ, Hệ thống)</t>
        </is>
      </c>
      <c r="C373" s="15" t="inlineStr">
        <is>
          <t>Hệ thống · Cài đặt chung (UI)</t>
        </is>
      </c>
      <c r="D373" s="15" t="inlineStr">
        <is>
          <t>Trạng thái tải/lỗi của trang Cài đặt chung</t>
        </is>
      </c>
      <c r="E373" s="15" t="inlineStr">
        <is>
          <t>Giao diện</t>
        </is>
      </c>
      <c r="F373" s="17" t="inlineStr">
        <is>
          <t>Thấp</t>
        </is>
      </c>
      <c r="G373" s="17" t="inlineStr">
        <is>
          <t>Đã hoàn thiện</t>
        </is>
      </c>
      <c r="H373" s="20" t="inlineStr">
        <is>
          <t>Một phần</t>
        </is>
      </c>
      <c r="I3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73" s="15" t="inlineStr">
        <is>
          <t>1. Chặn GET /api/admin/system/settings rồi F5
2. Bỏ chặn bấm 'Thử lại'</t>
        </is>
      </c>
      <c r="K373" s="15" t="inlineStr">
        <is>
          <t>-</t>
        </is>
      </c>
      <c r="L373" s="15" t="inlineStr">
        <is>
          <t>'Đang tải…' -&gt; khối lỗi + 'Thử lại' -&gt; dữ liệu hiện bình thường.</t>
        </is>
      </c>
      <c r="M373" s="15" t="inlineStr"/>
      <c r="N373" s="18" t="inlineStr">
        <is>
          <t>Chưa test</t>
        </is>
      </c>
      <c r="O373" s="15" t="inlineStr"/>
      <c r="P373" s="15" t="inlineStr"/>
      <c r="Q373" s="18" t="inlineStr">
        <is>
          <t>Chưa test</t>
        </is>
      </c>
      <c r="R373" s="15" t="inlineStr"/>
    </row>
    <row r="374" ht="30" customHeight="1">
      <c r="A374" s="14" t="inlineStr">
        <is>
          <t>TC-ADM3-373</t>
        </is>
      </c>
      <c r="B374" s="15" t="inlineStr">
        <is>
          <t>Admin Console (đợt 3: Phân tích, Hỗ trợ, Hệ thống)</t>
        </is>
      </c>
      <c r="C374" s="15" t="inlineStr">
        <is>
          <t>Hệ thống · Cài đặt chung (API)</t>
        </is>
      </c>
      <c r="D374" s="15" t="inlineStr">
        <is>
          <t>GET /admin/system/settings: cấu trúc 3 nhóm, overrides, updatedAt; giá trị mặc định lấy từ env</t>
        </is>
      </c>
      <c r="E374" s="15" t="inlineStr">
        <is>
          <t>Chức năng</t>
        </is>
      </c>
      <c r="F374" s="16" t="inlineStr">
        <is>
          <t>Cao</t>
        </is>
      </c>
      <c r="G374" s="17" t="inlineStr">
        <is>
          <t>Đã hoàn thiện</t>
        </is>
      </c>
      <c r="H374" s="17" t="inlineStr">
        <is>
          <t>Có</t>
        </is>
      </c>
      <c r="I3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74" s="15" t="inlineStr">
        <is>
          <t>1. GET /system/settings trên DB sạch
2. So với env (PLATFORM_COMMISSION_PCT, GATEWAY_FEE_PCT, GATEWAY_FEE_FIXED_CENTS, REFUND_WINDOW_DAYS, PAYOUT_MIN_USD, TRIAL_DAYS, SUBSCRIPTION_PERIOD_DAYS, SUPPORT_EMAIL)</t>
        </is>
      </c>
      <c r="K374" s="15" t="inlineStr">
        <is>
          <t>-</t>
        </is>
      </c>
      <c r="L37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74" s="15" t="inlineStr"/>
      <c r="N374" s="18" t="inlineStr">
        <is>
          <t>Chưa test</t>
        </is>
      </c>
      <c r="O374" s="15" t="inlineStr"/>
      <c r="P374" s="15" t="inlineStr"/>
      <c r="Q374" s="18" t="inlineStr">
        <is>
          <t>Chưa test</t>
        </is>
      </c>
      <c r="R374" s="15" t="inlineStr"/>
    </row>
    <row r="375" ht="60" customHeight="1">
      <c r="A375" s="14" t="inlineStr">
        <is>
          <t>TC-ADM3-374</t>
        </is>
      </c>
      <c r="B375" s="15" t="inlineStr">
        <is>
          <t>Admin Console (đợt 3: Phân tích, Hỗ trợ, Hệ thống)</t>
        </is>
      </c>
      <c r="C375" s="15" t="inlineStr">
        <is>
          <t>Hệ thống · Cài đặt chung (API)</t>
        </is>
      </c>
      <c r="D375" s="15" t="inlineStr">
        <is>
          <t>PATCH /admin/system/settings: ghi đè từng phần có hiệu lực ngay, overrides/updatedAt, audit changes {from,to}</t>
        </is>
      </c>
      <c r="E375" s="15" t="inlineStr">
        <is>
          <t>Chức năng</t>
        </is>
      </c>
      <c r="F375" s="16" t="inlineStr">
        <is>
          <t>Cao</t>
        </is>
      </c>
      <c r="G375" s="17" t="inlineStr">
        <is>
          <t>Đã hoàn thiện</t>
        </is>
      </c>
      <c r="H375" s="17" t="inlineStr">
        <is>
          <t>Có</t>
        </is>
      </c>
      <c r="I3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75" s="15" t="inlineStr">
        <is>
          <t>1. PATCH {payments:{commissionPct:12}}
2. GET /system/settings
3. PATCH {platform:{name:'SofinHub QA'}, payments:{refundWindowDays:14}}
4. GET /admin/audit-logs?action=settings.update</t>
        </is>
      </c>
      <c r="K375" s="15" t="inlineStr">
        <is>
          <t>commissionPct 12</t>
        </is>
      </c>
      <c r="L375" s="15" t="inlineStr">
        <is>
          <t>Lần 1: 200 trả toàn bộ cấu hình mới, overrides {'payments.commissionPct':{default:10,overridden:true}}, updatedAt có giá trị; lần 3 thêm ghi đè; audit settings.update metadata.changes {'payments.commissionPct':{from:10,to:12}} (mỗi lần PATCH 1 dòng).</t>
        </is>
      </c>
      <c r="M375" s="15" t="inlineStr"/>
      <c r="N375" s="18" t="inlineStr">
        <is>
          <t>Chưa test</t>
        </is>
      </c>
      <c r="O375" s="15" t="inlineStr"/>
      <c r="P375" s="15" t="inlineStr"/>
      <c r="Q375" s="18" t="inlineStr">
        <is>
          <t>Chưa test</t>
        </is>
      </c>
      <c r="R375" s="15" t="inlineStr"/>
    </row>
    <row r="376" ht="225" customHeight="1">
      <c r="A376" s="14" t="inlineStr">
        <is>
          <t>TC-ADM3-375</t>
        </is>
      </c>
      <c r="B376" s="15" t="inlineStr">
        <is>
          <t>Admin Console (đợt 3: Phân tích, Hỗ trợ, Hệ thống)</t>
        </is>
      </c>
      <c r="C376" s="15" t="inlineStr">
        <is>
          <t>Hệ thống · Cài đặt chung (API)</t>
        </is>
      </c>
      <c r="D376" s="15" t="inlineStr">
        <is>
          <t>PATCH settings validate: ngoài khoảng, sai kiểu, khóa lạ, nhóm lạ, rỗng -&gt; 400</t>
        </is>
      </c>
      <c r="E376" s="15" t="inlineStr">
        <is>
          <t>Chức năng</t>
        </is>
      </c>
      <c r="F376" s="16" t="inlineStr">
        <is>
          <t>Cao</t>
        </is>
      </c>
      <c r="G376" s="17" t="inlineStr">
        <is>
          <t>Đã hoàn thiện</t>
        </is>
      </c>
      <c r="H376" s="17" t="inlineStr">
        <is>
          <t>Có</t>
        </is>
      </c>
      <c r="I37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7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76" s="15" t="inlineStr">
        <is>
          <t>-</t>
        </is>
      </c>
      <c r="L37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76" s="15" t="inlineStr"/>
      <c r="N376" s="18" t="inlineStr">
        <is>
          <t>Chưa test</t>
        </is>
      </c>
      <c r="O376" s="15" t="inlineStr"/>
      <c r="P376" s="15" t="inlineStr"/>
      <c r="Q376" s="18" t="inlineStr">
        <is>
          <t>Chưa test</t>
        </is>
      </c>
      <c r="R376" s="15" t="inlineStr"/>
    </row>
    <row r="377" ht="90" customHeight="1">
      <c r="A377" s="14" t="inlineStr">
        <is>
          <t>TC-ADM3-376</t>
        </is>
      </c>
      <c r="B377" s="15" t="inlineStr">
        <is>
          <t>Admin Console (đợt 3: Phân tích, Hỗ trợ, Hệ thống)</t>
        </is>
      </c>
      <c r="C377" s="15" t="inlineStr">
        <is>
          <t>Hệ thống · Cài đặt chung (API)</t>
        </is>
      </c>
      <c r="D377" s="15" t="inlineStr">
        <is>
          <t>POST /admin/system/settings/reset: theo khóa, toàn bộ (rỗng), khóa lạ 400</t>
        </is>
      </c>
      <c r="E377" s="15" t="inlineStr">
        <is>
          <t>Chức năng</t>
        </is>
      </c>
      <c r="F377" s="16" t="inlineStr">
        <is>
          <t>Cao</t>
        </is>
      </c>
      <c r="G377" s="17" t="inlineStr">
        <is>
          <t>Đã hoàn thiện</t>
        </is>
      </c>
      <c r="H377" s="17" t="inlineStr">
        <is>
          <t>Có</t>
        </is>
      </c>
      <c r="I37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77" s="15" t="inlineStr">
        <is>
          <t>1. Ghi đè commissionPct và refundWindowDays
2. POST reset {keys:['payments.commissionPct']}
3. GET xem overrides
4. POST reset {} (hoặc không body)
5. POST reset {keys:['payments.khong_co']}
6. POST reset {keys:['payments.commissionPct']} khi chưa ghi đè</t>
        </is>
      </c>
      <c r="K377" s="15" t="inlineStr">
        <is>
          <t>-</t>
        </is>
      </c>
      <c r="L37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77" s="15" t="inlineStr"/>
      <c r="N377" s="18" t="inlineStr">
        <is>
          <t>Chưa test</t>
        </is>
      </c>
      <c r="O377" s="15" t="inlineStr"/>
      <c r="P377" s="15" t="inlineStr"/>
      <c r="Q377" s="18" t="inlineStr">
        <is>
          <t>Chưa test</t>
        </is>
      </c>
      <c r="R377" s="15" t="inlineStr"/>
    </row>
    <row r="378" ht="45" customHeight="1">
      <c r="A378" s="14" t="inlineStr">
        <is>
          <t>TC-ADM3-377</t>
        </is>
      </c>
      <c r="B378" s="15" t="inlineStr">
        <is>
          <t>Admin Console (đợt 3: Phân tích, Hỗ trợ, Hệ thống)</t>
        </is>
      </c>
      <c r="C378" s="15" t="inlineStr">
        <is>
          <t>Hệ thống · Cài đặt chung (API)</t>
        </is>
      </c>
      <c r="D378" s="15" t="inlineStr">
        <is>
          <t>Cache cấu hình: ghi trong cùng tiến trình có hiệu lực ngay; nhiều instance lệch tối đa 10 giây</t>
        </is>
      </c>
      <c r="E378" s="15" t="inlineStr">
        <is>
          <t>Chức năng</t>
        </is>
      </c>
      <c r="F378" s="17" t="inlineStr">
        <is>
          <t>Thấp</t>
        </is>
      </c>
      <c r="G378" s="17" t="inlineStr">
        <is>
          <t>Đã hoàn thiện</t>
        </is>
      </c>
      <c r="H378" s="16" t="inlineStr">
        <is>
          <t>Không</t>
        </is>
      </c>
      <c r="I37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78" s="15" t="inlineStr">
        <is>
          <t>1. PATCH payments.commissionPct = 20
2. Ngay lập tức GET /api/courses/paid-demo/revenue bằng owner@ (cùng tiến trình)
3. (Nếu chạy 2 instance) gọi qua instance còn lại ngay và sau &gt;10 giây</t>
        </is>
      </c>
      <c r="K378" s="15" t="inlineStr">
        <is>
          <t>-</t>
        </is>
      </c>
      <c r="L378" s="15" t="inlineStr">
        <is>
          <t>Cùng tiến trình: đọc thấy 20 ngay; instance khác có thể còn giá trị cũ tối đa 10 giây (TTL) rồi cập nhật.</t>
        </is>
      </c>
      <c r="M378" s="15" t="inlineStr"/>
      <c r="N378" s="18" t="inlineStr">
        <is>
          <t>Chưa test</t>
        </is>
      </c>
      <c r="O378" s="15" t="inlineStr"/>
      <c r="P378" s="15" t="inlineStr"/>
      <c r="Q378" s="18" t="inlineStr">
        <is>
          <t>Chưa test</t>
        </is>
      </c>
      <c r="R378" s="15" t="inlineStr"/>
    </row>
    <row r="379" ht="30" customHeight="1">
      <c r="A379" s="14" t="inlineStr">
        <is>
          <t>TC-ADM3-378</t>
        </is>
      </c>
      <c r="B379" s="15" t="inlineStr">
        <is>
          <t>Admin Console (đợt 3: Phân tích, Hỗ trợ, Hệ thống)</t>
        </is>
      </c>
      <c r="C379" s="15" t="inlineStr">
        <is>
          <t>Hệ thống · Cài đặt chung (API)</t>
        </is>
      </c>
      <c r="D379" s="15" t="inlineStr">
        <is>
          <t>Quyền system.settings cho Cài đặt chung: Moderator/Support/Finance 403 (kể cả khi chỉ đọc)</t>
        </is>
      </c>
      <c r="E379" s="15" t="inlineStr">
        <is>
          <t>Bảo mật</t>
        </is>
      </c>
      <c r="F379" s="16" t="inlineStr">
        <is>
          <t>Cao</t>
        </is>
      </c>
      <c r="G379" s="17" t="inlineStr">
        <is>
          <t>Đã hoàn thiện</t>
        </is>
      </c>
      <c r="H379" s="17" t="inlineStr">
        <is>
          <t>Có</t>
        </is>
      </c>
      <c r="I37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9" s="15" t="inlineStr">
        <is>
          <t>1. GET /system/settings, PATCH /system/settings, POST /system/settings/reset bằng moderator@, support@, finance@</t>
        </is>
      </c>
      <c r="K379" s="15" t="inlineStr">
        <is>
          <t>-</t>
        </is>
      </c>
      <c r="L379" s="15" t="inlineStr">
        <is>
          <t>Cả 9 yêu cầu 403 'không có quyền "system.settings"'; Super Admin 200.</t>
        </is>
      </c>
      <c r="M379" s="15" t="inlineStr"/>
      <c r="N379" s="18" t="inlineStr">
        <is>
          <t>Chưa test</t>
        </is>
      </c>
      <c r="O379" s="15" t="inlineStr"/>
      <c r="P379" s="15" t="inlineStr"/>
      <c r="Q379" s="18" t="inlineStr">
        <is>
          <t>Chưa test</t>
        </is>
      </c>
      <c r="R379" s="15" t="inlineStr"/>
    </row>
    <row r="380" ht="30" customHeight="1">
      <c r="A380" s="14" t="inlineStr">
        <is>
          <t>TC-ADM3-379</t>
        </is>
      </c>
      <c r="B380" s="15" t="inlineStr">
        <is>
          <t>Admin Console (đợt 3: Phân tích, Hỗ trợ, Hệ thống)</t>
        </is>
      </c>
      <c r="C380" s="15" t="inlineStr">
        <is>
          <t>Hệ thống · Cài đặt chung (API)</t>
        </is>
      </c>
      <c r="D380" s="15" t="inlineStr">
        <is>
          <t>Hai admin sửa Cài đặt chung đồng thời: lần ghi sau thắng, không hỏng dữ liệu</t>
        </is>
      </c>
      <c r="E380" s="15" t="inlineStr">
        <is>
          <t>Chức năng</t>
        </is>
      </c>
      <c r="F380" s="17" t="inlineStr">
        <is>
          <t>Thấp</t>
        </is>
      </c>
      <c r="G380" s="17" t="inlineStr">
        <is>
          <t>Đã hoàn thiện</t>
        </is>
      </c>
      <c r="H380" s="16" t="inlineStr">
        <is>
          <t>Không</t>
        </is>
      </c>
      <c r="I38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80" s="15" t="inlineStr">
        <is>
          <t>1. Song song: PATCH commissionPct=11 và PATCH refundWindowDays=9
2. GET /system/settings</t>
        </is>
      </c>
      <c r="K380" s="15" t="inlineStr">
        <is>
          <t>-</t>
        </is>
      </c>
      <c r="L380" s="15" t="inlineStr">
        <is>
          <t>Kết quả: cả hai trường có thể mất một (PATCH đọc-ghi trọn bộ ghi đè) - ghi nhận hành vi: không có khóa lạc quan/ETag; cấu hình cuối luôn hợp lệ theo schema.</t>
        </is>
      </c>
      <c r="M380" s="15" t="inlineStr"/>
      <c r="N380" s="18" t="inlineStr">
        <is>
          <t>Chưa test</t>
        </is>
      </c>
      <c r="O380" s="15" t="inlineStr"/>
      <c r="P380" s="15" t="inlineStr"/>
      <c r="Q380" s="18" t="inlineStr">
        <is>
          <t>Chưa test</t>
        </is>
      </c>
      <c r="R380" s="15" t="inlineStr"/>
    </row>
    <row r="381" ht="75" customHeight="1">
      <c r="A381" s="14" t="inlineStr">
        <is>
          <t>TC-ADM3-380</t>
        </is>
      </c>
      <c r="B381" s="15" t="inlineStr">
        <is>
          <t>Admin Console (đợt 3: Phân tích, Hỗ trợ, Hệ thống)</t>
        </is>
      </c>
      <c r="C381" s="15" t="inlineStr">
        <is>
          <t>Hệ thống · Cài đặt chung: hiệu lực thật lên thanh toán</t>
        </is>
      </c>
      <c r="D381" s="15" t="inlineStr">
        <is>
          <t>Hoa hồng nền tảng đổi -&gt; doanh thu chủ cộng đồng và Doanh thu creator của admin đổi theo</t>
        </is>
      </c>
      <c r="E381" s="15" t="inlineStr">
        <is>
          <t>Chức năng</t>
        </is>
      </c>
      <c r="F381" s="16" t="inlineStr">
        <is>
          <t>Cao</t>
        </is>
      </c>
      <c r="G381" s="17" t="inlineStr">
        <is>
          <t>Đã hoàn thiện</t>
        </is>
      </c>
      <c r="H381" s="17" t="inlineStr">
        <is>
          <t>Có</t>
        </is>
      </c>
      <c r="I38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81" s="15" t="inlineStr">
        <is>
          <t>1. GET /api/courses/paid-demo/revenue bằng owner@ ghi assumptions.platformCommissionPct và platformCommissionCents
2. PATCH {payments:{commissionPct:20}}
3. GET revenue lại
4. GET /admin/payments/creators/&lt;id owner&gt;
5. reset commissionPct</t>
        </is>
      </c>
      <c r="K381" s="15" t="inlineStr">
        <is>
          <t>10 -&gt; 20</t>
        </is>
      </c>
      <c r="L381"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81" s="15" t="inlineStr"/>
      <c r="N381" s="18" t="inlineStr">
        <is>
          <t>Chưa test</t>
        </is>
      </c>
      <c r="O381" s="15" t="inlineStr"/>
      <c r="P381" s="15" t="inlineStr"/>
      <c r="Q381" s="18" t="inlineStr">
        <is>
          <t>Chưa test</t>
        </is>
      </c>
      <c r="R381" s="15" t="inlineStr"/>
    </row>
    <row r="382" ht="45" customHeight="1">
      <c r="A382" s="14" t="inlineStr">
        <is>
          <t>TC-ADM3-381</t>
        </is>
      </c>
      <c r="B382" s="15" t="inlineStr">
        <is>
          <t>Admin Console (đợt 3: Phân tích, Hỗ trợ, Hệ thống)</t>
        </is>
      </c>
      <c r="C382" s="15" t="inlineStr">
        <is>
          <t>Hệ thống · Cài đặt chung: hiệu lực thật lên thanh toán</t>
        </is>
      </c>
      <c r="D382" s="15" t="inlineStr">
        <is>
          <t>Phí cổng (% và cố định) đổi -&gt; assumptions và số ròng đổi</t>
        </is>
      </c>
      <c r="E382" s="15" t="inlineStr">
        <is>
          <t>Chức năng</t>
        </is>
      </c>
      <c r="F382" s="16" t="inlineStr">
        <is>
          <t>Cao</t>
        </is>
      </c>
      <c r="G382" s="17" t="inlineStr">
        <is>
          <t>Đã hoàn thiện</t>
        </is>
      </c>
      <c r="H382" s="20" t="inlineStr">
        <is>
          <t>Một phần</t>
        </is>
      </c>
      <c r="I38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82" s="15" t="inlineStr">
        <is>
          <t>1. GET revenue ghi gatewayFeePct=2.9, gatewayFeeFixedCents=30, gatewayFeeCents
2. PATCH {payments:{gatewayFeePct:5, gatewayFeeFixedCents:100}}
3. GET revenue lại</t>
        </is>
      </c>
      <c r="K382" s="15" t="inlineStr">
        <is>
          <t>5% + 100 cent</t>
        </is>
      </c>
      <c r="L382" s="15" t="inlineStr">
        <is>
          <t>assumptions.gatewayFeePct=5, gatewayFeeFixedCents=100; gatewayFeeCents tăng theo (5% × số tiền + 100 cent mỗi giao dịch); netCents giảm; reset trở lại.</t>
        </is>
      </c>
      <c r="M382" s="15" t="inlineStr"/>
      <c r="N382" s="18" t="inlineStr">
        <is>
          <t>Chưa test</t>
        </is>
      </c>
      <c r="O382" s="15" t="inlineStr"/>
      <c r="P382" s="15" t="inlineStr"/>
      <c r="Q382" s="18" t="inlineStr">
        <is>
          <t>Chưa test</t>
        </is>
      </c>
      <c r="R382" s="15" t="inlineStr"/>
    </row>
    <row r="383" ht="45" customHeight="1">
      <c r="A383" s="14" t="inlineStr">
        <is>
          <t>TC-ADM3-382</t>
        </is>
      </c>
      <c r="B383" s="15" t="inlineStr">
        <is>
          <t>Admin Console (đợt 3: Phân tích, Hỗ trợ, Hệ thống)</t>
        </is>
      </c>
      <c r="C383" s="15" t="inlineStr">
        <is>
          <t>Hệ thống · Cài đặt chung: hiệu lực thật lên thanh toán</t>
        </is>
      </c>
      <c r="D383" s="15" t="inlineStr">
        <is>
          <t>Thời hạn hoàn tiền = 0 ngày: yêu cầu hoàn tiền ngay sau khi mua KHÔNG còn tự duyệt</t>
        </is>
      </c>
      <c r="E383" s="15" t="inlineStr">
        <is>
          <t>Chức năng</t>
        </is>
      </c>
      <c r="F383" s="16" t="inlineStr">
        <is>
          <t>Cao</t>
        </is>
      </c>
      <c r="G383" s="17" t="inlineStr">
        <is>
          <t>Đã hoàn thiện</t>
        </is>
      </c>
      <c r="H383" s="20" t="inlineStr">
        <is>
          <t>Một phần</t>
        </is>
      </c>
      <c r="I3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83"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83" s="15" t="inlineStr">
        <is>
          <t>refundWindowDays 7 vs 0</t>
        </is>
      </c>
      <c r="L383"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83" s="15" t="inlineStr"/>
      <c r="N383" s="18" t="inlineStr">
        <is>
          <t>Chưa test</t>
        </is>
      </c>
      <c r="O383" s="15" t="inlineStr"/>
      <c r="P383" s="15" t="inlineStr"/>
      <c r="Q383" s="18" t="inlineStr">
        <is>
          <t>Chưa test</t>
        </is>
      </c>
      <c r="R383" s="15" t="inlineStr"/>
    </row>
    <row r="384" ht="60" customHeight="1">
      <c r="A384" s="14" t="inlineStr">
        <is>
          <t>TC-ADM3-383</t>
        </is>
      </c>
      <c r="B384" s="15" t="inlineStr">
        <is>
          <t>Admin Console (đợt 3: Phân tích, Hỗ trợ, Hệ thống)</t>
        </is>
      </c>
      <c r="C384" s="15" t="inlineStr">
        <is>
          <t>Hệ thống · Cài đặt chung: hiệu lực thật lên thanh toán</t>
        </is>
      </c>
      <c r="D384" s="15" t="inlineStr">
        <is>
          <t>Mức rút tối thiểu đổi -&gt; kiểm tra yêu cầu rút của chủ cộng đồng theo giá trị mới</t>
        </is>
      </c>
      <c r="E384" s="15" t="inlineStr">
        <is>
          <t>Chức năng</t>
        </is>
      </c>
      <c r="F384" s="16" t="inlineStr">
        <is>
          <t>Cao</t>
        </is>
      </c>
      <c r="G384" s="17" t="inlineStr">
        <is>
          <t>Đã hoàn thiện</t>
        </is>
      </c>
      <c r="H384" s="20" t="inlineStr">
        <is>
          <t>Một phần</t>
        </is>
      </c>
      <c r="I3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84" s="15" t="inlineStr">
        <is>
          <t>1. POST /api/courses/paid-demo/payouts {amountCents:3000, method:{type:'bank', bankName:'VCB', accountNumber:'123', accountHolder:'Olivia Owner'}} (mặc định $50)
2. Admin PATCH payoutMinUsd=20
3. Lặp lại yêu cầu
4. PATCH payoutMinUsd=1000 rồi POST amountCents:50000</t>
        </is>
      </c>
      <c r="K384" s="15" t="inlineStr">
        <is>
          <t>payoutMinUsd 50 -&gt; 20 -&gt; 1000</t>
        </is>
      </c>
      <c r="L384"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84" s="15" t="inlineStr"/>
      <c r="N384" s="18" t="inlineStr">
        <is>
          <t>Chưa test</t>
        </is>
      </c>
      <c r="O384" s="15" t="inlineStr"/>
      <c r="P384" s="15" t="inlineStr"/>
      <c r="Q384" s="18" t="inlineStr">
        <is>
          <t>Chưa test</t>
        </is>
      </c>
      <c r="R384" s="15" t="inlineStr"/>
    </row>
    <row r="385" ht="60" customHeight="1">
      <c r="A385" s="14" t="inlineStr">
        <is>
          <t>TC-ADM3-384</t>
        </is>
      </c>
      <c r="B385" s="15" t="inlineStr">
        <is>
          <t>Admin Console (đợt 3: Phân tích, Hỗ trợ, Hệ thống)</t>
        </is>
      </c>
      <c r="C385" s="15" t="inlineStr">
        <is>
          <t>Hệ thống · Cài đặt chung: hiệu lực thật lên thanh toán</t>
        </is>
      </c>
      <c r="D385" s="15" t="inlineStr">
        <is>
          <t>Số ngày dùng thử đổi -&gt; trialEndsAt của gói dùng thử mới</t>
        </is>
      </c>
      <c r="E385" s="15" t="inlineStr">
        <is>
          <t>Chức năng</t>
        </is>
      </c>
      <c r="F385" s="16" t="inlineStr">
        <is>
          <t>Cao</t>
        </is>
      </c>
      <c r="G385" s="17" t="inlineStr">
        <is>
          <t>Đã hoàn thiện</t>
        </is>
      </c>
      <c r="H385" s="20" t="inlineStr">
        <is>
          <t>Một phần</t>
        </is>
      </c>
      <c r="I3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85" s="15" t="inlineStr">
        <is>
          <t>1. Mặc định 7 ngày: POST /api/courses/paid-demo/trial -&gt; ghi trialEndsAt (≈ now + 7 ngày)
2. Sau db:reset: Admin PATCH trialDays=14
3. POST trial lại bằng newbie@
4. GET /api/courses/paid-demo/subscription</t>
        </is>
      </c>
      <c r="K385" s="15" t="inlineStr">
        <is>
          <t>trialDays 7 -&gt; 14</t>
        </is>
      </c>
      <c r="L385" s="15" t="inlineStr">
        <is>
          <t>trialEndsAt = thời điểm bắt đầu + 14 ngày (so với 7 ngày trước đó); gói dùng thử đã tạo trước đó KHÔNG đổi; Phân tích Chuyển đổi nhận bước 'Bắt đầu dùng thử'.</t>
        </is>
      </c>
      <c r="M385" s="15" t="inlineStr"/>
      <c r="N385" s="18" t="inlineStr">
        <is>
          <t>Chưa test</t>
        </is>
      </c>
      <c r="O385" s="15" t="inlineStr"/>
      <c r="P385" s="15" t="inlineStr"/>
      <c r="Q385" s="18" t="inlineStr">
        <is>
          <t>Chưa test</t>
        </is>
      </c>
      <c r="R385" s="15" t="inlineStr"/>
    </row>
    <row r="386" ht="45" customHeight="1">
      <c r="A386" s="14" t="inlineStr">
        <is>
          <t>TC-ADM3-385</t>
        </is>
      </c>
      <c r="B386" s="15" t="inlineStr">
        <is>
          <t>Admin Console (đợt 3: Phân tích, Hỗ trợ, Hệ thống)</t>
        </is>
      </c>
      <c r="C386" s="15" t="inlineStr">
        <is>
          <t>Hệ thống · Cài đặt chung: hiệu lực thật lên thanh toán</t>
        </is>
      </c>
      <c r="D386" s="15" t="inlineStr">
        <is>
          <t>Chu kỳ gói đăng ký đổi -&gt; currentPeriodEnd của gói mới/gia hạn</t>
        </is>
      </c>
      <c r="E386" s="15" t="inlineStr">
        <is>
          <t>Chức năng</t>
        </is>
      </c>
      <c r="F386" s="16" t="inlineStr">
        <is>
          <t>Cao</t>
        </is>
      </c>
      <c r="G386" s="17" t="inlineStr">
        <is>
          <t>Đã hoàn thiện</t>
        </is>
      </c>
      <c r="H386" s="20" t="inlineStr">
        <is>
          <t>Một phần</t>
        </is>
      </c>
      <c r="I3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86" s="15" t="inlineStr">
        <is>
          <t>1. Admin PATCH subscriptionPeriodDays=60
2. newbie@: checkout + confirm paid-demo
3. GET /api/courses/paid-demo/subscription</t>
        </is>
      </c>
      <c r="K386" s="15" t="inlineStr">
        <is>
          <t>subscriptionPeriodDays 60</t>
        </is>
      </c>
      <c r="L386" s="15" t="inlineStr">
        <is>
          <t>currentPeriodEnd = currentPeriodStart + 60 ngày (thay vì 30); gói đã có từ trước không bị đổi.</t>
        </is>
      </c>
      <c r="M386" s="15" t="inlineStr"/>
      <c r="N386" s="18" t="inlineStr">
        <is>
          <t>Chưa test</t>
        </is>
      </c>
      <c r="O386" s="15" t="inlineStr"/>
      <c r="P386" s="15" t="inlineStr"/>
      <c r="Q386" s="18" t="inlineStr">
        <is>
          <t>Chưa test</t>
        </is>
      </c>
      <c r="R386" s="15" t="inlineStr"/>
    </row>
    <row r="387" ht="150" customHeight="1">
      <c r="A387" s="14" t="inlineStr">
        <is>
          <t>TC-ADM3-386</t>
        </is>
      </c>
      <c r="B387" s="15" t="inlineStr">
        <is>
          <t>Admin Console (đợt 3: Phân tích, Hỗ trợ, Hệ thống)</t>
        </is>
      </c>
      <c r="C387" s="15" t="inlineStr">
        <is>
          <t>Hệ thống · Cài đặt chung: hiệu lực thật lên thanh toán</t>
        </is>
      </c>
      <c r="D387" s="15" t="inlineStr">
        <is>
          <t>Chế độ bảo trì: API công khai trả 503 MAINTENANCE, danh sách ngoại lệ vẫn hoạt động</t>
        </is>
      </c>
      <c r="E387" s="15" t="inlineStr">
        <is>
          <t>Chức năng</t>
        </is>
      </c>
      <c r="F387" s="16" t="inlineStr">
        <is>
          <t>Cao</t>
        </is>
      </c>
      <c r="G387" s="17" t="inlineStr">
        <is>
          <t>Đã hoàn thiện</t>
        </is>
      </c>
      <c r="H387" s="17" t="inlineStr">
        <is>
          <t>Có</t>
        </is>
      </c>
      <c r="I3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87"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87" s="15" t="inlineStr">
        <is>
          <t>maintenanceMode true/false</t>
        </is>
      </c>
      <c r="L387"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87" s="15" t="inlineStr"/>
      <c r="N387" s="18" t="inlineStr">
        <is>
          <t>Chưa test</t>
        </is>
      </c>
      <c r="O387" s="15" t="inlineStr"/>
      <c r="P387" s="15" t="inlineStr"/>
      <c r="Q387" s="18" t="inlineStr">
        <is>
          <t>Chưa test</t>
        </is>
      </c>
      <c r="R387" s="15" t="inlineStr"/>
    </row>
    <row r="388" ht="60" customHeight="1">
      <c r="A388" s="14" t="inlineStr">
        <is>
          <t>TC-ADM3-387</t>
        </is>
      </c>
      <c r="B388" s="15" t="inlineStr">
        <is>
          <t>Admin Console (đợt 3: Phân tích, Hỗ trợ, Hệ thống)</t>
        </is>
      </c>
      <c r="C388" s="15" t="inlineStr">
        <is>
          <t>Hệ thống · Cài đặt chung: hiệu lực thật lên thanh toán</t>
        </is>
      </c>
      <c r="D388" s="15" t="inlineStr">
        <is>
          <t>Bảo trì: admin vẫn đăng nhập và tắt được bảo trì từ giao diện; thành viên chưa có trang bảo trì riêng</t>
        </is>
      </c>
      <c r="E388" s="15" t="inlineStr">
        <is>
          <t>Chức năng</t>
        </is>
      </c>
      <c r="F388" s="16" t="inlineStr">
        <is>
          <t>Cao</t>
        </is>
      </c>
      <c r="G388" s="17" t="inlineStr">
        <is>
          <t>Đã hoàn thiện</t>
        </is>
      </c>
      <c r="H388" s="20" t="inlineStr">
        <is>
          <t>Một phần</t>
        </is>
      </c>
      <c r="I3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88" s="15" t="inlineStr">
        <is>
          <t>1. Bật bảo trì và Lưu
2. Cửa sổ ẩn danh: mở http://localhost:5173/ và /communities
3. Cửa sổ admin: tiếp tục dùng /admin, đăng xuất rồi đăng nhập lại admin@
4. Tắt bảo trì ở Cài đặt chung &gt; Lưu</t>
        </is>
      </c>
      <c r="K388" s="15" t="inlineStr">
        <is>
          <t>-</t>
        </is>
      </c>
      <c r="L388"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88" s="15" t="inlineStr"/>
      <c r="N388" s="18" t="inlineStr">
        <is>
          <t>Chưa test</t>
        </is>
      </c>
      <c r="O388" s="15" t="inlineStr"/>
      <c r="P388" s="15" t="inlineStr"/>
      <c r="Q388" s="18" t="inlineStr">
        <is>
          <t>Chưa test</t>
        </is>
      </c>
      <c r="R388" s="15" t="inlineStr"/>
    </row>
    <row r="389" ht="45" customHeight="1">
      <c r="A389" s="14" t="inlineStr">
        <is>
          <t>TC-ADM3-388</t>
        </is>
      </c>
      <c r="B389" s="15" t="inlineStr">
        <is>
          <t>Admin Console (đợt 3: Phân tích, Hỗ trợ, Hệ thống)</t>
        </is>
      </c>
      <c r="C389" s="15" t="inlineStr">
        <is>
          <t>Hệ thống · Cài đặt chung: hiệu lực thật lên thanh toán</t>
        </is>
      </c>
      <c r="D389" s="15" t="inlineStr">
        <is>
          <t>Bật bảo trì rồi reset toàn bộ cài đặt cũng tắt bảo trì</t>
        </is>
      </c>
      <c r="E389" s="15" t="inlineStr">
        <is>
          <t>Chức năng</t>
        </is>
      </c>
      <c r="F389" s="17" t="inlineStr">
        <is>
          <t>Thấp</t>
        </is>
      </c>
      <c r="G389" s="17" t="inlineStr">
        <is>
          <t>Đã hoàn thiện</t>
        </is>
      </c>
      <c r="H389" s="17" t="inlineStr">
        <is>
          <t>Có</t>
        </is>
      </c>
      <c r="I3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89" s="15" t="inlineStr">
        <is>
          <t>1. PATCH maintenanceMode:true
2. POST /system/settings/reset {}
3. GET /api/courses</t>
        </is>
      </c>
      <c r="K389" s="15" t="inlineStr">
        <is>
          <t>-</t>
        </is>
      </c>
      <c r="L389" s="15" t="inlineStr">
        <is>
          <t>Sau reset: maintenance=false, API công khai 200 trở lại.</t>
        </is>
      </c>
      <c r="M389" s="15" t="inlineStr"/>
      <c r="N389" s="18" t="inlineStr">
        <is>
          <t>Chưa test</t>
        </is>
      </c>
      <c r="O389" s="15" t="inlineStr"/>
      <c r="P389" s="15" t="inlineStr"/>
      <c r="Q389" s="18" t="inlineStr">
        <is>
          <t>Chưa test</t>
        </is>
      </c>
      <c r="R389" s="15" t="inlineStr"/>
    </row>
    <row r="390" ht="45" customHeight="1">
      <c r="A390" s="14" t="inlineStr">
        <is>
          <t>TC-ADM3-389</t>
        </is>
      </c>
      <c r="B390" s="15" t="inlineStr">
        <is>
          <t>Admin Console (đợt 3: Phân tích, Hỗ trợ, Hệ thống)</t>
        </is>
      </c>
      <c r="C390" s="15" t="inlineStr">
        <is>
          <t>Đợt 3 · giao diện, bảo mật và hiệu năng chung</t>
        </is>
      </c>
      <c r="D390" s="15" t="inlineStr">
        <is>
          <t>Responsive: Phân tích, Hỗ trợ, ma trận quyền và Cài đặt dùng được ở màn 390px</t>
        </is>
      </c>
      <c r="E390" s="15" t="inlineStr">
        <is>
          <t>Giao diện</t>
        </is>
      </c>
      <c r="F390" s="20" t="inlineStr">
        <is>
          <t>Trung bình</t>
        </is>
      </c>
      <c r="G390" s="17" t="inlineStr">
        <is>
          <t>Đã hoàn thiện</t>
        </is>
      </c>
      <c r="H390" s="20" t="inlineStr">
        <is>
          <t>Một phần</t>
        </is>
      </c>
      <c r="I3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90" s="15" t="inlineStr">
        <is>
          <t>1. Thu cửa sổ 390x844
2. Mở /admin/analytics/retention, /admin/support/tickets, /admin/system/roles, /admin/system/settings, /admin/system/email (trình soạn)
3. Mở modal chi tiết ticket</t>
        </is>
      </c>
      <c r="K390" s="15" t="inlineStr">
        <is>
          <t>390x844</t>
        </is>
      </c>
      <c r="L390"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90" s="15" t="inlineStr"/>
      <c r="N390" s="18" t="inlineStr">
        <is>
          <t>Chưa test</t>
        </is>
      </c>
      <c r="O390" s="15" t="inlineStr"/>
      <c r="P390" s="15" t="inlineStr"/>
      <c r="Q390" s="18" t="inlineStr">
        <is>
          <t>Chưa test</t>
        </is>
      </c>
      <c r="R390" s="15" t="inlineStr"/>
    </row>
    <row r="391" ht="45" customHeight="1">
      <c r="A391" s="14" t="inlineStr">
        <is>
          <t>TC-ADM3-390</t>
        </is>
      </c>
      <c r="B391" s="15" t="inlineStr">
        <is>
          <t>Admin Console (đợt 3: Phân tích, Hỗ trợ, Hệ thống)</t>
        </is>
      </c>
      <c r="C391" s="15" t="inlineStr">
        <is>
          <t>Đợt 3 · giao diện, bảo mật và hiệu năng chung</t>
        </is>
      </c>
      <c r="D391" s="15" t="inlineStr">
        <is>
          <t>Truy cập bàn phím: ô ma trận là checkbox có aria-label, modal đóng bằng Esc, công tắc có nhãn</t>
        </is>
      </c>
      <c r="E391" s="15" t="inlineStr">
        <is>
          <t>Giao diện</t>
        </is>
      </c>
      <c r="F391" s="17" t="inlineStr">
        <is>
          <t>Thấp</t>
        </is>
      </c>
      <c r="G391" s="17" t="inlineStr">
        <is>
          <t>Đã hoàn thiện</t>
        </is>
      </c>
      <c r="H391" s="20" t="inlineStr">
        <is>
          <t>Một phần</t>
        </is>
      </c>
      <c r="I3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91" s="15" t="inlineStr">
        <is>
          <t>1. Ở /admin/system/roles: Tab tới một ô ma trận, đọc role/aria-checked/aria-label, nhấn Space
2. Ở /admin/system/flags: Tab tới công tắc 'Bật/tắt &lt;tên&gt;'
3. Mở dialog thao tác ticket và nhấn Esc</t>
        </is>
      </c>
      <c r="K391" s="15" t="inlineStr">
        <is>
          <t>-</t>
        </is>
      </c>
      <c r="L391"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91" s="15" t="inlineStr"/>
      <c r="N391" s="18" t="inlineStr">
        <is>
          <t>Chưa test</t>
        </is>
      </c>
      <c r="O391" s="15" t="inlineStr"/>
      <c r="P391" s="15" t="inlineStr"/>
      <c r="Q391" s="18" t="inlineStr">
        <is>
          <t>Chưa test</t>
        </is>
      </c>
      <c r="R391" s="15" t="inlineStr"/>
    </row>
    <row r="392" ht="75" customHeight="1">
      <c r="A392" s="14" t="inlineStr">
        <is>
          <t>TC-ADM3-391</t>
        </is>
      </c>
      <c r="B392" s="15" t="inlineStr">
        <is>
          <t>Admin Console (đợt 3: Phân tích, Hỗ trợ, Hệ thống)</t>
        </is>
      </c>
      <c r="C392" s="15" t="inlineStr">
        <is>
          <t>Đợt 3 · giao diện, bảo mật và hiệu năng chung</t>
        </is>
      </c>
      <c r="D392" s="15" t="inlineStr">
        <is>
          <t>XSS: nội dung ticket/thông báo/mẫu email/tên cờ chứa HTML hiển thị dạng văn bản, không thực thi</t>
        </is>
      </c>
      <c r="E392" s="15" t="inlineStr">
        <is>
          <t>Bảo mật</t>
        </is>
      </c>
      <c r="F392" s="16" t="inlineStr">
        <is>
          <t>Cao</t>
        </is>
      </c>
      <c r="G392" s="17" t="inlineStr">
        <is>
          <t>Đã hoàn thiện</t>
        </is>
      </c>
      <c r="H392" s="20" t="inlineStr">
        <is>
          <t>Một phần</t>
        </is>
      </c>
      <c r="I39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92"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92" s="15" t="inlineStr">
        <is>
          <t>&lt;img onerror&gt;, &lt;script&gt;</t>
        </is>
      </c>
      <c r="L392" s="15" t="inlineStr">
        <is>
          <t>Mọi nơi hiển thị chuỗi nguyên văn (React thoát ký tự), không có hộp thoại alert/thực thi; HTML dựng từ mẫu email đã escape (&amp;lt;script&amp;gt;) trước khi gắn &lt;p&gt;/&lt;br&gt;/&lt;a&gt;.</t>
        </is>
      </c>
      <c r="M392" s="15" t="inlineStr"/>
      <c r="N392" s="18" t="inlineStr">
        <is>
          <t>Chưa test</t>
        </is>
      </c>
      <c r="O392" s="15" t="inlineStr"/>
      <c r="P392" s="15" t="inlineStr"/>
      <c r="Q392" s="18" t="inlineStr">
        <is>
          <t>Chưa test</t>
        </is>
      </c>
      <c r="R392" s="15" t="inlineStr"/>
    </row>
    <row r="393" ht="30" customHeight="1">
      <c r="A393" s="14" t="inlineStr">
        <is>
          <t>TC-ADM3-392</t>
        </is>
      </c>
      <c r="B393" s="15" t="inlineStr">
        <is>
          <t>Admin Console (đợt 3: Phân tích, Hỗ trợ, Hệ thống)</t>
        </is>
      </c>
      <c r="C393" s="15" t="inlineStr">
        <is>
          <t>Đợt 3 · giao diện, bảo mật và hiệu năng chung</t>
        </is>
      </c>
      <c r="D393" s="15" t="inlineStr">
        <is>
          <t>Chèn SQL/ký tự đặc biệt vào ô tìm kiếm Hỗ trợ/Tài khoản quản trị/Cờ/Mẫu/Audit</t>
        </is>
      </c>
      <c r="E393" s="15" t="inlineStr">
        <is>
          <t>Bảo mật</t>
        </is>
      </c>
      <c r="F393" s="20" t="inlineStr">
        <is>
          <t>Trung bình</t>
        </is>
      </c>
      <c r="G393" s="17" t="inlineStr">
        <is>
          <t>Đã hoàn thiện</t>
        </is>
      </c>
      <c r="H393" s="20" t="inlineStr">
        <is>
          <t>Một phần</t>
        </is>
      </c>
      <c r="I3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3" s="15" t="inlineStr">
        <is>
          <t>1. Gõ "' OR 1=1 --" và '%' vào từng ô tìm kiếm
2. Gõ chuỗi 500 ký tự (kiểm tra giới hạn)</t>
        </is>
      </c>
      <c r="K393" s="15" t="inlineStr">
        <is>
          <t>' OR 1=1 --</t>
        </is>
      </c>
      <c r="L393" s="15" t="inlineStr">
        <is>
          <t>Không lỗi 500, không lộ thêm dữ liệu (truy vấn tham số hóa); '%' được coi là ký tự thường; q quá dài &gt; 100 ký tự (ticket/admins/audit) -&gt; 400 hoặc bị cắt theo schema, không crash.</t>
        </is>
      </c>
      <c r="M393" s="15" t="inlineStr"/>
      <c r="N393" s="18" t="inlineStr">
        <is>
          <t>Chưa test</t>
        </is>
      </c>
      <c r="O393" s="15" t="inlineStr"/>
      <c r="P393" s="15" t="inlineStr"/>
      <c r="Q393" s="18" t="inlineStr">
        <is>
          <t>Chưa test</t>
        </is>
      </c>
      <c r="R393" s="15" t="inlineStr"/>
    </row>
    <row r="394" ht="30" customHeight="1">
      <c r="A394" s="14" t="inlineStr">
        <is>
          <t>TC-ADM3-393</t>
        </is>
      </c>
      <c r="B394" s="15" t="inlineStr">
        <is>
          <t>Admin Console (đợt 3: Phân tích, Hỗ trợ, Hệ thống)</t>
        </is>
      </c>
      <c r="C394" s="15" t="inlineStr">
        <is>
          <t>Đợt 3 · giao diện, bảo mật và hiệu năng chung</t>
        </is>
      </c>
      <c r="D394" s="15" t="inlineStr">
        <is>
          <t>Mọi lỗi API đợt 3 theo dạng {error:{code,message}} và mã trạng thái đúng (401/403/404/400/409)</t>
        </is>
      </c>
      <c r="E394" s="15" t="inlineStr">
        <is>
          <t>Chức năng</t>
        </is>
      </c>
      <c r="F394" s="20" t="inlineStr">
        <is>
          <t>Trung bình</t>
        </is>
      </c>
      <c r="G394" s="17" t="inlineStr">
        <is>
          <t>Đã hoàn thiện</t>
        </is>
      </c>
      <c r="H394" s="17" t="inlineStr">
        <is>
          <t>Có</t>
        </is>
      </c>
      <c r="I39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94" s="15" t="inlineStr">
        <is>
          <t>1. Gọi một số route với sai quyền, sai id, sai body, trùng trạng thái (xem các case API)
2. Kiểm tra cấu trúc lỗi và code</t>
        </is>
      </c>
      <c r="K394" s="15" t="inlineStr">
        <is>
          <t>-</t>
        </is>
      </c>
      <c r="L394" s="15" t="inlineStr">
        <is>
          <t>Luôn {error:{code:'UNAUTHORIZED|FORBIDDEN|NOT_FOUND|VALIDATION_ERROR|CONFLICT', message, details?}}; thông điệp tiếng Việt; không rò rỉ stack trace.</t>
        </is>
      </c>
      <c r="M394" s="15" t="inlineStr"/>
      <c r="N394" s="18" t="inlineStr">
        <is>
          <t>Chưa test</t>
        </is>
      </c>
      <c r="O394" s="15" t="inlineStr"/>
      <c r="P394" s="15" t="inlineStr"/>
      <c r="Q394" s="18" t="inlineStr">
        <is>
          <t>Chưa test</t>
        </is>
      </c>
      <c r="R394" s="15" t="inlineStr"/>
    </row>
    <row r="395" ht="30" customHeight="1">
      <c r="A395" s="14" t="inlineStr">
        <is>
          <t>TC-ADM3-394</t>
        </is>
      </c>
      <c r="B395" s="15" t="inlineStr">
        <is>
          <t>Admin Console (đợt 3: Phân tích, Hỗ trợ, Hệ thống)</t>
        </is>
      </c>
      <c r="C395" s="15" t="inlineStr">
        <is>
          <t>Đợt 3 · giao diện, bảo mật và hiệu năng chung</t>
        </is>
      </c>
      <c r="D395" s="15" t="inlineStr">
        <is>
          <t>Hiệu năng: danh sách Hỗ trợ/Audit/Admin phản hồi dưới 1 giây; Audit export 5.000 dòng dưới 5 giây</t>
        </is>
      </c>
      <c r="E395" s="15" t="inlineStr">
        <is>
          <t>Hiệu năng</t>
        </is>
      </c>
      <c r="F395" s="17" t="inlineStr">
        <is>
          <t>Thấp</t>
        </is>
      </c>
      <c r="G395" s="17" t="inlineStr">
        <is>
          <t>Đã hoàn thiện</t>
        </is>
      </c>
      <c r="H395" s="16" t="inlineStr">
        <is>
          <t>Không</t>
        </is>
      </c>
      <c r="I39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5" s="15" t="inlineStr">
        <is>
          <t>1. Đo GET /admin/support/tickets?limit=100, /admin/audit-logs?limit=100, /admin/system/admins
2. Nạp ≥5.000 dòng audit rồi GET /admin/audit-logs/export</t>
        </is>
      </c>
      <c r="K395" s="15" t="inlineStr">
        <is>
          <t>-</t>
        </is>
      </c>
      <c r="L395" s="15" t="inlineStr">
        <is>
          <t>Danh sách &lt; 1 giây; export 5.000 dòng &lt; 5 giây và đúng 5.000 dòng (giới hạn cứng, dòng mới nhất trước).</t>
        </is>
      </c>
      <c r="M395" s="15" t="inlineStr"/>
      <c r="N395" s="18" t="inlineStr">
        <is>
          <t>Chưa test</t>
        </is>
      </c>
      <c r="O395" s="15" t="inlineStr"/>
      <c r="P395" s="15" t="inlineStr"/>
      <c r="Q395" s="18" t="inlineStr">
        <is>
          <t>Chưa test</t>
        </is>
      </c>
      <c r="R395" s="15" t="inlineStr"/>
    </row>
    <row r="396" ht="45" customHeight="1">
      <c r="A396" s="14" t="inlineStr">
        <is>
          <t>TC-ADM3-395</t>
        </is>
      </c>
      <c r="B396" s="15" t="inlineStr">
        <is>
          <t>Admin Console (đợt 3: Phân tích, Hỗ trợ, Hệ thống)</t>
        </is>
      </c>
      <c r="C396" s="15" t="inlineStr">
        <is>
          <t>Điểm chưa làm / mô phỏng / lệch đợt 3</t>
        </is>
      </c>
      <c r="D396" s="15" t="inlineStr">
        <is>
          <t>2FA thật cho quản trị viên: hiện chỉ là cờ lưu trữ twoFactorEnabled</t>
        </is>
      </c>
      <c r="E396" s="15" t="inlineStr">
        <is>
          <t>Bảo mật</t>
        </is>
      </c>
      <c r="F396" s="16" t="inlineStr">
        <is>
          <t>Cao</t>
        </is>
      </c>
      <c r="G396" s="20" t="inlineStr">
        <is>
          <t>Kế hoạch</t>
        </is>
      </c>
      <c r="H396" s="16" t="inlineStr">
        <is>
          <t>Không</t>
        </is>
      </c>
      <c r="I396" s="15" t="inlineStr">
        <is>
          <t>twoFactorEnabled lưu ở AdminAccount; reset-2fa chỉ tắt cờ + gửi email; không có mã TOTP/SMS.</t>
        </is>
      </c>
      <c r="J396" s="15" t="inlineStr">
        <is>
          <t>1. Tạo quản trị viên với 'Bắt buộc 2FA ở lần đăng nhập đầu' bật
2. Đăng nhập bằng tài khoản đó
3. Thử bỏ qua bước 2FA</t>
        </is>
      </c>
      <c r="K396" s="15" t="inlineStr">
        <is>
          <t>-</t>
        </is>
      </c>
      <c r="L396"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96" s="15" t="inlineStr"/>
      <c r="N396" s="18" t="inlineStr">
        <is>
          <t>Chưa test</t>
        </is>
      </c>
      <c r="O396" s="15" t="inlineStr"/>
      <c r="P396" s="15" t="inlineStr"/>
      <c r="Q396" s="18" t="inlineStr">
        <is>
          <t>Chưa test</t>
        </is>
      </c>
      <c r="R396" s="15" t="inlineStr"/>
    </row>
    <row r="397" ht="30" customHeight="1">
      <c r="A397" s="14" t="inlineStr">
        <is>
          <t>TC-ADM3-396</t>
        </is>
      </c>
      <c r="B397" s="15" t="inlineStr">
        <is>
          <t>Admin Console (đợt 3: Phân tích, Hỗ trợ, Hệ thống)</t>
        </is>
      </c>
      <c r="C397" s="15" t="inlineStr">
        <is>
          <t>Điểm chưa làm / mô phỏng / lệch đợt 3</t>
        </is>
      </c>
      <c r="D397" s="15" t="inlineStr">
        <is>
          <t>Cài đặt 'Bắt buộc 2FA cho quản trị viên' (require2fa) chỉ lưu, không thực thi</t>
        </is>
      </c>
      <c r="E397" s="15" t="inlineStr">
        <is>
          <t>Bảo mật</t>
        </is>
      </c>
      <c r="F397" s="16" t="inlineStr">
        <is>
          <t>Cao</t>
        </is>
      </c>
      <c r="G397" s="20" t="inlineStr">
        <is>
          <t>Kế hoạch</t>
        </is>
      </c>
      <c r="H397" s="16" t="inlineStr">
        <is>
          <t>Không</t>
        </is>
      </c>
      <c r="I397" s="15" t="inlineStr">
        <is>
          <t>security.require2fa lưu ở PlatformSetting.</t>
        </is>
      </c>
      <c r="J397" s="15" t="inlineStr">
        <is>
          <t>1. Bật 'Bắt buộc 2FA' ở Cài đặt chung &gt; Lưu
2. Đăng nhập tom@ (2FA tắt) và vào /admin</t>
        </is>
      </c>
      <c r="K397" s="15" t="inlineStr">
        <is>
          <t>require2fa=true</t>
        </is>
      </c>
      <c r="L397" s="15" t="inlineStr">
        <is>
          <t>KỲ VỌNG SAU KHI LÀM: nhân viên chưa bật 2FA bị buộc thiết lập hoặc bị chặn. HIỆN TẠI: không có tác dụng (giao diện ghi 'Chỉ lưu cấu hình').</t>
        </is>
      </c>
      <c r="M397" s="15" t="inlineStr"/>
      <c r="N397" s="18" t="inlineStr">
        <is>
          <t>Chưa test</t>
        </is>
      </c>
      <c r="O397" s="15" t="inlineStr"/>
      <c r="P397" s="15" t="inlineStr"/>
      <c r="Q397" s="18" t="inlineStr">
        <is>
          <t>Chưa test</t>
        </is>
      </c>
      <c r="R397" s="15" t="inlineStr"/>
    </row>
    <row r="398" ht="30" customHeight="1">
      <c r="A398" s="14" t="inlineStr">
        <is>
          <t>TC-ADM3-397</t>
        </is>
      </c>
      <c r="B398" s="15" t="inlineStr">
        <is>
          <t>Admin Console (đợt 3: Phân tích, Hỗ trợ, Hệ thống)</t>
        </is>
      </c>
      <c r="C398" s="15" t="inlineStr">
        <is>
          <t>Điểm chưa làm / mô phỏng / lệch đợt 3</t>
        </is>
      </c>
      <c r="D398" s="15" t="inlineStr">
        <is>
          <t>'Tự đăng xuất sau' (sessionTimeoutMin 15/30/120) chỉ lưu, chưa có cơ chế hết phiên admin</t>
        </is>
      </c>
      <c r="E398" s="15" t="inlineStr">
        <is>
          <t>Bảo mật</t>
        </is>
      </c>
      <c r="F398" s="20" t="inlineStr">
        <is>
          <t>Trung bình</t>
        </is>
      </c>
      <c r="G398" s="20" t="inlineStr">
        <is>
          <t>Kế hoạch</t>
        </is>
      </c>
      <c r="H398" s="16" t="inlineStr">
        <is>
          <t>Không</t>
        </is>
      </c>
      <c r="I398" s="15" t="inlineStr">
        <is>
          <t>Chỉ lưu cấu hình; access token vẫn theo TTL JWT cố định (15 phút) và refresh.</t>
        </is>
      </c>
      <c r="J398" s="15" t="inlineStr">
        <is>
          <t>1. Đặt 15 phút &gt; Lưu
2. Để admin không thao tác 20 phút rồi gọi API</t>
        </is>
      </c>
      <c r="K398" s="15" t="inlineStr">
        <is>
          <t>sessionTimeoutMin=15</t>
        </is>
      </c>
      <c r="L398" s="15" t="inlineStr">
        <is>
          <t>KỲ VỌNG SAU KHI LÀM: phiên admin tự hết hạn theo cấu hình. HIỆN TẠI: không thay đổi hành vi phiên.</t>
        </is>
      </c>
      <c r="M398" s="15" t="inlineStr"/>
      <c r="N398" s="18" t="inlineStr">
        <is>
          <t>Chưa test</t>
        </is>
      </c>
      <c r="O398" s="15" t="inlineStr"/>
      <c r="P398" s="15" t="inlineStr"/>
      <c r="Q398" s="18" t="inlineStr">
        <is>
          <t>Chưa test</t>
        </is>
      </c>
      <c r="R398" s="15" t="inlineStr"/>
    </row>
    <row r="399" ht="30" customHeight="1">
      <c r="A399" s="14" t="inlineStr">
        <is>
          <t>TC-ADM3-398</t>
        </is>
      </c>
      <c r="B399" s="15" t="inlineStr">
        <is>
          <t>Admin Console (đợt 3: Phân tích, Hỗ trợ, Hệ thống)</t>
        </is>
      </c>
      <c r="C399" s="15" t="inlineStr">
        <is>
          <t>Điểm chưa làm / mô phỏng / lệch đợt 3</t>
        </is>
      </c>
      <c r="D399" s="15" t="inlineStr">
        <is>
          <t>Tiền tệ (currency USD/VND/EUR) chỉ lưu: giao dịch/biên lai vẫn USD</t>
        </is>
      </c>
      <c r="E399" s="15" t="inlineStr">
        <is>
          <t>Chức năng</t>
        </is>
      </c>
      <c r="F399" s="20" t="inlineStr">
        <is>
          <t>Trung bình</t>
        </is>
      </c>
      <c r="G399" s="20" t="inlineStr">
        <is>
          <t>Kế hoạch</t>
        </is>
      </c>
      <c r="H399" s="16" t="inlineStr">
        <is>
          <t>Không</t>
        </is>
      </c>
      <c r="I399" s="15" t="inlineStr">
        <is>
          <t>payments.currency lưu ở PlatformSetting; mọi số tiền là cent USD.</t>
        </is>
      </c>
      <c r="J399" s="15" t="inlineStr">
        <is>
          <t>1. Đặt Tiền tệ = VND &gt; Lưu
2. Mua gói ở paid-demo và xem biên lai/Giao dịch admin</t>
        </is>
      </c>
      <c r="K399" s="15" t="inlineStr">
        <is>
          <t>VND</t>
        </is>
      </c>
      <c r="L399" s="15" t="inlineStr">
        <is>
          <t>KỲ VỌNG SAU KHI LÀM: giá/biên lai theo tiền tệ đã chọn + tỷ giá. HIỆN TẠI: không đổi, vẫn '$'.</t>
        </is>
      </c>
      <c r="M399" s="15" t="inlineStr"/>
      <c r="N399" s="18" t="inlineStr">
        <is>
          <t>Chưa test</t>
        </is>
      </c>
      <c r="O399" s="15" t="inlineStr"/>
      <c r="P399" s="15" t="inlineStr"/>
      <c r="Q399" s="18" t="inlineStr">
        <is>
          <t>Chưa test</t>
        </is>
      </c>
      <c r="R399" s="15" t="inlineStr"/>
    </row>
    <row r="400" ht="30" customHeight="1">
      <c r="A400" s="14" t="inlineStr">
        <is>
          <t>TC-ADM3-399</t>
        </is>
      </c>
      <c r="B400" s="15" t="inlineStr">
        <is>
          <t>Admin Console (đợt 3: Phân tích, Hỗ trợ, Hệ thống)</t>
        </is>
      </c>
      <c r="C400" s="15" t="inlineStr">
        <is>
          <t>Điểm chưa làm / mô phỏng / lệch đợt 3</t>
        </is>
      </c>
      <c r="D400" s="15" t="inlineStr">
        <is>
          <t>Chi trả tự động (autoPayouts, ngày 1 và 16) chỉ lưu: chưa có job chi trả</t>
        </is>
      </c>
      <c r="E400" s="15" t="inlineStr">
        <is>
          <t>Chức năng</t>
        </is>
      </c>
      <c r="F400" s="20" t="inlineStr">
        <is>
          <t>Trung bình</t>
        </is>
      </c>
      <c r="G400" s="20" t="inlineStr">
        <is>
          <t>Kế hoạch</t>
        </is>
      </c>
      <c r="H400" s="16" t="inlineStr">
        <is>
          <t>Không</t>
        </is>
      </c>
      <c r="I400" s="15" t="inlineStr">
        <is>
          <t>Không có scheduler chi trả tự động.</t>
        </is>
      </c>
      <c r="J400" s="15" t="inlineStr">
        <is>
          <t>1. Bật 'Chi trả tự động' &gt; Lưu
2. Chờ tới ngày 1/16 (hoặc đổi giờ máy chủ) và xem Chi trả</t>
        </is>
      </c>
      <c r="K400" s="15" t="inlineStr">
        <is>
          <t>autoPayouts</t>
        </is>
      </c>
      <c r="L400" s="15" t="inlineStr">
        <is>
          <t>KỲ VỌNG SAU KHI LÀM: tự tạo/duyệt chi trả theo lịch. HIỆN TẠI: không có job; vẫn do creator yêu cầu và admin duyệt thủ công.</t>
        </is>
      </c>
      <c r="M400" s="15" t="inlineStr"/>
      <c r="N400" s="18" t="inlineStr">
        <is>
          <t>Chưa test</t>
        </is>
      </c>
      <c r="O400" s="15" t="inlineStr"/>
      <c r="P400" s="15" t="inlineStr"/>
      <c r="Q400" s="18" t="inlineStr">
        <is>
          <t>Chưa test</t>
        </is>
      </c>
      <c r="R400" s="15" t="inlineStr"/>
    </row>
    <row r="401" ht="30" customHeight="1">
      <c r="A401" s="14" t="inlineStr">
        <is>
          <t>TC-ADM3-400</t>
        </is>
      </c>
      <c r="B401" s="15" t="inlineStr">
        <is>
          <t>Admin Console (đợt 3: Phân tích, Hỗ trợ, Hệ thống)</t>
        </is>
      </c>
      <c r="C401" s="15" t="inlineStr">
        <is>
          <t>Điểm chưa làm / mô phỏng / lệch đợt 3</t>
        </is>
      </c>
      <c r="D401" s="15" t="inlineStr">
        <is>
          <t>Múi giờ nền tảng (timezone) chỉ lưu: thời gian giao diện/Phân tích vẫn theo múi giờ trình duyệt/UTC</t>
        </is>
      </c>
      <c r="E401" s="15" t="inlineStr">
        <is>
          <t>Chức năng</t>
        </is>
      </c>
      <c r="F401" s="17" t="inlineStr">
        <is>
          <t>Thấp</t>
        </is>
      </c>
      <c r="G401" s="20" t="inlineStr">
        <is>
          <t>Kế hoạch</t>
        </is>
      </c>
      <c r="H401" s="16" t="inlineStr">
        <is>
          <t>Không</t>
        </is>
      </c>
      <c r="I401" s="15" t="inlineStr">
        <is>
          <t>platform.timezone là chuỗi tự do.</t>
        </is>
      </c>
      <c r="J401" s="15" t="inlineStr">
        <is>
          <t>1. Đổi Múi giờ 'GMT-5' &gt; Lưu
2. Xem thời gian ở Nhật ký/Ticket và ranh giới ngày của Phân tích</t>
        </is>
      </c>
      <c r="K401" s="15" t="inlineStr">
        <is>
          <t>GMT-5</t>
        </is>
      </c>
      <c r="L401" s="15" t="inlineStr">
        <is>
          <t>KỲ VỌNG SAU KHI LÀM: dùng múi giờ đã chọn. HIỆN TẠI: không đổi; Phân tích tính theo ngày UTC.</t>
        </is>
      </c>
      <c r="M401" s="15" t="inlineStr"/>
      <c r="N401" s="18" t="inlineStr">
        <is>
          <t>Chưa test</t>
        </is>
      </c>
      <c r="O401" s="15" t="inlineStr"/>
      <c r="P401" s="15" t="inlineStr"/>
      <c r="Q401" s="18" t="inlineStr">
        <is>
          <t>Chưa test</t>
        </is>
      </c>
      <c r="R401" s="15" t="inlineStr"/>
    </row>
    <row r="402" ht="45" customHeight="1">
      <c r="A402" s="14" t="inlineStr">
        <is>
          <t>TC-ADM3-401</t>
        </is>
      </c>
      <c r="B402" s="15" t="inlineStr">
        <is>
          <t>Admin Console (đợt 3: Phân tích, Hỗ trợ, Hệ thống)</t>
        </is>
      </c>
      <c r="C402" s="15" t="inlineStr">
        <is>
          <t>Điểm chưa làm / mô phỏng / lệch đợt 3</t>
        </is>
      </c>
      <c r="D402" s="15" t="inlineStr">
        <is>
          <t>Cảnh báo admin (kiểm duyệt/thanh toán/báo cáo định kỳ) chưa có job gửi tự động</t>
        </is>
      </c>
      <c r="E402" s="15" t="inlineStr">
        <is>
          <t>Tích hợp</t>
        </is>
      </c>
      <c r="F402" s="16" t="inlineStr">
        <is>
          <t>Cao</t>
        </is>
      </c>
      <c r="G402" s="20" t="inlineStr">
        <is>
          <t>Kế hoạch</t>
        </is>
      </c>
      <c r="H402" s="16" t="inlineStr">
        <is>
          <t>Không</t>
        </is>
      </c>
      <c r="I402" s="15" t="inlineStr">
        <is>
          <t>Chỉ lưu 9 công tắc + email nhận báo cáo ở PlatformSetting 'admin.alerts'.</t>
        </is>
      </c>
      <c r="J402" s="15" t="inlineStr">
        <is>
          <t>1. Bật 'Tranh chấp mới' + 'Báo cáo nghiêm trọng' &gt; Lưu
2. Tạo tranh chấp (API) và một báo cáo mức critical
3. Kiểm tra outbox/Slack</t>
        </is>
      </c>
      <c r="K402" s="15" t="inlineStr">
        <is>
          <t>alerts</t>
        </is>
      </c>
      <c r="L402" s="15" t="inlineStr">
        <is>
          <t>KỲ VỌNG SAU KHI LÀM: gửi email/thông báo cho nhóm kiểm duyệt/tài chính; gửi 'Tổng kết hằng tuần'. HIỆN TẠI: không có email/job nào; giao diện ghi rõ 'chỉ lưu cấu hình'.</t>
        </is>
      </c>
      <c r="M402" s="15" t="inlineStr"/>
      <c r="N402" s="18" t="inlineStr">
        <is>
          <t>Chưa test</t>
        </is>
      </c>
      <c r="O402" s="15" t="inlineStr"/>
      <c r="P402" s="15" t="inlineStr"/>
      <c r="Q402" s="18" t="inlineStr">
        <is>
          <t>Chưa test</t>
        </is>
      </c>
      <c r="R402" s="15" t="inlineStr"/>
    </row>
    <row r="403" ht="45" customHeight="1">
      <c r="A403" s="14" t="inlineStr">
        <is>
          <t>TC-ADM3-402</t>
        </is>
      </c>
      <c r="B403" s="15" t="inlineStr">
        <is>
          <t>Admin Console (đợt 3: Phân tích, Hỗ trợ, Hệ thống)</t>
        </is>
      </c>
      <c r="C403" s="15" t="inlineStr">
        <is>
          <t>Điểm chưa làm / mô phỏng / lệch đợt 3</t>
        </is>
      </c>
      <c r="D403" s="15" t="inlineStr">
        <is>
          <t>Tích hợp là mô phỏng: không gọi dịch vụ thật, không lưu khóa thật, 'Kiểm tra' chỉ trả ok khi đã kết nối</t>
        </is>
      </c>
      <c r="E403" s="15" t="inlineStr">
        <is>
          <t>Tích hợp</t>
        </is>
      </c>
      <c r="F403" s="20" t="inlineStr">
        <is>
          <t>Trung bình</t>
        </is>
      </c>
      <c r="G403" s="20" t="inlineStr">
        <is>
          <t>Kế hoạch</t>
        </is>
      </c>
      <c r="H403" s="16" t="inlineStr">
        <is>
          <t>Không</t>
        </is>
      </c>
      <c r="I403"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403" s="15" t="inlineStr">
        <is>
          <t>1. Kết nối Stripe với khóa API thật
2. Bấm 'Kiểm tra'
3. Dùng tính năng thanh toán</t>
        </is>
      </c>
      <c r="K403" s="15" t="inlineStr">
        <is>
          <t>-</t>
        </is>
      </c>
      <c r="L403"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403" s="15" t="inlineStr"/>
      <c r="N403" s="18" t="inlineStr">
        <is>
          <t>Chưa test</t>
        </is>
      </c>
      <c r="O403" s="15" t="inlineStr"/>
      <c r="P403" s="15" t="inlineStr"/>
      <c r="Q403" s="18" t="inlineStr">
        <is>
          <t>Chưa test</t>
        </is>
      </c>
      <c r="R403" s="15" t="inlineStr"/>
    </row>
    <row r="404" ht="30" customHeight="1">
      <c r="A404" s="14" t="inlineStr">
        <is>
          <t>TC-ADM3-403</t>
        </is>
      </c>
      <c r="B404" s="15" t="inlineStr">
        <is>
          <t>Admin Console (đợt 3: Phân tích, Hỗ trợ, Hệ thống)</t>
        </is>
      </c>
      <c r="C404" s="15" t="inlineStr">
        <is>
          <t>Điểm chưa làm / mô phỏng / lệch đợt 3</t>
        </is>
      </c>
      <c r="D404" s="15" t="inlineStr">
        <is>
          <t>Cờ tính năng chưa được backend áp dụng: tắt dm_v2/premium_lock không chặn tính năng</t>
        </is>
      </c>
      <c r="E404" s="15" t="inlineStr">
        <is>
          <t>Chức năng</t>
        </is>
      </c>
      <c r="F404" s="16" t="inlineStr">
        <is>
          <t>Cao</t>
        </is>
      </c>
      <c r="G404" s="20" t="inlineStr">
        <is>
          <t>Kế hoạch</t>
        </is>
      </c>
      <c r="H404" s="16" t="inlineStr">
        <is>
          <t>Không</t>
        </is>
      </c>
      <c r="I404"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404" s="15" t="inlineStr">
        <is>
          <t>1. Admin tắt dm_v2 và premium_lock
2. member1@ gọi API nhắn tin trực tiếp và mở module bị khóa theo cấp độ</t>
        </is>
      </c>
      <c r="K404" s="15" t="inlineStr">
        <is>
          <t>dm_v2, premium_lock</t>
        </is>
      </c>
      <c r="L404" s="15" t="inlineStr">
        <is>
          <t>KỲ VỌNG SAU KHI LÀM: máy chủ từ chối/ẩn tính năng theo cờ. HIỆN TẠI: cờ chỉ đọc qua GET /api/feature-flags; backend không tự chặn (FE quyết định).</t>
        </is>
      </c>
      <c r="M404" s="15" t="inlineStr"/>
      <c r="N404" s="18" t="inlineStr">
        <is>
          <t>Chưa test</t>
        </is>
      </c>
      <c r="O404" s="15" t="inlineStr"/>
      <c r="P404" s="15" t="inlineStr"/>
      <c r="Q404" s="18" t="inlineStr">
        <is>
          <t>Chưa test</t>
        </is>
      </c>
      <c r="R404" s="15" t="inlineStr"/>
    </row>
    <row r="405" ht="45" customHeight="1">
      <c r="A405" s="14" t="inlineStr">
        <is>
          <t>TC-ADM3-404</t>
        </is>
      </c>
      <c r="B405" s="15" t="inlineStr">
        <is>
          <t>Admin Console (đợt 3: Phân tích, Hỗ trợ, Hệ thống)</t>
        </is>
      </c>
      <c r="C405" s="15" t="inlineStr">
        <is>
          <t>Điểm chưa làm / mô phỏng / lệch đợt 3</t>
        </is>
      </c>
      <c r="D405" s="15" t="inlineStr">
        <is>
          <t>Frontend người dùng chưa đọc GET /api/feature-flags (cờ, rollout, maintenance, platform.name)</t>
        </is>
      </c>
      <c r="E405" s="15" t="inlineStr">
        <is>
          <t>Chức năng</t>
        </is>
      </c>
      <c r="F405" s="16" t="inlineStr">
        <is>
          <t>Cao</t>
        </is>
      </c>
      <c r="G405" s="20" t="inlineStr">
        <is>
          <t>Kế hoạch</t>
        </is>
      </c>
      <c r="H405" s="16" t="inlineStr">
        <is>
          <t>Không</t>
        </is>
      </c>
      <c r="I405" s="15" t="inlineStr">
        <is>
          <t>Frontend :5173 (không phải /admin).</t>
        </is>
      </c>
      <c r="J405" s="15" t="inlineStr">
        <is>
          <t>1. Bật app_banner ở admin
2. Mở trang chủ người dùng và tìm banner ứng dụng
3. Bật bảo trì và tải lại trang người dùng</t>
        </is>
      </c>
      <c r="K405" s="15" t="inlineStr">
        <is>
          <t>app_banner, maintenance</t>
        </is>
      </c>
      <c r="L405" s="15" t="inlineStr">
        <is>
          <t>KỲ VỌNG SAU KHI LÀM: giao diện hiển thị/ẩn tính năng theo cờ và hiện trang bảo trì. HIỆN TẠI: chưa nối; chỉ quản lý cờ ở Admin (ADMIN_BACKEND_GAPS).</t>
        </is>
      </c>
      <c r="M405" s="15" t="inlineStr"/>
      <c r="N405" s="18" t="inlineStr">
        <is>
          <t>Chưa test</t>
        </is>
      </c>
      <c r="O405" s="15" t="inlineStr"/>
      <c r="P405" s="15" t="inlineStr"/>
      <c r="Q405" s="18" t="inlineStr">
        <is>
          <t>Chưa test</t>
        </is>
      </c>
      <c r="R405" s="15" t="inlineStr"/>
    </row>
    <row r="406" ht="30" customHeight="1">
      <c r="A406" s="14" t="inlineStr">
        <is>
          <t>TC-ADM3-405</t>
        </is>
      </c>
      <c r="B406" s="15" t="inlineStr">
        <is>
          <t>Admin Console (đợt 3: Phân tích, Hỗ trợ, Hệ thống)</t>
        </is>
      </c>
      <c r="C406" s="15" t="inlineStr">
        <is>
          <t>Điểm chưa làm / mô phỏng / lệch đợt 3</t>
        </is>
      </c>
      <c r="D406" s="15" t="inlineStr">
        <is>
          <t>Ticket: chưa có SLA/tự đóng, gộp ticket, mẫu trả lời nhanh, đính kèm tệp</t>
        </is>
      </c>
      <c r="E406" s="15" t="inlineStr">
        <is>
          <t>Chức năng</t>
        </is>
      </c>
      <c r="F406" s="20" t="inlineStr">
        <is>
          <t>Trung bình</t>
        </is>
      </c>
      <c r="G406" s="20" t="inlineStr">
        <is>
          <t>Kế hoạch</t>
        </is>
      </c>
      <c r="H406" s="16" t="inlineStr">
        <is>
          <t>Không</t>
        </is>
      </c>
      <c r="I406" s="15" t="inlineStr">
        <is>
          <t>Ticket chỉ có văn bản; không có thời hạn phản hồi.</t>
        </is>
      </c>
      <c r="J406" s="15" t="inlineStr">
        <is>
          <t>1. Mở chi tiết ticket, tìm nút đính kèm/SLA/gộp/mẫu trả lời nhanh
2. Để ticket 'Chờ phản hồi' 30 ngày</t>
        </is>
      </c>
      <c r="K406" s="15" t="inlineStr">
        <is>
          <t>-</t>
        </is>
      </c>
      <c r="L406" s="15" t="inlineStr">
        <is>
          <t>KỲ VỌNG SAU KHI LÀM: đính kèm, đồng hồ SLA, tự đóng ticket chờ quá hạn, gộp, trả lời nhanh. HIỆN TẠI: không có.</t>
        </is>
      </c>
      <c r="M406" s="15" t="inlineStr"/>
      <c r="N406" s="18" t="inlineStr">
        <is>
          <t>Chưa test</t>
        </is>
      </c>
      <c r="O406" s="15" t="inlineStr"/>
      <c r="P406" s="15" t="inlineStr"/>
      <c r="Q406" s="18" t="inlineStr">
        <is>
          <t>Chưa test</t>
        </is>
      </c>
      <c r="R406" s="15" t="inlineStr"/>
    </row>
    <row r="407" ht="30" customHeight="1">
      <c r="A407" s="14" t="inlineStr">
        <is>
          <t>TC-ADM3-406</t>
        </is>
      </c>
      <c r="B407" s="15" t="inlineStr">
        <is>
          <t>Admin Console (đợt 3: Phân tích, Hỗ trợ, Hệ thống)</t>
        </is>
      </c>
      <c r="C407" s="15" t="inlineStr">
        <is>
          <t>Điểm chưa làm / mô phỏng / lệch đợt 3</t>
        </is>
      </c>
      <c r="D407" s="15" t="inlineStr">
        <is>
          <t>Trả lời ticket qua email của khách chưa được nhận về hệ thống</t>
        </is>
      </c>
      <c r="E407" s="15" t="inlineStr">
        <is>
          <t>Tích hợp</t>
        </is>
      </c>
      <c r="F407" s="20" t="inlineStr">
        <is>
          <t>Trung bình</t>
        </is>
      </c>
      <c r="G407" s="20" t="inlineStr">
        <is>
          <t>Kế hoạch</t>
        </is>
      </c>
      <c r="H407" s="16" t="inlineStr">
        <is>
          <t>Không</t>
        </is>
      </c>
      <c r="I407" s="15" t="inlineStr">
        <is>
          <t>Chỉ gửi email ra; không có webhook/inbound parse.</t>
        </is>
      </c>
      <c r="J407" s="15" t="inlineStr">
        <is>
          <t>1. Admin trả lời ticket (email vào outbox)
2. Trả lời email đó từ hộp thư khách</t>
        </is>
      </c>
      <c r="K407" s="15" t="inlineStr">
        <is>
          <t>-</t>
        </is>
      </c>
      <c r="L407" s="15" t="inlineStr">
        <is>
          <t>KỲ VỌNG SAU KHI LÀM: thư trả lời trở thành tin 'Khách' trong ticket. HIỆN TẠI: không nhận email; khách phải trả lời qua API/giao diện (chưa có màn).</t>
        </is>
      </c>
      <c r="M407" s="15" t="inlineStr"/>
      <c r="N407" s="18" t="inlineStr">
        <is>
          <t>Chưa test</t>
        </is>
      </c>
      <c r="O407" s="15" t="inlineStr"/>
      <c r="P407" s="15" t="inlineStr"/>
      <c r="Q407" s="18" t="inlineStr">
        <is>
          <t>Chưa test</t>
        </is>
      </c>
      <c r="R407" s="15" t="inlineStr"/>
    </row>
    <row r="408" ht="45" customHeight="1">
      <c r="A408" s="14" t="inlineStr">
        <is>
          <t>TC-ADM3-407</t>
        </is>
      </c>
      <c r="B408" s="15" t="inlineStr">
        <is>
          <t>Admin Console (đợt 3: Phân tích, Hỗ trợ, Hệ thống)</t>
        </is>
      </c>
      <c r="C408" s="15" t="inlineStr">
        <is>
          <t>Điểm chưa làm / mô phỏng / lệch đợt 3</t>
        </is>
      </c>
      <c r="D408" s="15" t="inlineStr">
        <is>
          <t>Chỉ email xác thực và quên mật khẩu dùng mẫu DB; welcome/receipt/warning/payout_sent/suspended chưa đọc từ mẫu</t>
        </is>
      </c>
      <c r="E408" s="15" t="inlineStr">
        <is>
          <t>Tích hợp</t>
        </is>
      </c>
      <c r="F408" s="20" t="inlineStr">
        <is>
          <t>Trung bình</t>
        </is>
      </c>
      <c r="G408" s="20" t="inlineStr">
        <is>
          <t>Kế hoạch</t>
        </is>
      </c>
      <c r="H408" s="16" t="inlineStr">
        <is>
          <t>Không</t>
        </is>
      </c>
      <c r="I408"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408" s="15" t="inlineStr">
        <is>
          <t>1. Sửa mẫu 'Payment receipt' và 'Violation warning' (Đang dùng)
2. Mua gói (biên lai) và cảnh cáo một người dùng
3. Đọc thư trong outbox</t>
        </is>
      </c>
      <c r="K408" s="15" t="inlineStr">
        <is>
          <t>receipt, warning</t>
        </is>
      </c>
      <c r="L408" s="15" t="inlineStr">
        <is>
          <t>KỲ VỌNG SAU KHI LÀM: mọi email hệ thống dùng mẫu 'Đang dùng'. HIỆN TẠI: chỉ verify_email và reset_password; các email khác vẫn dùng nội dung cố định trong code.</t>
        </is>
      </c>
      <c r="M408" s="15" t="inlineStr"/>
      <c r="N408" s="18" t="inlineStr">
        <is>
          <t>Chưa test</t>
        </is>
      </c>
      <c r="O408" s="15" t="inlineStr"/>
      <c r="P408" s="15" t="inlineStr"/>
      <c r="Q408" s="18" t="inlineStr">
        <is>
          <t>Chưa test</t>
        </is>
      </c>
      <c r="R408" s="15" t="inlineStr"/>
    </row>
    <row r="409" ht="30" customHeight="1">
      <c r="A409" s="14" t="inlineStr">
        <is>
          <t>TC-ADM3-408</t>
        </is>
      </c>
      <c r="B409" s="15" t="inlineStr">
        <is>
          <t>Admin Console (đợt 3: Phân tích, Hỗ trợ, Hệ thống)</t>
        </is>
      </c>
      <c r="C409" s="15" t="inlineStr">
        <is>
          <t>Điểm chưa làm / mô phỏng / lệch đợt 3</t>
        </is>
      </c>
      <c r="D409" s="15" t="inlineStr">
        <is>
          <t>Quyền ở mức nút: giao diện chưa ẩn nút theo quyền (Support thấy nút Cảnh cáo, Finance thấy nút chưa có quyền)</t>
        </is>
      </c>
      <c r="E409" s="15" t="inlineStr">
        <is>
          <t>Chức năng</t>
        </is>
      </c>
      <c r="F409" s="20" t="inlineStr">
        <is>
          <t>Trung bình</t>
        </is>
      </c>
      <c r="G409" s="20" t="inlineStr">
        <is>
          <t>Kế hoạch</t>
        </is>
      </c>
      <c r="H409" s="16" t="inlineStr">
        <is>
          <t>Không</t>
        </is>
      </c>
      <c r="I409" s="15" t="inlineStr">
        <is>
          <t>FE chỉ ẩn nhóm/mục menu và chặn trang theo quyền.</t>
        </is>
      </c>
      <c r="J409" s="15" t="inlineStr">
        <is>
          <t>1. Support: mở /admin/users và menu một người dùng
2. Support: mở /admin/payments/payouts tìm nút Giữ/Duyệt</t>
        </is>
      </c>
      <c r="K409" s="15" t="inlineStr">
        <is>
          <t>-</t>
        </is>
      </c>
      <c r="L409" s="15" t="inlineStr">
        <is>
          <t>KỲ VỌNG SAU KHI LÀM: nút thao tác bị ẩn/vô hiệu khi thiếu user.ban/payout.approve. HIỆN TẠI: nút vẫn hiện, BE trả 403 -&gt; toast lỗi.</t>
        </is>
      </c>
      <c r="M409" s="15" t="inlineStr"/>
      <c r="N409" s="18" t="inlineStr">
        <is>
          <t>Chưa test</t>
        </is>
      </c>
      <c r="O409" s="15" t="inlineStr"/>
      <c r="P409" s="15" t="inlineStr"/>
      <c r="Q409" s="18" t="inlineStr">
        <is>
          <t>Chưa test</t>
        </is>
      </c>
      <c r="R409" s="15" t="inlineStr"/>
    </row>
    <row r="410" ht="30" customHeight="1">
      <c r="A410" s="14" t="inlineStr">
        <is>
          <t>TC-ADM3-409</t>
        </is>
      </c>
      <c r="B410" s="15" t="inlineStr">
        <is>
          <t>Admin Console (đợt 3: Phân tích, Hỗ trợ, Hệ thống)</t>
        </is>
      </c>
      <c r="C410" s="15" t="inlineStr">
        <is>
          <t>Điểm chưa làm / mô phỏng / lệch đợt 3</t>
        </is>
      </c>
      <c r="D410" s="15" t="inlineStr">
        <is>
          <t>Phân tích: chưa có xuất CSV và chọn khoảng ngày tùy ý (from/to)</t>
        </is>
      </c>
      <c r="E410" s="15" t="inlineStr">
        <is>
          <t>Chức năng</t>
        </is>
      </c>
      <c r="F410" s="17" t="inlineStr">
        <is>
          <t>Thấp</t>
        </is>
      </c>
      <c r="G410" s="20" t="inlineStr">
        <is>
          <t>Kế hoạch</t>
        </is>
      </c>
      <c r="H410" s="16" t="inlineStr">
        <is>
          <t>Không</t>
        </is>
      </c>
      <c r="I410" s="15" t="inlineStr">
        <is>
          <t>Chỉ chip 7/30/90 ngày; endpoint không nhận from/to.</t>
        </is>
      </c>
      <c r="J410" s="15" t="inlineStr">
        <is>
          <t>1. Tìm nút Xuất/bộ chọn ngày ở 6 trang Phân tích
2. GET /analytics/users?from=...&amp;to=...</t>
        </is>
      </c>
      <c r="K410" s="15" t="inlineStr">
        <is>
          <t>-</t>
        </is>
      </c>
      <c r="L410" s="15" t="inlineStr">
        <is>
          <t>KỲ VỌNG SAU KHI LÀM: xuất CSV và khoảng ngày tùy chọn. HIỆN TẠI: không có; tham số lạ bị bỏ qua (range vẫn 30).</t>
        </is>
      </c>
      <c r="M410" s="15" t="inlineStr"/>
      <c r="N410" s="18" t="inlineStr">
        <is>
          <t>Chưa test</t>
        </is>
      </c>
      <c r="O410" s="15" t="inlineStr"/>
      <c r="P410" s="15" t="inlineStr"/>
      <c r="Q410" s="18" t="inlineStr">
        <is>
          <t>Chưa test</t>
        </is>
      </c>
      <c r="R410" s="15" t="inlineStr"/>
    </row>
    <row r="411" ht="30" customHeight="1">
      <c r="A411" s="14" t="inlineStr">
        <is>
          <t>TC-ADM3-410</t>
        </is>
      </c>
      <c r="B411" s="15" t="inlineStr">
        <is>
          <t>Admin Console (đợt 3: Phân tích, Hỗ trợ, Hệ thống)</t>
        </is>
      </c>
      <c r="C411" s="15" t="inlineStr">
        <is>
          <t>Điểm chưa làm / mô phỏng / lệch đợt 3</t>
        </is>
      </c>
      <c r="D411" s="15" t="inlineStr">
        <is>
          <t>Phân tích: chưa có 'Lượt truy cập' (visit) và 'Nguồn đăng ký'; phễu bắt đầu từ Tạo tài khoản</t>
        </is>
      </c>
      <c r="E411" s="15" t="inlineStr">
        <is>
          <t>Chức năng</t>
        </is>
      </c>
      <c r="F411" s="20" t="inlineStr">
        <is>
          <t>Trung bình</t>
        </is>
      </c>
      <c r="G411" s="20" t="inlineStr">
        <is>
          <t>Kế hoạch</t>
        </is>
      </c>
      <c r="H411" s="16" t="inlineStr">
        <is>
          <t>Không</t>
        </is>
      </c>
      <c r="I411" s="15" t="inlineStr">
        <is>
          <t>Không thu thập dữ liệu khách chưa đăng nhập và nguồn đăng ký.</t>
        </is>
      </c>
      <c r="J411" s="15" t="inlineStr">
        <is>
          <t>1. Mở Phân tích &gt; Chuyển đổi và Người dùng, tìm 'Truy cập → Đăng ký', 'Nguồn đăng ký'</t>
        </is>
      </c>
      <c r="K411" s="15" t="inlineStr">
        <is>
          <t>-</t>
        </is>
      </c>
      <c r="L411" s="15" t="inlineStr">
        <is>
          <t>KỲ VỌNG SAU KHI LÀM: bước 'Xem trang cộng đồng', KPI 'Truy cập → Đăng ký', thẻ nguồn đăng ký (Organic/Creator referral/Social/Direct/Paid). HIỆN TẠI: ẩn các thẻ đó.</t>
        </is>
      </c>
      <c r="M411" s="15" t="inlineStr"/>
      <c r="N411" s="18" t="inlineStr">
        <is>
          <t>Chưa test</t>
        </is>
      </c>
      <c r="O411" s="15" t="inlineStr"/>
      <c r="P411" s="15" t="inlineStr"/>
      <c r="Q411" s="18" t="inlineStr">
        <is>
          <t>Chưa test</t>
        </is>
      </c>
      <c r="R411" s="15" t="inlineStr"/>
    </row>
    <row r="412" ht="45" customHeight="1">
      <c r="A412" s="14" t="inlineStr">
        <is>
          <t>TC-ADM3-411</t>
        </is>
      </c>
      <c r="B412" s="15" t="inlineStr">
        <is>
          <t>Admin Console (đợt 3: Phân tích, Hỗ trợ, Hệ thống)</t>
        </is>
      </c>
      <c r="C412" s="15" t="inlineStr">
        <is>
          <t>Điểm chưa làm / mô phỏng / lệch đợt 3</t>
        </is>
      </c>
      <c r="D412" s="15" t="inlineStr">
        <is>
          <t>Phân tích: DAU/WAU/MAU theo ngày, địa lý tự khai, phí nền tảng xấp xỉ, lịch sử hoạt động đăng nhập thiếu</t>
        </is>
      </c>
      <c r="E412" s="15" t="inlineStr">
        <is>
          <t>Chức năng</t>
        </is>
      </c>
      <c r="F412" s="20" t="inlineStr">
        <is>
          <t>Trung bình</t>
        </is>
      </c>
      <c r="G412" s="20" t="inlineStr">
        <is>
          <t>Kế hoạch</t>
        </is>
      </c>
      <c r="H412" s="16" t="inlineStr">
        <is>
          <t>Không</t>
        </is>
      </c>
      <c r="I412" s="15" t="inlineStr">
        <is>
          <t>Các giới hạn của phép tính SQL trực tiếp (ghi chú tính toán trong admin-batch3.md).</t>
        </is>
      </c>
      <c r="J412" s="15" t="inlineStr">
        <is>
          <t>1. Đọc biểu đồ 'Người dùng hoạt động' và thẻ 'Phân bố địa lý'
2. So Phí nền tảng với tổng phí theo từng giao dịch
3. So hoạt động đăng nhập ngày xa với bảng Session</t>
        </is>
      </c>
      <c r="K412" s="15" t="inlineStr">
        <is>
          <t>-</t>
        </is>
      </c>
      <c r="L412"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412" s="15" t="inlineStr"/>
      <c r="N412" s="18" t="inlineStr">
        <is>
          <t>Chưa test</t>
        </is>
      </c>
      <c r="O412" s="15" t="inlineStr"/>
      <c r="P412" s="15" t="inlineStr"/>
      <c r="Q412" s="18" t="inlineStr">
        <is>
          <t>Chưa test</t>
        </is>
      </c>
      <c r="R412" s="15" t="inlineStr"/>
    </row>
    <row r="413" ht="30" customHeight="1">
      <c r="A413" s="14" t="inlineStr">
        <is>
          <t>TC-ADM3-412</t>
        </is>
      </c>
      <c r="B413" s="15" t="inlineStr">
        <is>
          <t>Admin Console (đợt 3: Phân tích, Hỗ trợ, Hệ thống)</t>
        </is>
      </c>
      <c r="C413" s="15" t="inlineStr">
        <is>
          <t>Điểm chưa làm / mô phỏng / lệch đợt 3</t>
        </is>
      </c>
      <c r="D413" s="15" t="inlineStr">
        <is>
          <t>changePct rất lớn khi kỳ trước gần 0: BE chưa có cờ baselineTooSmall</t>
        </is>
      </c>
      <c r="E413" s="15" t="inlineStr">
        <is>
          <t>Chức năng</t>
        </is>
      </c>
      <c r="F413" s="17" t="inlineStr">
        <is>
          <t>Thấp</t>
        </is>
      </c>
      <c r="G413" s="20" t="inlineStr">
        <is>
          <t>Kế hoạch</t>
        </is>
      </c>
      <c r="H413" s="16" t="inlineStr">
        <is>
          <t>Không</t>
        </is>
      </c>
      <c r="I413" s="15" t="inlineStr">
        <is>
          <t>FE tự rút gọn (25.3K%).</t>
        </is>
      </c>
      <c r="J413" s="15" t="inlineStr">
        <is>
          <t>1. Tạo dữ liệu mới khi kỳ trước gần 0 và đọc KPI</t>
        </is>
      </c>
      <c r="K413" s="15" t="inlineStr">
        <is>
          <t>-</t>
        </is>
      </c>
      <c r="L413" s="15" t="inlineStr">
        <is>
          <t>KỲ VỌNG SAU KHI LÀM: BE trả cờ/ null để FE không hiển thị phần trăm vô nghĩa. HIỆN TẠI: BE trả số rất lớn, FE rút gọn.</t>
        </is>
      </c>
      <c r="M413" s="15" t="inlineStr"/>
      <c r="N413" s="18" t="inlineStr">
        <is>
          <t>Chưa test</t>
        </is>
      </c>
      <c r="O413" s="15" t="inlineStr"/>
      <c r="P413" s="15" t="inlineStr"/>
      <c r="Q413" s="18" t="inlineStr">
        <is>
          <t>Chưa test</t>
        </is>
      </c>
      <c r="R413" s="15" t="inlineStr"/>
    </row>
    <row r="414" ht="30" customHeight="1">
      <c r="A414" s="14" t="inlineStr">
        <is>
          <t>TC-ADM3-413</t>
        </is>
      </c>
      <c r="B414" s="15" t="inlineStr">
        <is>
          <t>Admin Console (đợt 3: Phân tích, Hỗ trợ, Hệ thống)</t>
        </is>
      </c>
      <c r="C414" s="15" t="inlineStr">
        <is>
          <t>Điểm chưa làm / mô phỏng / lệch đợt 3</t>
        </is>
      </c>
      <c r="D414" s="15" t="inlineStr">
        <is>
          <t>Hỗ trợ: tab trạng thái chưa có số đếm và chưa có tab 'Đã đóng' (BE chưa trả byStatus)</t>
        </is>
      </c>
      <c r="E414" s="15" t="inlineStr">
        <is>
          <t>Giao diện</t>
        </is>
      </c>
      <c r="F414" s="17" t="inlineStr">
        <is>
          <t>Thấp</t>
        </is>
      </c>
      <c r="G414" s="20" t="inlineStr">
        <is>
          <t>Kế hoạch</t>
        </is>
      </c>
      <c r="H414" s="16" t="inlineStr">
        <is>
          <t>Không</t>
        </is>
      </c>
      <c r="I414"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414" s="15" t="inlineStr">
        <is>
          <t>1. Mở /admin/support/tickets và đọc các tab</t>
        </is>
      </c>
      <c r="K414" s="15" t="inlineStr">
        <is>
          <t>-</t>
        </is>
      </c>
      <c r="L414" s="15" t="inlineStr">
        <is>
          <t>KỲ VỌNG SAU KHI LÀM: mỗi tab có số đếm (Mới 5, Đang mở 7, Chờ phản hồi 4, Đã xử lý 4) và tab 'Đã đóng'. HIỆN TẠI: tab không có số; ticket đã đóng chỉ thấy ở 'Tất cả'.</t>
        </is>
      </c>
      <c r="M414" s="15" t="inlineStr"/>
      <c r="N414" s="18" t="inlineStr">
        <is>
          <t>Chưa test</t>
        </is>
      </c>
      <c r="O414" s="15" t="inlineStr"/>
      <c r="P414" s="15" t="inlineStr"/>
      <c r="Q414" s="18" t="inlineStr">
        <is>
          <t>Chưa test</t>
        </is>
      </c>
      <c r="R414" s="15" t="inlineStr"/>
    </row>
    <row r="415" ht="30" customHeight="1">
      <c r="A415" s="14" t="inlineStr">
        <is>
          <t>TC-ADM3-414</t>
        </is>
      </c>
      <c r="B415" s="15" t="inlineStr">
        <is>
          <t>Admin Console (đợt 3: Phân tích, Hỗ trợ, Hệ thống)</t>
        </is>
      </c>
      <c r="C415" s="15" t="inlineStr">
        <is>
          <t>Điểm chưa làm / mô phỏng / lệch đợt 3</t>
        </is>
      </c>
      <c r="D415" s="15" t="inlineStr">
        <is>
          <t>Tài khoản quản trị: chưa có 'Gửi lại lời mời', lịch sử đăng nhập; vai trò: ma trận chưa nhóm theo group, chưa xem thành viên của vai trò</t>
        </is>
      </c>
      <c r="E415" s="15" t="inlineStr">
        <is>
          <t>Chức năng</t>
        </is>
      </c>
      <c r="F415" s="17" t="inlineStr">
        <is>
          <t>Thấp</t>
        </is>
      </c>
      <c r="G415" s="20" t="inlineStr">
        <is>
          <t>Kế hoạch</t>
        </is>
      </c>
      <c r="H415" s="16" t="inlineStr">
        <is>
          <t>Không</t>
        </is>
      </c>
      <c r="I415" s="15" t="inlineStr">
        <is>
          <t>Khoảng trống đã ghi ở ADMIN_BACKEND_GAPS.</t>
        </is>
      </c>
      <c r="J415" s="15" t="inlineStr">
        <is>
          <t>1. Mở Tài khoản quản trị và Vai trò &amp; Quyền, tìm các tính năng trên</t>
        </is>
      </c>
      <c r="K415" s="15" t="inlineStr">
        <is>
          <t>-</t>
        </is>
      </c>
      <c r="L415" s="15" t="inlineStr">
        <is>
          <t>KỲ VỌNG SAU KHI LÀM: gửi lại lời mời, lịch sử đăng nhập, phân nhóm quyền theo group, danh sách thành viên theo vai trò. HIỆN TẠI: không có; thẻ vai trò chỉ hiện số thành viên; ma trận phẳng.</t>
        </is>
      </c>
      <c r="M415" s="15" t="inlineStr"/>
      <c r="N415" s="18" t="inlineStr">
        <is>
          <t>Chưa test</t>
        </is>
      </c>
      <c r="O415" s="15" t="inlineStr"/>
      <c r="P415" s="15" t="inlineStr"/>
      <c r="Q415" s="18" t="inlineStr">
        <is>
          <t>Chưa test</t>
        </is>
      </c>
      <c r="R415" s="15" t="inlineStr"/>
    </row>
    <row r="416" ht="30" customHeight="1">
      <c r="A416" s="14" t="inlineStr">
        <is>
          <t>TC-ADM3-415</t>
        </is>
      </c>
      <c r="B416" s="15" t="inlineStr">
        <is>
          <t>Admin Console (đợt 3: Phân tích, Hỗ trợ, Hệ thống)</t>
        </is>
      </c>
      <c r="C416" s="15" t="inlineStr">
        <is>
          <t>Điểm chưa làm / mô phỏng / lệch đợt 3</t>
        </is>
      </c>
      <c r="D416" s="15" t="inlineStr">
        <is>
          <t>Tạm khóa/gỡ nhân viên không thu hồi phiên đăng nhập thường (chỉ chặn /admin ở mỗi request)</t>
        </is>
      </c>
      <c r="E416" s="15" t="inlineStr">
        <is>
          <t>Bảo mật</t>
        </is>
      </c>
      <c r="F416" s="20" t="inlineStr">
        <is>
          <t>Trung bình</t>
        </is>
      </c>
      <c r="G416" s="20" t="inlineStr">
        <is>
          <t>Kế hoạch</t>
        </is>
      </c>
      <c r="H416" s="16" t="inlineStr">
        <is>
          <t>Không</t>
        </is>
      </c>
      <c r="I416" s="15" t="inlineStr">
        <is>
          <t>resolveStaff kiểm tra trạng thái nhân viên mỗi request /admin; Session/tokenVersion không bị động tới.</t>
        </is>
      </c>
      <c r="J416" s="15" t="inlineStr">
        <is>
          <t>1. Tạm khóa tom@ ở Tài khoản quản trị
2. Kiểm tra phiên đăng nhập thường của tom@ (Phiên đăng nhập, API thường)</t>
        </is>
      </c>
      <c r="K416" s="15" t="inlineStr">
        <is>
          <t>tom@</t>
        </is>
      </c>
      <c r="L416" s="15" t="inlineStr">
        <is>
          <t>GHI NHẬN: phiên thường vẫn hoạt động (chủ ý: chỉ khóa quyền admin). Nếu muốn buộc đăng nhập lại cần thêm bước thu hồi phiên - chưa chốt.</t>
        </is>
      </c>
      <c r="M416" s="15" t="inlineStr"/>
      <c r="N416" s="18" t="inlineStr">
        <is>
          <t>Chưa test</t>
        </is>
      </c>
      <c r="O416" s="15" t="inlineStr"/>
      <c r="P416" s="15" t="inlineStr"/>
      <c r="Q416" s="18" t="inlineStr">
        <is>
          <t>Chưa test</t>
        </is>
      </c>
      <c r="R416" s="15" t="inlineStr"/>
    </row>
    <row r="417" ht="30" customHeight="1">
      <c r="A417" s="14" t="inlineStr">
        <is>
          <t>TC-ADM3-416</t>
        </is>
      </c>
      <c r="B417" s="15" t="inlineStr">
        <is>
          <t>Admin Console (đợt 3: Phân tích, Hỗ trợ, Hệ thống)</t>
        </is>
      </c>
      <c r="C417" s="15" t="inlineStr">
        <is>
          <t>Điểm chưa làm / mô phỏng / lệch đợt 3</t>
        </is>
      </c>
      <c r="D417" s="15" t="inlineStr">
        <is>
          <t>Lệch tài liệu: admin-batch3.md ghi route chi trả của đợt 2 chỉ có GET (payment.view), thực tế có POST hold/approve/... cần payout.approve</t>
        </is>
      </c>
      <c r="E417" s="15" t="inlineStr">
        <is>
          <t>Chức năng</t>
        </is>
      </c>
      <c r="F417" s="17" t="inlineStr">
        <is>
          <t>Thấp</t>
        </is>
      </c>
      <c r="G417" s="20" t="inlineStr">
        <is>
          <t>Kế hoạch</t>
        </is>
      </c>
      <c r="H417" s="16" t="inlineStr">
        <is>
          <t>Không</t>
        </is>
      </c>
      <c r="I417" s="15" t="inlineStr">
        <is>
          <t>So docs/api/admin-batch3.md (mục Khác biệt) với admin-b2.routes.ts và requiredPermission.</t>
        </is>
      </c>
      <c r="J417" s="15" t="inlineStr">
        <is>
          <t>1. Gọi POST /admin/payments/payouts/x/hold bằng support@ (có payment.view, không có payout.approve)</t>
        </is>
      </c>
      <c r="K417" s="15" t="inlineStr">
        <is>
          <t>support@</t>
        </is>
      </c>
      <c r="L417" s="15" t="inlineStr">
        <is>
          <t>KỲ VỌNG THEO TÀI LIỆU: ... payment.view. THỰC TẾ (code): POST dưới /admin/payments/payouts cần payout.approve -&gt; 403 cho Support. Cần sửa tài liệu cho khớp code.</t>
        </is>
      </c>
      <c r="M417" s="15" t="inlineStr"/>
      <c r="N417" s="18" t="inlineStr">
        <is>
          <t>Chưa test</t>
        </is>
      </c>
      <c r="O417" s="15" t="inlineStr"/>
      <c r="P417" s="15" t="inlineStr"/>
      <c r="Q417" s="18" t="inlineStr">
        <is>
          <t>Chưa test</t>
        </is>
      </c>
      <c r="R417" s="15" t="inlineStr"/>
    </row>
    <row r="418" ht="30" customHeight="1">
      <c r="A418" s="14" t="inlineStr">
        <is>
          <t>TC-ADM3-417</t>
        </is>
      </c>
      <c r="B418" s="15" t="inlineStr">
        <is>
          <t>Admin Console (đợt 3: Phân tích, Hỗ trợ, Hệ thống)</t>
        </is>
      </c>
      <c r="C418" s="15" t="inlineStr">
        <is>
          <t>Điểm chưa làm / mô phỏng / lệch đợt 3</t>
        </is>
      </c>
      <c r="D418" s="15" t="inlineStr">
        <is>
          <t>Lệch nhãn: giao diện dùng 'Kiểm duyệt viên/Hỗ trợ/Tài chính' còn API trả Moderator/Support/Finance; audit seed ghi T-2002 cho ticket đầu tiên (thực tế T-2001)</t>
        </is>
      </c>
      <c r="E418" s="15" t="inlineStr">
        <is>
          <t>Giao diện</t>
        </is>
      </c>
      <c r="F418" s="17" t="inlineStr">
        <is>
          <t>Thấp</t>
        </is>
      </c>
      <c r="G418" s="20" t="inlineStr">
        <is>
          <t>Kế hoạch</t>
        </is>
      </c>
      <c r="H418" s="16" t="inlineStr">
        <is>
          <t>Không</t>
        </is>
      </c>
      <c r="I4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418" s="15" t="inlineStr">
        <is>
          <t>1. Đối chiếu nhãn vai trò ở sidebar/Tài khoản quản trị với GET /admin/me
2. Mở dòng audit support.ticket.reply của Ryan Cho và so mã ticket với danh sách</t>
        </is>
      </c>
      <c r="K418" s="15" t="inlineStr">
        <is>
          <t>-</t>
        </is>
      </c>
      <c r="L418" s="15" t="inlineStr">
        <is>
          <t>GHI NHẬN: nhãn vai trò khác nhau giữa FE và API; nhãn mục tiêu 'T-2002 · Cannot log in...' của dòng audit seed lệch 1 so với mã thật T-2001 (mã tính theo số tự tăng).</t>
        </is>
      </c>
      <c r="M418" s="15" t="inlineStr"/>
      <c r="N418" s="18" t="inlineStr">
        <is>
          <t>Chưa test</t>
        </is>
      </c>
      <c r="O418" s="15" t="inlineStr"/>
      <c r="P418" s="15" t="inlineStr"/>
      <c r="Q418" s="18" t="inlineStr">
        <is>
          <t>Chưa test</t>
        </is>
      </c>
      <c r="R418" s="15" t="inlineStr"/>
    </row>
    <row r="419" ht="30" customHeight="1">
      <c r="A419" s="14" t="inlineStr">
        <is>
          <t>TC-ADM3-418</t>
        </is>
      </c>
      <c r="B419" s="15" t="inlineStr">
        <is>
          <t>Admin Console (đợt 3: Phân tích, Hỗ trợ, Hệ thống)</t>
        </is>
      </c>
      <c r="C419" s="15" t="inlineStr">
        <is>
          <t>Điểm chưa làm / mô phỏng / lệch đợt 3</t>
        </is>
      </c>
      <c r="D419" s="15" t="inlineStr">
        <is>
          <t>Giá trị nghiệp vụ tạm (hoa hồng 10%, phí cổng, cửa sổ hoàn tiền 7 ngày, rút tối thiểu $50, cổng thanh toán, kick/ban hoàn tiền, xác thực SSE) vẫn chưa chốt dù đã chỉnh được ở Cài đặt chung</t>
        </is>
      </c>
      <c r="E419" s="15" t="inlineStr">
        <is>
          <t>Chức năng</t>
        </is>
      </c>
      <c r="F419" s="16" t="inlineStr">
        <is>
          <t>Cao</t>
        </is>
      </c>
      <c r="G419" s="20" t="inlineStr">
        <is>
          <t>Kế hoạch</t>
        </is>
      </c>
      <c r="H419" s="16" t="inlineStr">
        <is>
          <t>Không</t>
        </is>
      </c>
      <c r="I419" s="15" t="inlineStr">
        <is>
          <t>[PHỤ THUỘC QUYẾT ĐỊNH CHƯA CHỐT] Mặc định env; nay đổi được ở Admin &gt; Hệ thống &gt; Cài đặt chung và 'Khôi phục'.</t>
        </is>
      </c>
      <c r="J419" s="15" t="inlineStr">
        <is>
          <t>1. Đổi từng giá trị ở Cài đặt chung và kiểm tra Doanh thu/Hoàn tiền/Chi trả/Dùng thử (xem các case 'hiệu lực thật')
2. Ghi lại giá trị chính thức khi người dùng chốt</t>
        </is>
      </c>
      <c r="K419" s="15" t="inlineStr">
        <is>
          <t>-</t>
        </is>
      </c>
      <c r="L419"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419" s="15" t="inlineStr"/>
      <c r="N419" s="18" t="inlineStr">
        <is>
          <t>Chưa test</t>
        </is>
      </c>
      <c r="O419" s="15" t="inlineStr"/>
      <c r="P419" s="15" t="inlineStr"/>
      <c r="Q419" s="18" t="inlineStr">
        <is>
          <t>Chưa test</t>
        </is>
      </c>
      <c r="R419" s="15" t="inlineStr"/>
    </row>
  </sheetData>
  <autoFilter ref="A1:R419"/>
  <conditionalFormatting sqref="N2:N41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9" showDropDown="0" showInputMessage="0" showErrorMessage="0" allowBlank="1" type="list">
      <formula1>"Chưa test,Pass,Fail,Blocked,N/A"</formula1>
    </dataValidation>
    <dataValidation sqref="Q2:Q419" showDropDown="0" showInputMessage="0" showErrorMessage="0" allowBlank="1" type="list">
      <formula1>"Chưa test,Pass,Fail,Blocked,N/A"</formula1>
    </dataValidation>
    <dataValidation sqref="F2:F419" showDropDown="0" showInputMessage="0" showErrorMessage="0" allowBlank="1" type="list">
      <formula1>"Cao,Trung bình,Thấp"</formula1>
    </dataValidation>
    <dataValidation sqref="G2:G419" showDropDown="0" showInputMessage="0" showErrorMessage="0" allowBlank="1" type="list">
      <formula1>"Đã hoàn thiện,Kế hoạch"</formula1>
    </dataValidation>
    <dataValidation sqref="H2:H419"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9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TC-ROLE-001</t>
        </is>
      </c>
      <c r="B2" s="15" t="inlineStr">
        <is>
          <t>Ma trận phân quyền &amp; Bảo mật nâng cao</t>
        </is>
      </c>
      <c r="C2" s="15" t="inlineStr">
        <is>
          <t>Ma trận quyền</t>
        </is>
      </c>
      <c r="D2" s="15" t="inlineStr">
        <is>
          <t>Guest không thể đăng bài/bình luận/thích — bị chuyển hướng đăng nhập</t>
        </is>
      </c>
      <c r="E2" s="15" t="inlineStr">
        <is>
          <t>Bảo mật</t>
        </is>
      </c>
      <c r="F2" s="16" t="inlineStr">
        <is>
          <t>Cao</t>
        </is>
      </c>
      <c r="G2" s="17" t="inlineStr">
        <is>
          <t>Đã hoàn thiện</t>
        </is>
      </c>
      <c r="H2" s="17" t="inlineStr">
        <is>
          <t>Có</t>
        </is>
      </c>
      <c r="I2" s="15" t="inlineStr">
        <is>
          <t>Chưa đăng nhập</t>
        </is>
      </c>
      <c r="J2" s="15" t="inlineStr">
        <is>
          <t>1. Ở chế độ Khách, mở 1 bài viết công khai
2. Thử bấm Thích hoặc nhập bình luận</t>
        </is>
      </c>
      <c r="K2" s="15" t="inlineStr">
        <is>
          <t>-</t>
        </is>
      </c>
      <c r="L2" s="15" t="inlineStr">
        <is>
          <t>Bị chặn thao tác, chuyển hướng sang trang đăng nhập/đăng ký</t>
        </is>
      </c>
      <c r="M2" s="15" t="inlineStr"/>
      <c r="N2" s="18" t="inlineStr">
        <is>
          <t>Chưa test</t>
        </is>
      </c>
      <c r="O2" s="15" t="inlineStr"/>
      <c r="P2" s="15" t="inlineStr"/>
      <c r="Q2" s="18" t="inlineStr">
        <is>
          <t>Chưa test</t>
        </is>
      </c>
      <c r="R2" s="15" t="inlineStr"/>
    </row>
    <row r="3" ht="30" customHeight="1">
      <c r="A3" s="14" t="inlineStr">
        <is>
          <t>TC-ROLE-002</t>
        </is>
      </c>
      <c r="B3" s="15" t="inlineStr">
        <is>
          <t>Ma trận phân quyền &amp; Bảo mật nâng cao</t>
        </is>
      </c>
      <c r="C3" s="15" t="inlineStr">
        <is>
          <t>Ma trận quyền</t>
        </is>
      </c>
      <c r="D3" s="15" t="inlineStr">
        <is>
          <t>Member không truy cập được trang Cài đặt cộng đồng khi chỉ là thành viên thường</t>
        </is>
      </c>
      <c r="E3" s="15" t="inlineStr">
        <is>
          <t>Bảo mật</t>
        </is>
      </c>
      <c r="F3" s="16" t="inlineStr">
        <is>
          <t>Cao</t>
        </is>
      </c>
      <c r="G3" s="17" t="inlineStr">
        <is>
          <t>Đã hoàn thiện</t>
        </is>
      </c>
      <c r="H3" s="17" t="inlineStr">
        <is>
          <t>Có</t>
        </is>
      </c>
      <c r="I3" s="15" t="inlineStr">
        <is>
          <t>Tài khoản là Member thường của 1 cộng đồng</t>
        </is>
      </c>
      <c r="J3" s="15" t="inlineStr">
        <is>
          <t>1. Đăng nhập Member thường
2. Truy cập trực tiếp URL trang Cài đặt cộng đồng</t>
        </is>
      </c>
      <c r="K3" s="15" t="inlineStr">
        <is>
          <t>-</t>
        </is>
      </c>
      <c r="L3" s="15" t="inlineStr">
        <is>
          <t>Bị từ chối truy cập (403) hoặc không thấy menu Cài đặt</t>
        </is>
      </c>
      <c r="M3" s="15" t="inlineStr"/>
      <c r="N3" s="18" t="inlineStr">
        <is>
          <t>Chưa test</t>
        </is>
      </c>
      <c r="O3" s="15" t="inlineStr"/>
      <c r="P3" s="15" t="inlineStr"/>
      <c r="Q3" s="18" t="inlineStr">
        <is>
          <t>Chưa test</t>
        </is>
      </c>
      <c r="R3" s="15" t="inlineStr"/>
    </row>
    <row r="4" ht="30" customHeight="1">
      <c r="A4" s="14" t="inlineStr">
        <is>
          <t>TC-ROLE-003</t>
        </is>
      </c>
      <c r="B4" s="15" t="inlineStr">
        <is>
          <t>Ma trận phân quyền &amp; Bảo mật nâng cao</t>
        </is>
      </c>
      <c r="C4" s="15" t="inlineStr">
        <is>
          <t>Ma trận quyền</t>
        </is>
      </c>
      <c r="D4" s="15" t="inlineStr">
        <is>
          <t>Admin không có quyền xem/đổi giá cộng đồng khi chưa được Owner cấp quyền</t>
        </is>
      </c>
      <c r="E4" s="15" t="inlineStr">
        <is>
          <t>Bảo mật</t>
        </is>
      </c>
      <c r="F4" s="16" t="inlineStr">
        <is>
          <t>Cao</t>
        </is>
      </c>
      <c r="G4" s="17" t="inlineStr">
        <is>
          <t>Đã hoàn thiện</t>
        </is>
      </c>
      <c r="H4" s="17" t="inlineStr">
        <is>
          <t>Có</t>
        </is>
      </c>
      <c r="I4" s="15" t="inlineStr">
        <is>
          <t>Admin chưa được cấp quyền quản lý giá</t>
        </is>
      </c>
      <c r="J4" s="15" t="inlineStr">
        <is>
          <t>1. Đăng nhập Admin chưa được cấp quyền giá
2. Truy cập trang cài đặt giá cộng đồng</t>
        </is>
      </c>
      <c r="K4" s="15" t="inlineStr">
        <is>
          <t>-</t>
        </is>
      </c>
      <c r="L4" s="15" t="inlineStr">
        <is>
          <t>Bị từ chối truy cập/chỉnh sửa, đúng theo nguyên tắc phân quyền mặc định trong BRD mục 2</t>
        </is>
      </c>
      <c r="M4" s="15" t="inlineStr"/>
      <c r="N4" s="18" t="inlineStr">
        <is>
          <t>Chưa test</t>
        </is>
      </c>
      <c r="O4" s="15" t="inlineStr"/>
      <c r="P4" s="15" t="inlineStr"/>
      <c r="Q4" s="18" t="inlineStr">
        <is>
          <t>Chưa test</t>
        </is>
      </c>
      <c r="R4" s="15" t="inlineStr"/>
    </row>
    <row r="5" ht="30" customHeight="1">
      <c r="A5" s="14" t="inlineStr">
        <is>
          <t>TC-ROLE-004</t>
        </is>
      </c>
      <c r="B5" s="15" t="inlineStr">
        <is>
          <t>Ma trận phân quyền &amp; Bảo mật nâng cao</t>
        </is>
      </c>
      <c r="C5" s="15" t="inlineStr">
        <is>
          <t>Ma trận quyền</t>
        </is>
      </c>
      <c r="D5" s="15" t="inlineStr">
        <is>
          <t>Admin không thể xóa cộng đồng (quyền Owner-only)</t>
        </is>
      </c>
      <c r="E5" s="15" t="inlineStr">
        <is>
          <t>Bảo mật</t>
        </is>
      </c>
      <c r="F5" s="16" t="inlineStr">
        <is>
          <t>Cao</t>
        </is>
      </c>
      <c r="G5" s="17" t="inlineStr">
        <is>
          <t>Đã hoàn thiện</t>
        </is>
      </c>
      <c r="H5" s="17" t="inlineStr">
        <is>
          <t>Có</t>
        </is>
      </c>
      <c r="I5" s="15" t="inlineStr">
        <is>
          <t>Đăng nhập Admin của 1 cộng đồng</t>
        </is>
      </c>
      <c r="J5" s="15" t="inlineStr">
        <is>
          <t>1. Admin truy cập cài đặt cộng đồng
2. Tìm/thử gọi API xóa cộng đồng</t>
        </is>
      </c>
      <c r="K5" s="15" t="inlineStr">
        <is>
          <t>-</t>
        </is>
      </c>
      <c r="L5" s="15" t="inlineStr">
        <is>
          <t>Không có tùy chọn xóa cộng đồng trên giao diện; gọi API trực tiếp cũng bị từ chối</t>
        </is>
      </c>
      <c r="M5" s="15" t="inlineStr"/>
      <c r="N5" s="18" t="inlineStr">
        <is>
          <t>Chưa test</t>
        </is>
      </c>
      <c r="O5" s="15" t="inlineStr"/>
      <c r="P5" s="15" t="inlineStr"/>
      <c r="Q5" s="18" t="inlineStr">
        <is>
          <t>Chưa test</t>
        </is>
      </c>
      <c r="R5" s="15" t="inlineStr"/>
    </row>
    <row r="6" ht="30" customHeight="1">
      <c r="A6" s="14" t="inlineStr">
        <is>
          <t>TC-ROLE-005</t>
        </is>
      </c>
      <c r="B6" s="15" t="inlineStr">
        <is>
          <t>Ma trận phân quyền &amp; Bảo mật nâng cao</t>
        </is>
      </c>
      <c r="C6" s="15" t="inlineStr">
        <is>
          <t>Ma trận quyền</t>
        </is>
      </c>
      <c r="D6" s="15" t="inlineStr">
        <is>
          <t>Owner cộng đồng A không thể kiểm duyệt/quản lý cộng đồng B</t>
        </is>
      </c>
      <c r="E6" s="15" t="inlineStr">
        <is>
          <t>Bảo mật</t>
        </is>
      </c>
      <c r="F6" s="16" t="inlineStr">
        <is>
          <t>Cao</t>
        </is>
      </c>
      <c r="G6" s="17" t="inlineStr">
        <is>
          <t>Đã hoàn thiện</t>
        </is>
      </c>
      <c r="H6" s="17" t="inlineStr">
        <is>
          <t>Có</t>
        </is>
      </c>
      <c r="I6" s="15" t="inlineStr">
        <is>
          <t>Owner A sở hữu cộng đồng A, có cộng đồng B của Owner khác</t>
        </is>
      </c>
      <c r="J6" s="15" t="inlineStr">
        <is>
          <t>1. Đăng nhập Owner A
2. Truy cập trực tiếp URL trang quản trị của cộng đồng B (sửa ID)</t>
        </is>
      </c>
      <c r="K6" s="15" t="inlineStr">
        <is>
          <t>-</t>
        </is>
      </c>
      <c r="L6" s="15" t="inlineStr">
        <is>
          <t>Bị từ chối truy cập, không thấy hoặc không thao tác được với dữ liệu cộng đồng B</t>
        </is>
      </c>
      <c r="M6" s="15" t="inlineStr"/>
      <c r="N6" s="18" t="inlineStr">
        <is>
          <t>Chưa test</t>
        </is>
      </c>
      <c r="O6" s="15" t="inlineStr"/>
      <c r="P6" s="15" t="inlineStr"/>
      <c r="Q6" s="18" t="inlineStr">
        <is>
          <t>Chưa test</t>
        </is>
      </c>
      <c r="R6" s="15" t="inlineStr"/>
    </row>
    <row r="7" ht="30" customHeight="1">
      <c r="A7" s="14" t="inlineStr">
        <is>
          <t>TC-ROLE-006</t>
        </is>
      </c>
      <c r="B7" s="15" t="inlineStr">
        <is>
          <t>Ma trận phân quyền &amp; Bảo mật nâng cao</t>
        </is>
      </c>
      <c r="C7" s="15" t="inlineStr">
        <is>
          <t>Ma trận quyền</t>
        </is>
      </c>
      <c r="D7" s="15" t="inlineStr">
        <is>
          <t>Platform Admin truy cập được dữ liệu quản trị của mọi cộng đồng bất kể có phải thành viên</t>
        </is>
      </c>
      <c r="E7" s="15" t="inlineStr">
        <is>
          <t>Chức năng</t>
        </is>
      </c>
      <c r="F7" s="16" t="inlineStr">
        <is>
          <t>Cao</t>
        </is>
      </c>
      <c r="G7" s="17" t="inlineStr">
        <is>
          <t>Đã hoàn thiện</t>
        </is>
      </c>
      <c r="H7" s="17" t="inlineStr">
        <is>
          <t>Có</t>
        </is>
      </c>
      <c r="I7" s="15" t="inlineStr">
        <is>
          <t>Platform Admin không phải thành viên của cộng đồng X</t>
        </is>
      </c>
      <c r="J7" s="15" t="inlineStr">
        <is>
          <t>1. Đăng nhập Platform Admin
2. Truy cập trang quản trị/kiểm duyệt của cộng đồng X</t>
        </is>
      </c>
      <c r="K7" s="15" t="inlineStr">
        <is>
          <t>-</t>
        </is>
      </c>
      <c r="L7" s="15" t="inlineStr">
        <is>
          <t>Truy cập thành công, đúng theo quyền vận hành toàn nền tảng</t>
        </is>
      </c>
      <c r="M7" s="15" t="inlineStr"/>
      <c r="N7" s="18" t="inlineStr">
        <is>
          <t>Chưa test</t>
        </is>
      </c>
      <c r="O7" s="15" t="inlineStr"/>
      <c r="P7" s="15" t="inlineStr"/>
      <c r="Q7" s="18" t="inlineStr">
        <is>
          <t>Chưa test</t>
        </is>
      </c>
      <c r="R7" s="15" t="inlineStr"/>
    </row>
    <row r="8" ht="45" customHeight="1">
      <c r="A8" s="14" t="inlineStr">
        <is>
          <t>TC-ROLE-007</t>
        </is>
      </c>
      <c r="B8" s="15" t="inlineStr">
        <is>
          <t>Ma trận phân quyền &amp; Bảo mật nâng cao</t>
        </is>
      </c>
      <c r="C8" s="15" t="inlineStr">
        <is>
          <t>IDOR</t>
        </is>
      </c>
      <c r="D8" s="15" t="inlineStr">
        <is>
          <t>Người dùng A không xem được thông tin thanh toán/gói của người dùng B qua sửa ID trên URL</t>
        </is>
      </c>
      <c r="E8" s="15" t="inlineStr">
        <is>
          <t>Bảo mật</t>
        </is>
      </c>
      <c r="F8" s="16" t="inlineStr">
        <is>
          <t>Cao</t>
        </is>
      </c>
      <c r="G8" s="17" t="inlineStr">
        <is>
          <t>Đã hoàn thiện</t>
        </is>
      </c>
      <c r="H8" s="20" t="inlineStr">
        <is>
          <t>Một phần</t>
        </is>
      </c>
      <c r="I8" s="15" t="inlineStr">
        <is>
          <t>2 tài khoản A, B đều có gói đang active</t>
        </is>
      </c>
      <c r="J8" s="15" t="inlineStr">
        <is>
          <t>1. Đăng nhập A, vào trang 'Gói của tôi', ghi nhận định dạng URL/ID
2. Sửa ID trên URL thành ID tương ứng của B
3. Tải lại trang</t>
        </is>
      </c>
      <c r="K8" s="15" t="inlineStr">
        <is>
          <t>-</t>
        </is>
      </c>
      <c r="L8" s="15" t="inlineStr">
        <is>
          <t>Bị từ chối truy cập (403) hoặc trả về lỗi, không hiển thị dữ liệu thanh toán của B</t>
        </is>
      </c>
      <c r="M8" s="15" t="inlineStr"/>
      <c r="N8" s="18" t="inlineStr">
        <is>
          <t>Chưa test</t>
        </is>
      </c>
      <c r="O8" s="15" t="inlineStr"/>
      <c r="P8" s="15" t="inlineStr"/>
      <c r="Q8" s="18" t="inlineStr">
        <is>
          <t>Chưa test</t>
        </is>
      </c>
      <c r="R8" s="15" t="inlineStr"/>
    </row>
    <row r="9" ht="30" customHeight="1">
      <c r="A9" s="14" t="inlineStr">
        <is>
          <t>TC-ROLE-008</t>
        </is>
      </c>
      <c r="B9" s="15" t="inlineStr">
        <is>
          <t>Ma trận phân quyền &amp; Bảo mật nâng cao</t>
        </is>
      </c>
      <c r="C9" s="15" t="inlineStr">
        <is>
          <t>IDOR</t>
        </is>
      </c>
      <c r="D9" s="15" t="inlineStr">
        <is>
          <t>Người dùng A không sửa được tiến độ học (progress) của người dùng B qua API</t>
        </is>
      </c>
      <c r="E9" s="15" t="inlineStr">
        <is>
          <t>Bảo mật</t>
        </is>
      </c>
      <c r="F9" s="16" t="inlineStr">
        <is>
          <t>Cao</t>
        </is>
      </c>
      <c r="G9" s="17" t="inlineStr">
        <is>
          <t>Đã hoàn thiện</t>
        </is>
      </c>
      <c r="H9" s="17" t="inlineStr">
        <is>
          <t>Có</t>
        </is>
      </c>
      <c r="I9" s="15" t="inlineStr">
        <is>
          <t>B đang học 1 khóa học có tiến độ ghi nhận</t>
        </is>
      </c>
      <c r="J9" s="15" t="inlineStr">
        <is>
          <t>1. Đăng nhập A
2. Gọi API đánh dấu hoàn thành bài học nhưng truyền user_id/thông tin định danh của B</t>
        </is>
      </c>
      <c r="K9" s="15" t="inlineStr">
        <is>
          <t>user_id=B trong request của A</t>
        </is>
      </c>
      <c r="L9" s="15" t="inlineStr">
        <is>
          <t>API từ chối hoặc chỉ áp dụng cho chính A (lấy user từ token xác thực, bỏ qua tham số user_id truyền vào), không sửa được dữ liệu của B</t>
        </is>
      </c>
      <c r="M9" s="15" t="inlineStr"/>
      <c r="N9" s="18" t="inlineStr">
        <is>
          <t>Chưa test</t>
        </is>
      </c>
      <c r="O9" s="15" t="inlineStr"/>
      <c r="P9" s="15" t="inlineStr"/>
      <c r="Q9" s="18" t="inlineStr">
        <is>
          <t>Chưa test</t>
        </is>
      </c>
      <c r="R9" s="15" t="inlineStr"/>
    </row>
    <row r="10" ht="30" customHeight="1">
      <c r="A10" s="14" t="inlineStr">
        <is>
          <t>TC-ROLE-009</t>
        </is>
      </c>
      <c r="B10" s="15" t="inlineStr">
        <is>
          <t>Ma trận phân quyền &amp; Bảo mật nâng cao</t>
        </is>
      </c>
      <c r="C10" s="15" t="inlineStr">
        <is>
          <t>IDOR</t>
        </is>
      </c>
      <c r="D10" s="15" t="inlineStr">
        <is>
          <t>Không xem được tin nhắn trực tiếp giữa 2 người khác qua sửa ID cuộc trò chuyện</t>
        </is>
      </c>
      <c r="E10" s="15" t="inlineStr">
        <is>
          <t>Bảo mật</t>
        </is>
      </c>
      <c r="F10" s="16" t="inlineStr">
        <is>
          <t>Cao</t>
        </is>
      </c>
      <c r="G10" s="17" t="inlineStr">
        <is>
          <t>Đã hoàn thiện</t>
        </is>
      </c>
      <c r="H10" s="17" t="inlineStr">
        <is>
          <t>Có</t>
        </is>
      </c>
      <c r="I10" s="15" t="inlineStr">
        <is>
          <t>Có cuộc trò chuyện giữa B và C, đăng nhập bằng A</t>
        </is>
      </c>
      <c r="J10" s="15" t="inlineStr">
        <is>
          <t>1. Đăng nhập A
2. Sửa ID cuộc trò chuyện trên URL/API thành ID cuộc trò chuyện giữa B và C</t>
        </is>
      </c>
      <c r="K10" s="15" t="inlineStr">
        <is>
          <t>-</t>
        </is>
      </c>
      <c r="L10" s="15" t="inlineStr">
        <is>
          <t>Bị từ chối truy cập, A không đọc được nội dung tin nhắn giữa B và C</t>
        </is>
      </c>
      <c r="M10" s="15" t="inlineStr"/>
      <c r="N10" s="18" t="inlineStr">
        <is>
          <t>Chưa test</t>
        </is>
      </c>
      <c r="O10" s="15" t="inlineStr"/>
      <c r="P10" s="15" t="inlineStr"/>
      <c r="Q10" s="18" t="inlineStr">
        <is>
          <t>Chưa test</t>
        </is>
      </c>
      <c r="R10" s="15" t="inlineStr"/>
    </row>
    <row r="11" ht="30" customHeight="1">
      <c r="A11" s="14" t="inlineStr">
        <is>
          <t>TC-ROLE-010</t>
        </is>
      </c>
      <c r="B11" s="15" t="inlineStr">
        <is>
          <t>Ma trận phân quyền &amp; Bảo mật nâng cao</t>
        </is>
      </c>
      <c r="C11" s="15" t="inlineStr">
        <is>
          <t>Privilege escalation</t>
        </is>
      </c>
      <c r="D11" s="15" t="inlineStr">
        <is>
          <t>Member không gọi được trực tiếp API dành riêng cho Admin/Owner</t>
        </is>
      </c>
      <c r="E11" s="15" t="inlineStr">
        <is>
          <t>Bảo mật</t>
        </is>
      </c>
      <c r="F11" s="16" t="inlineStr">
        <is>
          <t>Cao</t>
        </is>
      </c>
      <c r="G11" s="17" t="inlineStr">
        <is>
          <t>Đã hoàn thiện</t>
        </is>
      </c>
      <c r="H11" s="17" t="inlineStr">
        <is>
          <t>Có</t>
        </is>
      </c>
      <c r="I11" s="15" t="inlineStr">
        <is>
          <t>Đăng nhập Member thường, biết endpoint API quản trị</t>
        </is>
      </c>
      <c r="J11" s="15" t="inlineStr">
        <is>
          <t>1. Đăng nhập Member thường
2. Dùng Postman/DevTools gọi trực tiếp API vốn chỉ hiện trên giao diện Admin</t>
        </is>
      </c>
      <c r="K11" s="15" t="inlineStr">
        <is>
          <t>-</t>
        </is>
      </c>
      <c r="L11" s="15" t="inlineStr">
        <is>
          <t>API trả về lỗi từ chối quyền (403), không thực hiện hành động</t>
        </is>
      </c>
      <c r="M11" s="15" t="inlineStr"/>
      <c r="N11" s="18" t="inlineStr">
        <is>
          <t>Chưa test</t>
        </is>
      </c>
      <c r="O11" s="15" t="inlineStr"/>
      <c r="P11" s="15" t="inlineStr"/>
      <c r="Q11" s="18" t="inlineStr">
        <is>
          <t>Chưa test</t>
        </is>
      </c>
      <c r="R11" s="15" t="inlineStr"/>
    </row>
    <row r="12" ht="30" customHeight="1">
      <c r="A12" s="14" t="inlineStr">
        <is>
          <t>TC-ROLE-011</t>
        </is>
      </c>
      <c r="B12" s="15" t="inlineStr">
        <is>
          <t>Ma trận phân quyền &amp; Bảo mật nâng cao</t>
        </is>
      </c>
      <c r="C12" s="15" t="inlineStr">
        <is>
          <t>JWT/Token</t>
        </is>
      </c>
      <c r="D12" s="15" t="inlineStr">
        <is>
          <t>Sửa đổi claim vai trò (role) trong token không nâng được quyền thực tế</t>
        </is>
      </c>
      <c r="E12" s="15" t="inlineStr">
        <is>
          <t>Bảo mật</t>
        </is>
      </c>
      <c r="F12" s="16" t="inlineStr">
        <is>
          <t>Cao</t>
        </is>
      </c>
      <c r="G12" s="17" t="inlineStr">
        <is>
          <t>Đã hoàn thiện</t>
        </is>
      </c>
      <c r="H12" s="16" t="inlineStr">
        <is>
          <t>Không</t>
        </is>
      </c>
      <c r="I12" s="15" t="inlineStr">
        <is>
          <t>Có access token hợp lệ của tài khoản Member</t>
        </is>
      </c>
      <c r="J12" s="15" t="inlineStr">
        <is>
          <t>1. Giải mã token, sửa trường role từ 'member' thành 'admin'/'platform_admin'
2. Dùng token đã sửa gọi API quản trị</t>
        </is>
      </c>
      <c r="K12" s="15" t="inlineStr">
        <is>
          <t>-</t>
        </is>
      </c>
      <c r="L12" s="15" t="inlineStr">
        <is>
          <t>Token bị coi là không hợp lệ do sai chữ ký (signature), bị từ chối ngay — quyền được xác thực ở server, không dựa vào claim client gửi lên</t>
        </is>
      </c>
      <c r="M12" s="15" t="inlineStr"/>
      <c r="N12" s="18" t="inlineStr">
        <is>
          <t>Chưa test</t>
        </is>
      </c>
      <c r="O12" s="15" t="inlineStr"/>
      <c r="P12" s="15" t="inlineStr"/>
      <c r="Q12" s="18" t="inlineStr">
        <is>
          <t>Chưa test</t>
        </is>
      </c>
      <c r="R12" s="15" t="inlineStr"/>
    </row>
    <row r="13" ht="30" customHeight="1">
      <c r="A13" s="14" t="inlineStr">
        <is>
          <t>TC-ROLE-012</t>
        </is>
      </c>
      <c r="B13" s="15" t="inlineStr">
        <is>
          <t>Ma trận phân quyền &amp; Bảo mật nâng cao</t>
        </is>
      </c>
      <c r="C13" s="15" t="inlineStr">
        <is>
          <t>CSRF</t>
        </is>
      </c>
      <c r="D13" s="15" t="inlineStr">
        <is>
          <t>Các API thay đổi trạng thái (POST/PUT/DELETE) được bảo vệ chống CSRF</t>
        </is>
      </c>
      <c r="E13" s="15" t="inlineStr">
        <is>
          <t>Bảo mật</t>
        </is>
      </c>
      <c r="F13" s="16" t="inlineStr">
        <is>
          <t>Cao</t>
        </is>
      </c>
      <c r="G13" s="20" t="inlineStr">
        <is>
          <t>Kế hoạch</t>
        </is>
      </c>
      <c r="H13" s="17" t="inlineStr">
        <is>
          <t>Có</t>
        </is>
      </c>
      <c r="I13" s="15" t="inlineStr">
        <is>
          <t>Đã đăng nhập trên trình duyệt A</t>
        </is>
      </c>
      <c r="J13" s="15" t="inlineStr">
        <is>
          <t>1. Dựng 1 trang HTML bên ngoài tự động submit POST tới API thay đổi trạng thái (VD đổi email) khi nạn nhân đang đăng nhập
2. Cho nạn nhân mở trang đó</t>
        </is>
      </c>
      <c r="K13" s="15" t="inlineStr">
        <is>
          <t>-</t>
        </is>
      </c>
      <c r="L13" s="15" t="inlineStr">
        <is>
          <t>Request bị từ chối do thiếu CSRF token hợp lệ/kiểm tra origin, không thực hiện được thay đổi ngoài ý muốn</t>
        </is>
      </c>
      <c r="M13" s="15" t="inlineStr"/>
      <c r="N13" s="18" t="inlineStr">
        <is>
          <t>Chưa test</t>
        </is>
      </c>
      <c r="O13" s="15" t="inlineStr"/>
      <c r="P13" s="15" t="inlineStr"/>
      <c r="Q13" s="18" t="inlineStr">
        <is>
          <t>Chưa test</t>
        </is>
      </c>
      <c r="R13" s="15" t="inlineStr"/>
    </row>
    <row r="14" ht="30" customHeight="1">
      <c r="A14" s="14" t="inlineStr">
        <is>
          <t>TC-ROLE-013</t>
        </is>
      </c>
      <c r="B14" s="15" t="inlineStr">
        <is>
          <t>Ma trận phân quyền &amp; Bảo mật nâng cao</t>
        </is>
      </c>
      <c r="C14" s="15" t="inlineStr">
        <is>
          <t>Rate limiting</t>
        </is>
      </c>
      <c r="D14" s="15" t="inlineStr">
        <is>
          <t>Giới hạn tần suất gọi API tìm kiếm/đăng ký để chống lạm dụng</t>
        </is>
      </c>
      <c r="E14" s="15" t="inlineStr">
        <is>
          <t>Bảo mật</t>
        </is>
      </c>
      <c r="F14" s="20" t="inlineStr">
        <is>
          <t>Trung bình</t>
        </is>
      </c>
      <c r="G14" s="17" t="inlineStr">
        <is>
          <t>Đã hoàn thiện</t>
        </is>
      </c>
      <c r="H14" s="17" t="inlineStr">
        <is>
          <t>Có</t>
        </is>
      </c>
      <c r="I14" s="15" t="inlineStr">
        <is>
          <t>-</t>
        </is>
      </c>
      <c r="J14" s="15" t="inlineStr">
        <is>
          <t>1. Gọi liên tục API tìm kiếm hoặc đăng ký tài khoản với tần suất rất cao trong thời gian ngắn (script tự động)</t>
        </is>
      </c>
      <c r="K14" s="15" t="inlineStr">
        <is>
          <t>-</t>
        </is>
      </c>
      <c r="L14" s="15" t="inlineStr">
        <is>
          <t>Sau ngưỡng nhất định, hệ thống trả về lỗi 429 (Too Many Requests) hoặc yêu cầu captcha, chặn spam</t>
        </is>
      </c>
      <c r="M14" s="15" t="inlineStr"/>
      <c r="N14" s="18" t="inlineStr">
        <is>
          <t>Chưa test</t>
        </is>
      </c>
      <c r="O14" s="15" t="inlineStr"/>
      <c r="P14" s="15" t="inlineStr"/>
      <c r="Q14" s="18" t="inlineStr">
        <is>
          <t>Chưa test</t>
        </is>
      </c>
      <c r="R14" s="15" t="inlineStr"/>
    </row>
    <row r="15" ht="30" customHeight="1">
      <c r="A15" s="14" t="inlineStr">
        <is>
          <t>TC-ROLE-014</t>
        </is>
      </c>
      <c r="B15" s="15" t="inlineStr">
        <is>
          <t>Ma trận phân quyền &amp; Bảo mật nâng cao</t>
        </is>
      </c>
      <c r="C15" s="15" t="inlineStr">
        <is>
          <t>Upload file</t>
        </is>
      </c>
      <c r="D15" s="15" t="inlineStr">
        <is>
          <t>Từ chối upload file thực thi/nguy hiểm giả dạng ảnh (VD .exe/.php đổi tên .jpg)</t>
        </is>
      </c>
      <c r="E15" s="15" t="inlineStr">
        <is>
          <t>Bảo mật</t>
        </is>
      </c>
      <c r="F15" s="16" t="inlineStr">
        <is>
          <t>Cao</t>
        </is>
      </c>
      <c r="G15" s="17" t="inlineStr">
        <is>
          <t>Đã hoàn thiện</t>
        </is>
      </c>
      <c r="H15" s="17" t="inlineStr">
        <is>
          <t>Có</t>
        </is>
      </c>
      <c r="I15" s="15" t="inlineStr">
        <is>
          <t>Có chức năng upload file (ảnh đại diện, tệp bài học...)</t>
        </is>
      </c>
      <c r="J15" s="15" t="inlineStr">
        <is>
          <t>1. Chọn upload 1 file .exe/.php đổi tên thành .jpg
2. Thực hiện upload</t>
        </is>
      </c>
      <c r="K15" s="15" t="inlineStr">
        <is>
          <t>File giả mạo đuôi ảnh</t>
        </is>
      </c>
      <c r="L15" s="15" t="inlineStr">
        <is>
          <t>Hệ thống kiểm tra loại file thực tế (không chỉ theo đuôi tên file), từ chối file không hợp lệ</t>
        </is>
      </c>
      <c r="M15" s="15" t="inlineStr"/>
      <c r="N15" s="18" t="inlineStr">
        <is>
          <t>Chưa test</t>
        </is>
      </c>
      <c r="O15" s="15" t="inlineStr"/>
      <c r="P15" s="15" t="inlineStr"/>
      <c r="Q15" s="18" t="inlineStr">
        <is>
          <t>Chưa test</t>
        </is>
      </c>
      <c r="R15" s="15" t="inlineStr"/>
    </row>
    <row r="16" ht="30" customHeight="1">
      <c r="A16" s="14" t="inlineStr">
        <is>
          <t>TC-ROLE-015</t>
        </is>
      </c>
      <c r="B16" s="15" t="inlineStr">
        <is>
          <t>Ma trận phân quyền &amp; Bảo mật nâng cao</t>
        </is>
      </c>
      <c r="C16" s="15" t="inlineStr">
        <is>
          <t>Upload file</t>
        </is>
      </c>
      <c r="D16" s="15" t="inlineStr">
        <is>
          <t>Giới hạn dung lượng file upload tối đa</t>
        </is>
      </c>
      <c r="E16" s="15" t="inlineStr">
        <is>
          <t>Chức năng</t>
        </is>
      </c>
      <c r="F16" s="20" t="inlineStr">
        <is>
          <t>Trung bình</t>
        </is>
      </c>
      <c r="G16" s="17" t="inlineStr">
        <is>
          <t>Đã hoàn thiện</t>
        </is>
      </c>
      <c r="H16" s="17" t="inlineStr">
        <is>
          <t>Có</t>
        </is>
      </c>
      <c r="I16" s="15" t="inlineStr">
        <is>
          <t>-</t>
        </is>
      </c>
      <c r="J16" s="15" t="inlineStr">
        <is>
          <t>1. Upload 1 file vượt quá giới hạn dung lượng cho phép (VD &gt; 10MB cho ảnh)</t>
        </is>
      </c>
      <c r="K16" s="15" t="inlineStr">
        <is>
          <t>File &gt; giới hạn quy định</t>
        </is>
      </c>
      <c r="L16" s="15" t="inlineStr">
        <is>
          <t>Hệ thống từ chối, báo lỗi rõ ràng về giới hạn dung lượng, không làm treo server</t>
        </is>
      </c>
      <c r="M16" s="15" t="inlineStr"/>
      <c r="N16" s="18" t="inlineStr">
        <is>
          <t>Chưa test</t>
        </is>
      </c>
      <c r="O16" s="15" t="inlineStr"/>
      <c r="P16" s="15" t="inlineStr"/>
      <c r="Q16" s="18" t="inlineStr">
        <is>
          <t>Chưa test</t>
        </is>
      </c>
      <c r="R16" s="15" t="inlineStr"/>
    </row>
    <row r="17" ht="30" customHeight="1">
      <c r="A17" s="14" t="inlineStr">
        <is>
          <t>TC-ROLE-016</t>
        </is>
      </c>
      <c r="B17" s="15" t="inlineStr">
        <is>
          <t>Ma trận phân quyền &amp; Bảo mật nâng cao</t>
        </is>
      </c>
      <c r="C17" s="15" t="inlineStr">
        <is>
          <t>Ma trận quyền</t>
        </is>
      </c>
      <c r="D17" s="15" t="inlineStr">
        <is>
          <t>Ma trận tổng hợp: mỗi vai trò chỉ thấy đúng menu/chức năng được phép trên giao diện</t>
        </is>
      </c>
      <c r="E17" s="15" t="inlineStr">
        <is>
          <t>Giao diện</t>
        </is>
      </c>
      <c r="F17" s="20" t="inlineStr">
        <is>
          <t>Trung bình</t>
        </is>
      </c>
      <c r="G17" s="17" t="inlineStr">
        <is>
          <t>Đã hoàn thiện</t>
        </is>
      </c>
      <c r="H17" s="17" t="inlineStr">
        <is>
          <t>Có</t>
        </is>
      </c>
      <c r="I17" s="15" t="inlineStr">
        <is>
          <t>Có đủ 5 loại tài khoản test tương ứng 5 vai trò</t>
        </is>
      </c>
      <c r="J17" s="15" t="inlineStr">
        <is>
          <t>1. Lần lượt đăng nhập bằng từng vai trò: Guest, Member, Owner, Admin, Platform Admin
2. Đối chiếu menu/nút chức năng hiển thị với bảng quyền hạn ở BRD mục 2</t>
        </is>
      </c>
      <c r="K17" s="15" t="inlineStr">
        <is>
          <t>-</t>
        </is>
      </c>
      <c r="L17" s="15" t="inlineStr">
        <is>
          <t>Mỗi vai trò chỉ thấy đúng menu/chức năng theo đúng bảng quyền hạn đã mô tả trong BRD, không thừa không thiếu</t>
        </is>
      </c>
      <c r="M17" s="15" t="inlineStr"/>
      <c r="N17" s="18" t="inlineStr">
        <is>
          <t>Chưa test</t>
        </is>
      </c>
      <c r="O17" s="15" t="inlineStr"/>
      <c r="P17" s="15" t="inlineStr"/>
      <c r="Q17" s="18" t="inlineStr">
        <is>
          <t>Chưa test</t>
        </is>
      </c>
      <c r="R17" s="15" t="inlineStr"/>
    </row>
    <row r="18" ht="30" customHeight="1">
      <c r="A18" s="14" t="inlineStr">
        <is>
          <t>TC-ROLE-017</t>
        </is>
      </c>
      <c r="B18" s="15" t="inlineStr">
        <is>
          <t>Ma trận phân quyền &amp; Bảo mật nâng cao</t>
        </is>
      </c>
      <c r="C18" s="15" t="inlineStr">
        <is>
          <t>Dữ liệu nhạy cảm</t>
        </is>
      </c>
      <c r="D18" s="15" t="inlineStr">
        <is>
          <t>API danh sách thành viên không trả về các trường nhạy cảm ra ngoài</t>
        </is>
      </c>
      <c r="E18" s="15" t="inlineStr">
        <is>
          <t>Bảo mật</t>
        </is>
      </c>
      <c r="F18" s="16" t="inlineStr">
        <is>
          <t>Cao</t>
        </is>
      </c>
      <c r="G18" s="17" t="inlineStr">
        <is>
          <t>Đã hoàn thiện</t>
        </is>
      </c>
      <c r="H18" s="16" t="inlineStr">
        <is>
          <t>Không</t>
        </is>
      </c>
      <c r="I18" s="15" t="inlineStr">
        <is>
          <t>-</t>
        </is>
      </c>
      <c r="J18" s="15" t="inlineStr">
        <is>
          <t>1. Gọi API lấy danh sách/chi tiết thành viên (qua DevTools Network)
2. Kiểm tra toàn bộ response body</t>
        </is>
      </c>
      <c r="K18" s="15" t="inlineStr">
        <is>
          <t>-</t>
        </is>
      </c>
      <c r="L18" s="15" t="inlineStr">
        <is>
          <t>Response không chứa mật khẩu (hash), token nội bộ hay dữ liệu nhạy cảm không cần thiết cho client</t>
        </is>
      </c>
      <c r="M18" s="15" t="inlineStr"/>
      <c r="N18" s="18" t="inlineStr">
        <is>
          <t>Chưa test</t>
        </is>
      </c>
      <c r="O18" s="15" t="inlineStr"/>
      <c r="P18" s="15" t="inlineStr"/>
      <c r="Q18" s="18" t="inlineStr">
        <is>
          <t>Chưa test</t>
        </is>
      </c>
      <c r="R18" s="15" t="inlineStr"/>
    </row>
    <row r="19" ht="45" customHeight="1">
      <c r="A19" s="14" t="inlineStr">
        <is>
          <t>TC-ROLE-018</t>
        </is>
      </c>
      <c r="B19" s="15" t="inlineStr">
        <is>
          <t>Ma trận phân quyền &amp; Bảo mật nâng cao</t>
        </is>
      </c>
      <c r="C19" s="15" t="inlineStr">
        <is>
          <t>Đăng xuất bảo mật</t>
        </is>
      </c>
      <c r="D19" s="15" t="inlineStr">
        <is>
          <t>Back trình duyệt trên thiết bị dùng chung không để lộ lại dữ liệu qua cache</t>
        </is>
      </c>
      <c r="E19" s="15" t="inlineStr">
        <is>
          <t>Bảo mật</t>
        </is>
      </c>
      <c r="F19" s="20" t="inlineStr">
        <is>
          <t>Trung bình</t>
        </is>
      </c>
      <c r="G19" s="17" t="inlineStr">
        <is>
          <t>Đã hoàn thiện</t>
        </is>
      </c>
      <c r="H19" s="17" t="inlineStr">
        <is>
          <t>Có</t>
        </is>
      </c>
      <c r="I19" s="15" t="inlineStr">
        <is>
          <t>Đăng nhập trên máy tính dùng chung</t>
        </is>
      </c>
      <c r="J19" s="15" t="inlineStr">
        <is>
          <t>1. Đăng nhập, xem 1 trang có dữ liệu cá nhân
2. Đăng xuất
3. Bấm nút Back của trình duyệt nhiều lần</t>
        </is>
      </c>
      <c r="K19" s="15" t="inlineStr">
        <is>
          <t>-</t>
        </is>
      </c>
      <c r="L19" s="15" t="inlineStr">
        <is>
          <t>Không hiển thị lại dữ liệu cá nhân đã cache, yêu cầu đăng nhập lại nếu muốn xem</t>
        </is>
      </c>
      <c r="M19" s="15" t="inlineStr"/>
      <c r="N19" s="18" t="inlineStr">
        <is>
          <t>Chưa test</t>
        </is>
      </c>
      <c r="O19" s="15" t="inlineStr"/>
      <c r="P19" s="15" t="inlineStr"/>
      <c r="Q19" s="18" t="inlineStr">
        <is>
          <t>Chưa test</t>
        </is>
      </c>
      <c r="R19" s="15" t="inlineStr"/>
    </row>
    <row r="20" ht="30" customHeight="1">
      <c r="A20" s="14" t="inlineStr">
        <is>
          <t>TC-ROLE-019</t>
        </is>
      </c>
      <c r="B20" s="15" t="inlineStr">
        <is>
          <t>Ma trận phân quyền &amp; Bảo mật nâng cao</t>
        </is>
      </c>
      <c r="C20" s="15" t="inlineStr">
        <is>
          <t>Ma trận: bảng tin</t>
        </is>
      </c>
      <c r="D20" s="15" t="inlineStr">
        <is>
          <t>Đọc bảng tin cộng đồng photo theo 8 vai trò</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/api/courses/photo/posts (khách: không gửi header Authorization)
2. Ghi lại mã HTTP, error.code và message của từng lần gọi</t>
        </is>
      </c>
      <c r="K20" s="15" t="inlineStr">
        <is>
          <t>-</t>
        </is>
      </c>
      <c r="L20"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20" s="15" t="inlineStr"/>
      <c r="N20" s="18" t="inlineStr">
        <is>
          <t>Chưa test</t>
        </is>
      </c>
      <c r="O20" s="15" t="inlineStr"/>
      <c r="P20" s="15" t="inlineStr"/>
      <c r="Q20" s="18" t="inlineStr">
        <is>
          <t>Chưa test</t>
        </is>
      </c>
      <c r="R20" s="15" t="inlineStr"/>
    </row>
    <row r="21" ht="30" customHeight="1">
      <c r="A21" s="14" t="inlineStr">
        <is>
          <t>TC-ROLE-020</t>
        </is>
      </c>
      <c r="B21" s="15" t="inlineStr">
        <is>
          <t>Ma trận phân quyền &amp; Bảo mật nâng cao</t>
        </is>
      </c>
      <c r="C21" s="15" t="inlineStr">
        <is>
          <t>Ma trận: bảng tin</t>
        </is>
      </c>
      <c r="D21" s="15" t="inlineStr">
        <is>
          <t>Đăng bài mới vào photo theo 8 vai trò</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POST /api/courses/photo/posts (khách: không gửi header Authorization)
2. Ghi lại mã HTTP, error.code và message của từng lần gọi</t>
        </is>
      </c>
      <c r="K21" s="15" t="inlineStr">
        <is>
          <t>Body {"content":"Bài thử ma trận quyền"}</t>
        </is>
      </c>
      <c r="L21"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21" s="15" t="inlineStr"/>
      <c r="N21" s="18" t="inlineStr">
        <is>
          <t>Chưa test</t>
        </is>
      </c>
      <c r="O21" s="15" t="inlineStr"/>
      <c r="P21" s="15" t="inlineStr"/>
      <c r="Q21" s="18" t="inlineStr">
        <is>
          <t>Chưa test</t>
        </is>
      </c>
      <c r="R21" s="15" t="inlineStr"/>
    </row>
    <row r="22" ht="45" customHeight="1">
      <c r="A22" s="14" t="inlineStr">
        <is>
          <t>TC-ROLE-021</t>
        </is>
      </c>
      <c r="B22" s="15" t="inlineStr">
        <is>
          <t>Ma trận phân quyền &amp; Bảo mật nâng cao</t>
        </is>
      </c>
      <c r="C22" s="15" t="inlineStr">
        <is>
          <t>Ma trận: bảng tin</t>
        </is>
      </c>
      <c r="D22" s="15" t="inlineStr">
        <is>
          <t>Thích bài viết (toggle like) theo 8 vai trò</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22" s="15" t="inlineStr">
        <is>
          <t>-</t>
        </is>
      </c>
      <c r="L22"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22" s="15" t="inlineStr"/>
      <c r="N22" s="18" t="inlineStr">
        <is>
          <t>Chưa test</t>
        </is>
      </c>
      <c r="O22" s="15" t="inlineStr"/>
      <c r="P22" s="15" t="inlineStr"/>
      <c r="Q22" s="18" t="inlineStr">
        <is>
          <t>Chưa test</t>
        </is>
      </c>
      <c r="R22" s="15" t="inlineStr"/>
    </row>
    <row r="23" ht="45" customHeight="1">
      <c r="A23" s="14" t="inlineStr">
        <is>
          <t>TC-ROLE-022</t>
        </is>
      </c>
      <c r="B23" s="15" t="inlineStr">
        <is>
          <t>Ma trận phân quyền &amp; Bảo mật nâng cao</t>
        </is>
      </c>
      <c r="C23" s="15" t="inlineStr">
        <is>
          <t>Ma trận: bảng tin</t>
        </is>
      </c>
      <c r="D23" s="15" t="inlineStr">
        <is>
          <t>Ghim bài viết (pin) chỉ dành cho mod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/api/posts/seed-post-photo-m1-image/pin (khách: không gửi header Authorization)
2. Ghi lại mã HTTP, error.code và message của từng lần gọi
3. Gọi lần hai để bỏ ghim</t>
        </is>
      </c>
      <c r="K23" s="15" t="inlineStr">
        <is>
          <t>-</t>
        </is>
      </c>
      <c r="L23"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23" s="15" t="inlineStr"/>
      <c r="N23" s="18" t="inlineStr">
        <is>
          <t>Chưa test</t>
        </is>
      </c>
      <c r="O23" s="15" t="inlineStr"/>
      <c r="P23" s="15" t="inlineStr"/>
      <c r="Q23" s="18" t="inlineStr">
        <is>
          <t>Chưa test</t>
        </is>
      </c>
      <c r="R23" s="15" t="inlineStr"/>
    </row>
    <row r="24" ht="45" customHeight="1">
      <c r="A24" s="14" t="inlineStr">
        <is>
          <t>TC-ROLE-023</t>
        </is>
      </c>
      <c r="B24" s="15" t="inlineStr">
        <is>
          <t>Ma trận phân quyền &amp; Bảo mật nâng cao</t>
        </is>
      </c>
      <c r="C24" s="15" t="inlineStr">
        <is>
          <t>Ma trận: bảng tin</t>
        </is>
      </c>
      <c r="D24" s="15" t="inlineStr">
        <is>
          <t>Ẩn bài viết (hide) chỉ dành cho mod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24" s="15" t="inlineStr">
        <is>
          <t>-</t>
        </is>
      </c>
      <c r="L24"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24" s="15" t="inlineStr"/>
      <c r="N24" s="18" t="inlineStr">
        <is>
          <t>Chưa test</t>
        </is>
      </c>
      <c r="O24" s="15" t="inlineStr"/>
      <c r="P24" s="15" t="inlineStr"/>
      <c r="Q24" s="18" t="inlineStr">
        <is>
          <t>Chưa test</t>
        </is>
      </c>
      <c r="R24" s="15" t="inlineStr"/>
    </row>
    <row r="25" ht="45" customHeight="1">
      <c r="A25" s="14" t="inlineStr">
        <is>
          <t>TC-ROLE-024</t>
        </is>
      </c>
      <c r="B25" s="15" t="inlineStr">
        <is>
          <t>Ma trận phân quyền &amp; Bảo mật nâng cao</t>
        </is>
      </c>
      <c r="C25" s="15" t="inlineStr">
        <is>
          <t>Ma trận: bảng tin</t>
        </is>
      </c>
      <c r="D25" s="15" t="inlineStr">
        <is>
          <t>Sửa bài của người khác (bài của member1) theo 8 vai trò</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25" s="15" t="inlineStr">
        <is>
          <t>Body {"content":"Nội dung sửa thử"}</t>
        </is>
      </c>
      <c r="L25"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25" s="15" t="inlineStr"/>
      <c r="N25" s="18" t="inlineStr">
        <is>
          <t>Chưa test</t>
        </is>
      </c>
      <c r="O25" s="15" t="inlineStr"/>
      <c r="P25" s="15" t="inlineStr"/>
      <c r="Q25" s="18" t="inlineStr">
        <is>
          <t>Chưa test</t>
        </is>
      </c>
      <c r="R25" s="15" t="inlineStr"/>
    </row>
    <row r="26" ht="45" customHeight="1">
      <c r="A26" s="14" t="inlineStr">
        <is>
          <t>TC-ROLE-025</t>
        </is>
      </c>
      <c r="B26" s="15" t="inlineStr">
        <is>
          <t>Ma trận phân quyền &amp; Bảo mật nâng cao</t>
        </is>
      </c>
      <c r="C26" s="15" t="inlineStr">
        <is>
          <t>Ma trận: bảng tin</t>
        </is>
      </c>
      <c r="D26" s="15" t="inlineStr">
        <is>
          <t>Xóa bình luận của người khác (bình luận của member2) theo 8 vai trò</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26" s="15" t="inlineStr">
        <is>
          <t>-</t>
        </is>
      </c>
      <c r="L26"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26" s="15" t="inlineStr"/>
      <c r="N26" s="18" t="inlineStr">
        <is>
          <t>Chưa test</t>
        </is>
      </c>
      <c r="O26" s="15" t="inlineStr"/>
      <c r="P26" s="15" t="inlineStr"/>
      <c r="Q26" s="18" t="inlineStr">
        <is>
          <t>Chưa test</t>
        </is>
      </c>
      <c r="R26" s="15" t="inlineStr"/>
    </row>
    <row r="27" ht="30" customHeight="1">
      <c r="A27" s="14" t="inlineStr">
        <is>
          <t>TC-ROLE-026</t>
        </is>
      </c>
      <c r="B27" s="15" t="inlineStr">
        <is>
          <t>Ma trận phân quyền &amp; Bảo mật nâng cao</t>
        </is>
      </c>
      <c r="C27" s="15" t="inlineStr">
        <is>
          <t>Ma trận: bảng tin</t>
        </is>
      </c>
      <c r="D27" s="15" t="inlineStr">
        <is>
          <t>Bỏ phiếu poll theo 8 vai trò</t>
        </is>
      </c>
      <c r="E27" s="15" t="inlineStr">
        <is>
          <t>Bảo mật</t>
        </is>
      </c>
      <c r="F27" s="20" t="inlineStr">
        <is>
          <t>Trung bình</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POST /api/posts/seed-post-photo-m1-poll/poll/vote (khách: không gửi header Authorization)
2. Ghi lại mã HTTP, error.code và message của từng lần gọi</t>
        </is>
      </c>
      <c r="K27" s="15" t="inlineStr">
        <is>
          <t>Body {"optionIds":["seed-photo-poll-o2"]}</t>
        </is>
      </c>
      <c r="L27"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27" s="15" t="inlineStr"/>
      <c r="N27" s="18" t="inlineStr">
        <is>
          <t>Chưa test</t>
        </is>
      </c>
      <c r="O27" s="15" t="inlineStr"/>
      <c r="P27" s="15" t="inlineStr"/>
      <c r="Q27" s="18" t="inlineStr">
        <is>
          <t>Chưa test</t>
        </is>
      </c>
      <c r="R27" s="15" t="inlineStr"/>
    </row>
    <row r="28" ht="30" customHeight="1">
      <c r="A28" s="14" t="inlineStr">
        <is>
          <t>TC-ROLE-027</t>
        </is>
      </c>
      <c r="B28" s="15" t="inlineStr">
        <is>
          <t>Ma trận phân quyền &amp; Bảo mật nâng cao</t>
        </is>
      </c>
      <c r="C28" s="15" t="inlineStr">
        <is>
          <t>Ma trận: lịch</t>
        </is>
      </c>
      <c r="D28" s="15" t="inlineStr">
        <is>
          <t>Tạo sự kiện photo chỉ dành cho mod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/api/courses/photo/events (khách: không gửi header Authorization)
2. Ghi lại mã HTTP, error.code và message của từng lần gọi</t>
        </is>
      </c>
      <c r="K28" s="15" t="inlineStr">
        <is>
          <t>Body {"title":"Sự kiện thử","startAt":"&lt;ISO 7 ngày sau&gt;"}</t>
        </is>
      </c>
      <c r="L28"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28" s="15" t="inlineStr"/>
      <c r="N28" s="18" t="inlineStr">
        <is>
          <t>Chưa test</t>
        </is>
      </c>
      <c r="O28" s="15" t="inlineStr"/>
      <c r="P28" s="15" t="inlineStr"/>
      <c r="Q28" s="18" t="inlineStr">
        <is>
          <t>Chưa test</t>
        </is>
      </c>
      <c r="R28" s="15" t="inlineStr"/>
    </row>
    <row r="29" ht="30" customHeight="1">
      <c r="A29" s="14" t="inlineStr">
        <is>
          <t>TC-ROLE-028</t>
        </is>
      </c>
      <c r="B29" s="15" t="inlineStr">
        <is>
          <t>Ma trận phân quyền &amp; Bảo mật nâng cao</t>
        </is>
      </c>
      <c r="C29" s="15" t="inlineStr">
        <is>
          <t>Ma trận: lịch</t>
        </is>
      </c>
      <c r="D29" s="15" t="inlineStr">
        <is>
          <t>Sửa sự kiện seed-event-photo-limited chỉ dành cho mod trở lên</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PATCH /api/events/seed-event-photo-limited (khách: không gửi header Authorization)
2. Ghi lại mã HTTP, error.code và message của từng lần gọi</t>
        </is>
      </c>
      <c r="K29" s="15" t="inlineStr">
        <is>
          <t>Body {"description":"Cập nhật thử"}</t>
        </is>
      </c>
      <c r="L29"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29" s="15" t="inlineStr"/>
      <c r="N29" s="18" t="inlineStr">
        <is>
          <t>Chưa test</t>
        </is>
      </c>
      <c r="O29" s="15" t="inlineStr"/>
      <c r="P29" s="15" t="inlineStr"/>
      <c r="Q29" s="18" t="inlineStr">
        <is>
          <t>Chưa test</t>
        </is>
      </c>
      <c r="R29" s="15" t="inlineStr"/>
    </row>
    <row r="30" ht="45" customHeight="1">
      <c r="A30" s="14" t="inlineStr">
        <is>
          <t>TC-ROLE-029</t>
        </is>
      </c>
      <c r="B30" s="15" t="inlineStr">
        <is>
          <t>Ma trận phân quyền &amp; Bảo mật nâng cao</t>
        </is>
      </c>
      <c r="C30" s="15" t="inlineStr">
        <is>
          <t>Ma trận: lịch</t>
        </is>
      </c>
      <c r="D30" s="15" t="inlineStr">
        <is>
          <t>Xóa sự kiện chỉ dành cho mod trở lên (dùng sự kiện tự tạo, không xóa seed)</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30" s="15" t="inlineStr">
        <is>
          <t>-</t>
        </is>
      </c>
      <c r="L30"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30" s="15" t="inlineStr"/>
      <c r="N30" s="18" t="inlineStr">
        <is>
          <t>Chưa test</t>
        </is>
      </c>
      <c r="O30" s="15" t="inlineStr"/>
      <c r="P30" s="15" t="inlineStr"/>
      <c r="Q30" s="18" t="inlineStr">
        <is>
          <t>Chưa test</t>
        </is>
      </c>
      <c r="R30" s="15" t="inlineStr"/>
    </row>
    <row r="31" ht="45" customHeight="1">
      <c r="A31" s="14" t="inlineStr">
        <is>
          <t>TC-ROLE-030</t>
        </is>
      </c>
      <c r="B31" s="15" t="inlineStr">
        <is>
          <t>Ma trận phân quyền &amp; Bảo mật nâng cao</t>
        </is>
      </c>
      <c r="C31" s="15" t="inlineStr">
        <is>
          <t>Ma trận: lịch</t>
        </is>
      </c>
      <c r="D31" s="15" t="inlineStr">
        <is>
          <t>RSVP sự kiện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31" s="15" t="inlineStr">
        <is>
          <t>-</t>
        </is>
      </c>
      <c r="L31"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TC-ROLE-031</t>
        </is>
      </c>
      <c r="B32" s="15" t="inlineStr">
        <is>
          <t>Ma trận phân quyền &amp; Bảo mật nâng cao</t>
        </is>
      </c>
      <c r="C32" s="15" t="inlineStr">
        <is>
          <t>Ma trận: lớp học</t>
        </is>
      </c>
      <c r="D32" s="15" t="inlineStr">
        <is>
          <t>Xem danh sách module lớp học theo 8 vai trò</t>
        </is>
      </c>
      <c r="E32" s="15" t="inlineStr">
        <is>
          <t>Bảo mật</t>
        </is>
      </c>
      <c r="F32" s="20" t="inlineStr">
        <is>
          <t>Trung bình</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GET /api/courses/photo/modules (khách: không gửi header Authorization)
2. Ghi lại mã HTTP, error.code và message của từng lần gọi</t>
        </is>
      </c>
      <c r="K32" s="15" t="inlineStr">
        <is>
          <t>-</t>
        </is>
      </c>
      <c r="L32"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TC-ROLE-032</t>
        </is>
      </c>
      <c r="B33" s="15" t="inlineStr">
        <is>
          <t>Ma trận phân quyền &amp; Bảo mật nâng cao</t>
        </is>
      </c>
      <c r="C33" s="15" t="inlineStr">
        <is>
          <t>Ma trận: lớp học</t>
        </is>
      </c>
      <c r="D33" s="15" t="inlineStr">
        <is>
          <t>Tạo module lớp học chỉ dành cho mod trở lên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33" s="15" t="inlineStr">
        <is>
          <t>Body {"title":"Module thử ma trận","description":"Mô tả"}</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TC-ROLE-033</t>
        </is>
      </c>
      <c r="B34" s="15" t="inlineStr">
        <is>
          <t>Ma trận phân quyền &amp; Bảo mật nâng cao</t>
        </is>
      </c>
      <c r="C34" s="15" t="inlineStr">
        <is>
          <t>Ma trận: lớp học</t>
        </is>
      </c>
      <c r="D34" s="15" t="inlineStr">
        <is>
          <t>Bật/tắt chứng nhận (classroom-settings) chỉ dành cho admin trở lên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PATCH /api/courses/photo/classroom-settings (khách: không gửi header Authorization)
2. Ghi lại mã HTTP, error.code và message của từng lần gọi
3. Trả lại giá trị cũ sau khi thử</t>
        </is>
      </c>
      <c r="K34" s="15" t="inlineStr">
        <is>
          <t>Body {"certificatesEnabled":true}</t>
        </is>
      </c>
      <c r="L3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34" s="15" t="inlineStr"/>
      <c r="N34" s="18" t="inlineStr">
        <is>
          <t>Chưa test</t>
        </is>
      </c>
      <c r="O34" s="15" t="inlineStr"/>
      <c r="P34" s="15" t="inlineStr"/>
      <c r="Q34" s="18" t="inlineStr">
        <is>
          <t>Chưa test</t>
        </is>
      </c>
      <c r="R34" s="15" t="inlineStr"/>
    </row>
    <row r="35" ht="30" customHeight="1">
      <c r="A35" s="14" t="inlineStr">
        <is>
          <t>TC-ROLE-034</t>
        </is>
      </c>
      <c r="B35" s="15" t="inlineStr">
        <is>
          <t>Ma trận phân quyền &amp; Bảo mật nâng cao</t>
        </is>
      </c>
      <c r="C35" s="15" t="inlineStr">
        <is>
          <t>Ma trận: kiểm duyệt</t>
        </is>
      </c>
      <c r="D35" s="15" t="inlineStr">
        <is>
          <t>Xem hàng đợi báo cáo của photo chỉ dành cho mod trở lên</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/api/courses/photo/reports (khách: không gửi header Authorization)
2. Ghi lại mã HTTP, error.code và message của từng lần gọi</t>
        </is>
      </c>
      <c r="K35" s="15" t="inlineStr">
        <is>
          <t>-</t>
        </is>
      </c>
      <c r="L3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35" s="15" t="inlineStr"/>
      <c r="N35" s="18" t="inlineStr">
        <is>
          <t>Chưa test</t>
        </is>
      </c>
      <c r="O35" s="15" t="inlineStr"/>
      <c r="P35" s="15" t="inlineStr"/>
      <c r="Q35" s="18" t="inlineStr">
        <is>
          <t>Chưa test</t>
        </is>
      </c>
      <c r="R35" s="15" t="inlineStr"/>
    </row>
    <row r="36" ht="45" customHeight="1">
      <c r="A36" s="14" t="inlineStr">
        <is>
          <t>TC-ROLE-035</t>
        </is>
      </c>
      <c r="B36" s="15" t="inlineStr">
        <is>
          <t>Ma trận phân quyền &amp; Bảo mật nâng cao</t>
        </is>
      </c>
      <c r="C36" s="15" t="inlineStr">
        <is>
          <t>Ma trận: kiểm duyệt</t>
        </is>
      </c>
      <c r="D36" s="15" t="inlineStr">
        <is>
          <t>Xử lý báo cáo (PATCH /api/reports/:id) chỉ dành cho mod trở lên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36" s="15" t="inlineStr">
        <is>
          <t>Body {"action":"dismiss"}</t>
        </is>
      </c>
      <c r="L3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36" s="15" t="inlineStr"/>
      <c r="N36" s="18" t="inlineStr">
        <is>
          <t>Chưa test</t>
        </is>
      </c>
      <c r="O36" s="15" t="inlineStr"/>
      <c r="P36" s="15" t="inlineStr"/>
      <c r="Q36" s="18" t="inlineStr">
        <is>
          <t>Chưa test</t>
        </is>
      </c>
      <c r="R36" s="15" t="inlineStr"/>
    </row>
    <row r="37" ht="30" customHeight="1">
      <c r="A37" s="14" t="inlineStr">
        <is>
          <t>TC-ROLE-036</t>
        </is>
      </c>
      <c r="B37" s="15" t="inlineStr">
        <is>
          <t>Ma trận phân quyền &amp; Bảo mật nâng cao</t>
        </is>
      </c>
      <c r="C37" s="15" t="inlineStr">
        <is>
          <t>Ma trận: kiểm duyệt</t>
        </is>
      </c>
      <c r="D37" s="15" t="inlineStr">
        <is>
          <t>Hàng đợi báo cáo toàn nền tảng GET /api/admin/reports</t>
        </is>
      </c>
      <c r="E37" s="15" t="inlineStr">
        <is>
          <t>Bảo mật</t>
        </is>
      </c>
      <c r="F37" s="16" t="inlineStr">
        <is>
          <t>Cao</t>
        </is>
      </c>
      <c r="G37" s="17" t="inlineStr">
        <is>
          <t>Đã hoàn thiện</t>
        </is>
      </c>
      <c r="H37" s="17" t="inlineStr">
        <is>
          <t>Có</t>
        </is>
      </c>
      <c r="I3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7" s="15" t="inlineStr">
        <is>
          <t>1. Với từng vai trò trong danh sách 8 vai trò, gọi: GET /api/admin/reports (khách: không gửi header Authorization)
2. Ghi lại mã HTTP, error.code và message của từng lần gọi</t>
        </is>
      </c>
      <c r="K37" s="15" t="inlineStr">
        <is>
          <t>-</t>
        </is>
      </c>
      <c r="L37"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37" s="15" t="inlineStr"/>
      <c r="N37" s="18" t="inlineStr">
        <is>
          <t>Chưa test</t>
        </is>
      </c>
      <c r="O37" s="15" t="inlineStr"/>
      <c r="P37" s="15" t="inlineStr"/>
      <c r="Q37" s="18" t="inlineStr">
        <is>
          <t>Chưa test</t>
        </is>
      </c>
      <c r="R37" s="15" t="inlineStr"/>
    </row>
    <row r="38" ht="45" customHeight="1">
      <c r="A38" s="14" t="inlineStr">
        <is>
          <t>TC-ROLE-037</t>
        </is>
      </c>
      <c r="B38" s="15" t="inlineStr">
        <is>
          <t>Ma trận phân quyền &amp; Bảo mật nâng cao</t>
        </is>
      </c>
      <c r="C38" s="15" t="inlineStr">
        <is>
          <t>Ma trận: quản trị cộng đồng</t>
        </is>
      </c>
      <c r="D38" s="15" t="inlineStr">
        <is>
          <t>Sửa thông tin cộng đồng (mô tả) chỉ dành cho admin trở lên</t>
        </is>
      </c>
      <c r="E38" s="15" t="inlineStr">
        <is>
          <t>Bảo mật</t>
        </is>
      </c>
      <c r="F38" s="16" t="inlineStr">
        <is>
          <t>Cao</t>
        </is>
      </c>
      <c r="G38" s="17" t="inlineStr">
        <is>
          <t>Đã hoàn thiện</t>
        </is>
      </c>
      <c r="H38" s="17" t="inlineStr">
        <is>
          <t>Có</t>
        </is>
      </c>
      <c r="I3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8" s="15" t="inlineStr">
        <is>
          <t>1. Với từng vai trò trong danh sách 8 vai trò, gọi: PATCH /api/courses/photo (khách: không gửi header Authorization)
2. Ghi lại mã HTTP, error.code và message của từng lần gọi
3. Khôi phục mô tả cũ sau khi thử</t>
        </is>
      </c>
      <c r="K38" s="15" t="inlineStr">
        <is>
          <t>Body {"description":"Mô tả thử ma trận"}</t>
        </is>
      </c>
      <c r="L3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38" s="15" t="inlineStr"/>
      <c r="N38" s="18" t="inlineStr">
        <is>
          <t>Chưa test</t>
        </is>
      </c>
      <c r="O38" s="15" t="inlineStr"/>
      <c r="P38" s="15" t="inlineStr"/>
      <c r="Q38" s="18" t="inlineStr">
        <is>
          <t>Chưa test</t>
        </is>
      </c>
      <c r="R38" s="15" t="inlineStr"/>
    </row>
    <row r="39" ht="45" customHeight="1">
      <c r="A39" s="14" t="inlineStr">
        <is>
          <t>TC-ROLE-038</t>
        </is>
      </c>
      <c r="B39" s="15" t="inlineStr">
        <is>
          <t>Ma trận phân quyền &amp; Bảo mật nâng cao</t>
        </is>
      </c>
      <c r="C39" s="15" t="inlineStr">
        <is>
          <t>Ma trận: quản trị cộng đồng</t>
        </is>
      </c>
      <c r="D39" s="15" t="inlineStr">
        <is>
          <t>Đổi giá/chế độ riêng tư chỉ dành cho owner (admin cộng đồng bị chặn)</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9"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39" s="15" t="inlineStr">
        <is>
          <t>Body {"visibility":"&lt;đúng giá trị hiện tại&gt;"}</t>
        </is>
      </c>
      <c r="L3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39" s="15" t="inlineStr"/>
      <c r="N39" s="18" t="inlineStr">
        <is>
          <t>Chưa test</t>
        </is>
      </c>
      <c r="O39" s="15" t="inlineStr"/>
      <c r="P39" s="15" t="inlineStr"/>
      <c r="Q39" s="18" t="inlineStr">
        <is>
          <t>Chưa test</t>
        </is>
      </c>
      <c r="R39" s="15" t="inlineStr"/>
    </row>
    <row r="40" ht="30" customHeight="1">
      <c r="A40" s="14" t="inlineStr">
        <is>
          <t>TC-ROLE-039</t>
        </is>
      </c>
      <c r="B40" s="15" t="inlineStr">
        <is>
          <t>Ma trận phân quyền &amp; Bảo mật nâng cao</t>
        </is>
      </c>
      <c r="C40" s="15" t="inlineStr">
        <is>
          <t>Ma trận: quản trị cộng đồng</t>
        </is>
      </c>
      <c r="D40" s="15" t="inlineStr">
        <is>
          <t>Tạo lời mời cộng đồng chỉ dành cho admin trở lên</t>
        </is>
      </c>
      <c r="E40" s="15" t="inlineStr">
        <is>
          <t>Bảo mật</t>
        </is>
      </c>
      <c r="F40" s="16" t="inlineStr">
        <is>
          <t>Cao</t>
        </is>
      </c>
      <c r="G40" s="17" t="inlineStr">
        <is>
          <t>Đã hoàn thiện</t>
        </is>
      </c>
      <c r="H40" s="17" t="inlineStr">
        <is>
          <t>Có</t>
        </is>
      </c>
      <c r="I4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0" s="15" t="inlineStr">
        <is>
          <t>1. Với từng vai trò trong danh sách 8 vai trò, gọi: POST /api/courses/photo/invites (khách: không gửi header Authorization)
2. Ghi lại mã HTTP, error.code và message của từng lần gọi</t>
        </is>
      </c>
      <c r="K40" s="15" t="inlineStr">
        <is>
          <t>Body {"maxUses":5}</t>
        </is>
      </c>
      <c r="L4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40" s="15" t="inlineStr"/>
      <c r="N40" s="18" t="inlineStr">
        <is>
          <t>Chưa test</t>
        </is>
      </c>
      <c r="O40" s="15" t="inlineStr"/>
      <c r="P40" s="15" t="inlineStr"/>
      <c r="Q40" s="18" t="inlineStr">
        <is>
          <t>Chưa test</t>
        </is>
      </c>
      <c r="R40" s="15" t="inlineStr"/>
    </row>
    <row r="41" ht="30" customHeight="1">
      <c r="A41" s="14" t="inlineStr">
        <is>
          <t>TC-ROLE-040</t>
        </is>
      </c>
      <c r="B41" s="15" t="inlineStr">
        <is>
          <t>Ma trận phân quyền &amp; Bảo mật nâng cao</t>
        </is>
      </c>
      <c r="C41" s="15" t="inlineStr">
        <is>
          <t>Ma trận: quản trị cộng đồng</t>
        </is>
      </c>
      <c r="D41" s="15" t="inlineStr">
        <is>
          <t>Xem danh sách thành viên bị cấm chỉ dành cho admin trở lên</t>
        </is>
      </c>
      <c r="E41" s="15" t="inlineStr">
        <is>
          <t>Bảo mật</t>
        </is>
      </c>
      <c r="F41" s="16" t="inlineStr">
        <is>
          <t>Cao</t>
        </is>
      </c>
      <c r="G41" s="17" t="inlineStr">
        <is>
          <t>Đã hoàn thiện</t>
        </is>
      </c>
      <c r="H41" s="17" t="inlineStr">
        <is>
          <t>Có</t>
        </is>
      </c>
      <c r="I4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1" s="15" t="inlineStr">
        <is>
          <t>1. Với từng vai trò trong danh sách 8 vai trò, gọi: GET /api/courses/photo/bans (khách: không gửi header Authorization)
2. Ghi lại mã HTTP, error.code và message của từng lần gọi</t>
        </is>
      </c>
      <c r="K41" s="15" t="inlineStr">
        <is>
          <t>-</t>
        </is>
      </c>
      <c r="L4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41" s="15" t="inlineStr"/>
      <c r="N41" s="18" t="inlineStr">
        <is>
          <t>Chưa test</t>
        </is>
      </c>
      <c r="O41" s="15" t="inlineStr"/>
      <c r="P41" s="15" t="inlineStr"/>
      <c r="Q41" s="18" t="inlineStr">
        <is>
          <t>Chưa test</t>
        </is>
      </c>
      <c r="R41" s="15" t="inlineStr"/>
    </row>
    <row r="42" ht="45" customHeight="1">
      <c r="A42" s="14" t="inlineStr">
        <is>
          <t>TC-ROLE-041</t>
        </is>
      </c>
      <c r="B42" s="15" t="inlineStr">
        <is>
          <t>Ma trận phân quyền &amp; Bảo mật nâng cao</t>
        </is>
      </c>
      <c r="C42" s="15" t="inlineStr">
        <is>
          <t>Ma trận: quản trị cộng đồng</t>
        </is>
      </c>
      <c r="D42" s="15" t="inlineStr">
        <is>
          <t>Đặt vai trò mod cho member3 (PATCH .../members/:userId/role) chỉ dành cho admin trở lên</t>
        </is>
      </c>
      <c r="E42" s="15" t="inlineStr">
        <is>
          <t>Bảo mật</t>
        </is>
      </c>
      <c r="F42" s="16" t="inlineStr">
        <is>
          <t>Cao</t>
        </is>
      </c>
      <c r="G42" s="17" t="inlineStr">
        <is>
          <t>Đã hoàn thiện</t>
        </is>
      </c>
      <c r="H42" s="17" t="inlineStr">
        <is>
          <t>Có</t>
        </is>
      </c>
      <c r="I4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2"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42" s="15" t="inlineStr">
        <is>
          <t>Body {"role":"mod"}</t>
        </is>
      </c>
      <c r="L4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42" s="15" t="inlineStr"/>
      <c r="N42" s="18" t="inlineStr">
        <is>
          <t>Chưa test</t>
        </is>
      </c>
      <c r="O42" s="15" t="inlineStr"/>
      <c r="P42" s="15" t="inlineStr"/>
      <c r="Q42" s="18" t="inlineStr">
        <is>
          <t>Chưa test</t>
        </is>
      </c>
      <c r="R42" s="15" t="inlineStr"/>
    </row>
    <row r="43" ht="45" customHeight="1">
      <c r="A43" s="14" t="inlineStr">
        <is>
          <t>TC-ROLE-042</t>
        </is>
      </c>
      <c r="B43" s="15" t="inlineStr">
        <is>
          <t>Ma trận phân quyền &amp; Bảo mật nâng cao</t>
        </is>
      </c>
      <c r="C43" s="15" t="inlineStr">
        <is>
          <t>Ma trận: quản trị cộng đồng</t>
        </is>
      </c>
      <c r="D43" s="15" t="inlineStr">
        <is>
          <t>Đặt vai trò admin chỉ dành cho owner (cadmin bị chặn)</t>
        </is>
      </c>
      <c r="E43" s="15" t="inlineStr">
        <is>
          <t>Bảo mật</t>
        </is>
      </c>
      <c r="F43" s="16" t="inlineStr">
        <is>
          <t>Cao</t>
        </is>
      </c>
      <c r="G43" s="17" t="inlineStr">
        <is>
          <t>Đã hoàn thiện</t>
        </is>
      </c>
      <c r="H43" s="17" t="inlineStr">
        <is>
          <t>Có</t>
        </is>
      </c>
      <c r="I4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3"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43" s="15" t="inlineStr">
        <is>
          <t>Body {"role":"admin"}</t>
        </is>
      </c>
      <c r="L4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43" s="15" t="inlineStr"/>
      <c r="N43" s="18" t="inlineStr">
        <is>
          <t>Chưa test</t>
        </is>
      </c>
      <c r="O43" s="15" t="inlineStr"/>
      <c r="P43" s="15" t="inlineStr"/>
      <c r="Q43" s="18" t="inlineStr">
        <is>
          <t>Chưa test</t>
        </is>
      </c>
      <c r="R43" s="15" t="inlineStr"/>
    </row>
    <row r="44" ht="45" customHeight="1">
      <c r="A44" s="14" t="inlineStr">
        <is>
          <t>TC-ROLE-043</t>
        </is>
      </c>
      <c r="B44" s="15" t="inlineStr">
        <is>
          <t>Ma trận phân quyền &amp; Bảo mật nâng cao</t>
        </is>
      </c>
      <c r="C44" s="15" t="inlineStr">
        <is>
          <t>Ma trận: quản trị cộng đồng</t>
        </is>
      </c>
      <c r="D44" s="15" t="inlineStr">
        <is>
          <t>Kick thành viên (DELETE .../members/:userId) chỉ admin trở lên và chỉ bậc thấp hơn</t>
        </is>
      </c>
      <c r="E44" s="15" t="inlineStr">
        <is>
          <t>Bảo mật</t>
        </is>
      </c>
      <c r="F44" s="16" t="inlineStr">
        <is>
          <t>Cao</t>
        </is>
      </c>
      <c r="G44" s="17" t="inlineStr">
        <is>
          <t>Đã hoàn thiện</t>
        </is>
      </c>
      <c r="H44" s="17" t="inlineStr">
        <is>
          <t>Có</t>
        </is>
      </c>
      <c r="I4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4"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44" s="15" t="inlineStr">
        <is>
          <t>-</t>
        </is>
      </c>
      <c r="L4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44" s="15" t="inlineStr"/>
      <c r="N44" s="18" t="inlineStr">
        <is>
          <t>Chưa test</t>
        </is>
      </c>
      <c r="O44" s="15" t="inlineStr"/>
      <c r="P44" s="15" t="inlineStr"/>
      <c r="Q44" s="18" t="inlineStr">
        <is>
          <t>Chưa test</t>
        </is>
      </c>
      <c r="R44" s="15" t="inlineStr"/>
    </row>
    <row r="45" ht="45" customHeight="1">
      <c r="A45" s="14" t="inlineStr">
        <is>
          <t>TC-ROLE-044</t>
        </is>
      </c>
      <c r="B45" s="15" t="inlineStr">
        <is>
          <t>Ma trận phân quyền &amp; Bảo mật nâng cao</t>
        </is>
      </c>
      <c r="C45" s="15" t="inlineStr">
        <is>
          <t>Ma trận: quản trị cộng đồng</t>
        </is>
      </c>
      <c r="D45" s="15" t="inlineStr">
        <is>
          <t>Ban thành viên (POST .../members/:userId/ban) chỉ admin trở lên</t>
        </is>
      </c>
      <c r="E45" s="15" t="inlineStr">
        <is>
          <t>Bảo mật</t>
        </is>
      </c>
      <c r="F45" s="16" t="inlineStr">
        <is>
          <t>Cao</t>
        </is>
      </c>
      <c r="G45" s="17" t="inlineStr">
        <is>
          <t>Đã hoàn thiện</t>
        </is>
      </c>
      <c r="H45" s="17" t="inlineStr">
        <is>
          <t>Có</t>
        </is>
      </c>
      <c r="I4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5"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45" s="15" t="inlineStr">
        <is>
          <t>Body {"reason":"Thử ma trận"}</t>
        </is>
      </c>
      <c r="L4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45" s="15" t="inlineStr"/>
      <c r="N45" s="18" t="inlineStr">
        <is>
          <t>Chưa test</t>
        </is>
      </c>
      <c r="O45" s="15" t="inlineStr"/>
      <c r="P45" s="15" t="inlineStr"/>
      <c r="Q45" s="18" t="inlineStr">
        <is>
          <t>Chưa test</t>
        </is>
      </c>
      <c r="R45" s="15" t="inlineStr"/>
    </row>
    <row r="46" ht="45" customHeight="1">
      <c r="A46" s="14" t="inlineStr">
        <is>
          <t>TC-ROLE-045</t>
        </is>
      </c>
      <c r="B46" s="15" t="inlineStr">
        <is>
          <t>Ma trận phân quyền &amp; Bảo mật nâng cao</t>
        </is>
      </c>
      <c r="C46" s="15" t="inlineStr">
        <is>
          <t>Ma trận: quản trị cộng đồng</t>
        </is>
      </c>
      <c r="D46" s="15" t="inlineStr">
        <is>
          <t>Chuyển quyền chủ cộng đồng chỉ dành cho owner</t>
        </is>
      </c>
      <c r="E46" s="15" t="inlineStr">
        <is>
          <t>Bảo mật</t>
        </is>
      </c>
      <c r="F46" s="16" t="inlineStr">
        <is>
          <t>Cao</t>
        </is>
      </c>
      <c r="G46" s="17" t="inlineStr">
        <is>
          <t>Đã hoàn thiện</t>
        </is>
      </c>
      <c r="H46" s="17" t="inlineStr">
        <is>
          <t>Có</t>
        </is>
      </c>
      <c r="I4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6"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46" s="15" t="inlineStr">
        <is>
          <t>Body {"userId":"&lt;id một thành viên&gt;"}</t>
        </is>
      </c>
      <c r="L4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46" s="15" t="inlineStr"/>
      <c r="N46" s="18" t="inlineStr">
        <is>
          <t>Chưa test</t>
        </is>
      </c>
      <c r="O46" s="15" t="inlineStr"/>
      <c r="P46" s="15" t="inlineStr"/>
      <c r="Q46" s="18" t="inlineStr">
        <is>
          <t>Chưa test</t>
        </is>
      </c>
      <c r="R46" s="15" t="inlineStr"/>
    </row>
    <row r="47" ht="45" customHeight="1">
      <c r="A47" s="14" t="inlineStr">
        <is>
          <t>TC-ROLE-046</t>
        </is>
      </c>
      <c r="B47" s="15" t="inlineStr">
        <is>
          <t>Ma trận phân quyền &amp; Bảo mật nâng cao</t>
        </is>
      </c>
      <c r="C47" s="15" t="inlineStr">
        <is>
          <t>Ma trận: quản trị cộng đồng</t>
        </is>
      </c>
      <c r="D47" s="15" t="inlineStr">
        <is>
          <t>Xóa cộng đồng (DELETE /api/courses/:id) chỉ dành cho owner hoặc Platform Admin</t>
        </is>
      </c>
      <c r="E47" s="15" t="inlineStr">
        <is>
          <t>Bảo mật</t>
        </is>
      </c>
      <c r="F47" s="16" t="inlineStr">
        <is>
          <t>Cao</t>
        </is>
      </c>
      <c r="G47" s="17" t="inlineStr">
        <is>
          <t>Đã hoàn thiện</t>
        </is>
      </c>
      <c r="H47" s="17" t="inlineStr">
        <is>
          <t>Có</t>
        </is>
      </c>
      <c r="I4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7"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47" s="15" t="inlineStr">
        <is>
          <t>-</t>
        </is>
      </c>
      <c r="L4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47" s="15" t="inlineStr"/>
      <c r="N47" s="18" t="inlineStr">
        <is>
          <t>Chưa test</t>
        </is>
      </c>
      <c r="O47" s="15" t="inlineStr"/>
      <c r="P47" s="15" t="inlineStr"/>
      <c r="Q47" s="18" t="inlineStr">
        <is>
          <t>Chưa test</t>
        </is>
      </c>
      <c r="R47" s="15" t="inlineStr"/>
    </row>
    <row r="48" ht="30" customHeight="1">
      <c r="A48" s="14" t="inlineStr">
        <is>
          <t>TC-ROLE-047</t>
        </is>
      </c>
      <c r="B48" s="15" t="inlineStr">
        <is>
          <t>Ma trận phân quyền &amp; Bảo mật nâng cao</t>
        </is>
      </c>
      <c r="C48" s="15" t="inlineStr">
        <is>
          <t>Ma trận: quản trị cộng đồng</t>
        </is>
      </c>
      <c r="D48" s="15" t="inlineStr">
        <is>
          <t>Xem chi tiết một thành viên (GET .../members/:userId) theo 8 vai trò</t>
        </is>
      </c>
      <c r="E48" s="15" t="inlineStr">
        <is>
          <t>Bảo mật</t>
        </is>
      </c>
      <c r="F48" s="20" t="inlineStr">
        <is>
          <t>Trung bình</t>
        </is>
      </c>
      <c r="G48" s="17" t="inlineStr">
        <is>
          <t>Đã hoàn thiện</t>
        </is>
      </c>
      <c r="H48" s="17" t="inlineStr">
        <is>
          <t>Có</t>
        </is>
      </c>
      <c r="I4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8" s="15" t="inlineStr">
        <is>
          <t>1. Với từng vai trò trong danh sách 8 vai trò, gọi: GET /api/courses/photo/members/&lt;id member2&gt; (khách: không gửi header Authorization)
2. Ghi lại mã HTTP, error.code và message của từng lần gọi</t>
        </is>
      </c>
      <c r="K48" s="15" t="inlineStr">
        <is>
          <t>-</t>
        </is>
      </c>
      <c r="L48"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48" s="15" t="inlineStr"/>
      <c r="N48" s="18" t="inlineStr">
        <is>
          <t>Chưa test</t>
        </is>
      </c>
      <c r="O48" s="15" t="inlineStr"/>
      <c r="P48" s="15" t="inlineStr"/>
      <c r="Q48" s="18" t="inlineStr">
        <is>
          <t>Chưa test</t>
        </is>
      </c>
      <c r="R48" s="15" t="inlineStr"/>
    </row>
    <row r="49" ht="45" customHeight="1">
      <c r="A49" s="14" t="inlineStr">
        <is>
          <t>TC-ROLE-048</t>
        </is>
      </c>
      <c r="B49" s="15" t="inlineStr">
        <is>
          <t>Ma trận phân quyền &amp; Bảo mật nâng cao</t>
        </is>
      </c>
      <c r="C49" s="15" t="inlineStr">
        <is>
          <t>Ma trận: quản trị cộng đồng</t>
        </is>
      </c>
      <c r="D49" s="15" t="inlineStr">
        <is>
          <t>Duyệt yêu cầu tham gia cộng đồng riêng tư private-demo: chỉ admin của CHÍNH cộng đồng đó</t>
        </is>
      </c>
      <c r="E49" s="15" t="inlineStr">
        <is>
          <t>Bảo mật</t>
        </is>
      </c>
      <c r="F49" s="16" t="inlineStr">
        <is>
          <t>Cao</t>
        </is>
      </c>
      <c r="G49" s="17" t="inlineStr">
        <is>
          <t>Đã hoàn thiện</t>
        </is>
      </c>
      <c r="H49" s="17" t="inlineStr">
        <is>
          <t>Có</t>
        </is>
      </c>
      <c r="I4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9"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49" s="15" t="inlineStr">
        <is>
          <t>-</t>
        </is>
      </c>
      <c r="L4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49" s="15" t="inlineStr"/>
      <c r="N49" s="18" t="inlineStr">
        <is>
          <t>Chưa test</t>
        </is>
      </c>
      <c r="O49" s="15" t="inlineStr"/>
      <c r="P49" s="15" t="inlineStr"/>
      <c r="Q49" s="18" t="inlineStr">
        <is>
          <t>Chưa test</t>
        </is>
      </c>
      <c r="R49" s="15" t="inlineStr"/>
    </row>
    <row r="50" ht="45" customHeight="1">
      <c r="A50" s="14" t="inlineStr">
        <is>
          <t>TC-ROLE-049</t>
        </is>
      </c>
      <c r="B50" s="15" t="inlineStr">
        <is>
          <t>Ma trận phân quyền &amp; Bảo mật nâng cao</t>
        </is>
      </c>
      <c r="C50" s="15" t="inlineStr">
        <is>
          <t>Ma trận: thanh toán</t>
        </is>
      </c>
      <c r="D50" s="15" t="inlineStr">
        <is>
          <t>Xem doanh thu cộng đồng có phí paid-demo: chỉ owner hoặc Platform Admin</t>
        </is>
      </c>
      <c r="E50" s="15" t="inlineStr">
        <is>
          <t>Bảo mật</t>
        </is>
      </c>
      <c r="F50" s="16" t="inlineStr">
        <is>
          <t>Cao</t>
        </is>
      </c>
      <c r="G50" s="17" t="inlineStr">
        <is>
          <t>Đã hoàn thiện</t>
        </is>
      </c>
      <c r="H50" s="17" t="inlineStr">
        <is>
          <t>Có</t>
        </is>
      </c>
      <c r="I5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0"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50" s="15" t="inlineStr">
        <is>
          <t>-</t>
        </is>
      </c>
      <c r="L5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50" s="15" t="inlineStr"/>
      <c r="N50" s="18" t="inlineStr">
        <is>
          <t>Chưa test</t>
        </is>
      </c>
      <c r="O50" s="15" t="inlineStr"/>
      <c r="P50" s="15" t="inlineStr"/>
      <c r="Q50" s="18" t="inlineStr">
        <is>
          <t>Chưa test</t>
        </is>
      </c>
      <c r="R50" s="15" t="inlineStr"/>
    </row>
    <row r="51" ht="45" customHeight="1">
      <c r="A51" s="14" t="inlineStr">
        <is>
          <t>TC-ROLE-050</t>
        </is>
      </c>
      <c r="B51" s="15" t="inlineStr">
        <is>
          <t>Ma trận phân quyền &amp; Bảo mật nâng cao</t>
        </is>
      </c>
      <c r="C51" s="15" t="inlineStr">
        <is>
          <t>Ma trận: thanh toán</t>
        </is>
      </c>
      <c r="D51" s="15" t="inlineStr">
        <is>
          <t>Yêu cầu rút tiền paid-demo: chỉ đúng Owner (Platform Admin cũng bị chặn)</t>
        </is>
      </c>
      <c r="E51" s="15" t="inlineStr">
        <is>
          <t>Bảo mật</t>
        </is>
      </c>
      <c r="F51" s="16" t="inlineStr">
        <is>
          <t>Cao</t>
        </is>
      </c>
      <c r="G51" s="17" t="inlineStr">
        <is>
          <t>Đã hoàn thiện</t>
        </is>
      </c>
      <c r="H51" s="17" t="inlineStr">
        <is>
          <t>Có</t>
        </is>
      </c>
      <c r="I5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1" s="15" t="inlineStr">
        <is>
          <t>1. Với từng vai trò trong danh sách 8 vai trò, gọi: POST /api/courses/paid-demo/payouts (khách: không gửi header Authorization)
2. Ghi lại mã HTTP, error.code và message của từng lần gọi
3. Nếu số dư không đủ, owner nhận 400 "Số tiền rút vượt quá số dư khả dụng" thay vì 201</t>
        </is>
      </c>
      <c r="K51" s="15" t="inlineStr">
        <is>
          <t>Body {"amountCents":5000,"method":{"type":"bank","bankName":"VCB","accountNumber":"0123456789","accountHolder":"NGUYEN VAN A"}}</t>
        </is>
      </c>
      <c r="L51"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dư khả dụng &gt;= $50; admin nền tảng: 403 FORBIDDEN ("Chỉ chủ cộng đồng mới được yêu cầu rút tiền") — dùng isCourseOwner, không tính Platform Admin; banned: 403 FORBIDDEN ("Chỉ chủ cộng đồng mới được yêu cầu rút tiền")</t>
        </is>
      </c>
      <c r="M51" s="15" t="inlineStr"/>
      <c r="N51" s="18" t="inlineStr">
        <is>
          <t>Chưa test</t>
        </is>
      </c>
      <c r="O51" s="15" t="inlineStr"/>
      <c r="P51" s="15" t="inlineStr"/>
      <c r="Q51" s="18" t="inlineStr">
        <is>
          <t>Chưa test</t>
        </is>
      </c>
      <c r="R51" s="15" t="inlineStr"/>
    </row>
    <row r="52" ht="30" customHeight="1">
      <c r="A52" s="14" t="inlineStr">
        <is>
          <t>TC-ROLE-051</t>
        </is>
      </c>
      <c r="B52" s="15" t="inlineStr">
        <is>
          <t>Ma trận phân quyền &amp; Bảo mật nâng cao</t>
        </is>
      </c>
      <c r="C52" s="15" t="inlineStr">
        <is>
          <t>Ma trận: nền tảng</t>
        </is>
      </c>
      <c r="D52" s="15" t="inlineStr">
        <is>
          <t>Hoàn tiền/rút tiền phía admin (GET /api/admin/refunds, GET /api/admin/payouts)</t>
        </is>
      </c>
      <c r="E52" s="15" t="inlineStr">
        <is>
          <t>Bảo mật</t>
        </is>
      </c>
      <c r="F52" s="16" t="inlineStr">
        <is>
          <t>Cao</t>
        </is>
      </c>
      <c r="G52" s="17" t="inlineStr">
        <is>
          <t>Đã hoàn thiện</t>
        </is>
      </c>
      <c r="H52" s="17" t="inlineStr">
        <is>
          <t>Có</t>
        </is>
      </c>
      <c r="I5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2" s="15" t="inlineStr">
        <is>
          <t>1. Với từng vai trò trong danh sách 8 vai trò, gọi: GET /api/admin/refunds và GET /api/admin/payouts (khách: không gửi header Authorization)
2. Ghi lại mã HTTP, error.code và message của từng lần gọi</t>
        </is>
      </c>
      <c r="K52" s="15" t="inlineStr">
        <is>
          <t>-</t>
        </is>
      </c>
      <c r="L52"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cho cả hai; banned: 403 FORBIDDEN ("Chỉ Platform Admin mới có quyền này")</t>
        </is>
      </c>
      <c r="M52" s="15" t="inlineStr"/>
      <c r="N52" s="18" t="inlineStr">
        <is>
          <t>Chưa test</t>
        </is>
      </c>
      <c r="O52" s="15" t="inlineStr"/>
      <c r="P52" s="15" t="inlineStr"/>
      <c r="Q52" s="18" t="inlineStr">
        <is>
          <t>Chưa test</t>
        </is>
      </c>
      <c r="R52" s="15" t="inlineStr"/>
    </row>
    <row r="53" ht="45" customHeight="1">
      <c r="A53" s="14" t="inlineStr">
        <is>
          <t>TC-ROLE-052</t>
        </is>
      </c>
      <c r="B53" s="15" t="inlineStr">
        <is>
          <t>Ma trận phân quyền &amp; Bảo mật nâng cao</t>
        </is>
      </c>
      <c r="C53" s="15" t="inlineStr">
        <is>
          <t>Ma trận: nền tảng</t>
        </is>
      </c>
      <c r="D53" s="15" t="inlineStr">
        <is>
          <t>Khóa cộng đồng (POST /api/admin/courses/:id/lock) chỉ dành cho Platform Admin</t>
        </is>
      </c>
      <c r="E53" s="15" t="inlineStr">
        <is>
          <t>Bảo mật</t>
        </is>
      </c>
      <c r="F53" s="16" t="inlineStr">
        <is>
          <t>Cao</t>
        </is>
      </c>
      <c r="G53" s="17" t="inlineStr">
        <is>
          <t>Đã hoàn thiện</t>
        </is>
      </c>
      <c r="H53" s="17" t="inlineStr">
        <is>
          <t>Có</t>
        </is>
      </c>
      <c r="I5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3"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53" s="15" t="inlineStr">
        <is>
          <t>Body {"reason":"Thử ma trận"}</t>
        </is>
      </c>
      <c r="L53"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53" s="15" t="inlineStr"/>
      <c r="N53" s="18" t="inlineStr">
        <is>
          <t>Chưa test</t>
        </is>
      </c>
      <c r="O53" s="15" t="inlineStr"/>
      <c r="P53" s="15" t="inlineStr"/>
      <c r="Q53" s="18" t="inlineStr">
        <is>
          <t>Chưa test</t>
        </is>
      </c>
      <c r="R53" s="15" t="inlineStr"/>
    </row>
    <row r="54" ht="30" customHeight="1">
      <c r="A54" s="14" t="inlineStr">
        <is>
          <t>TC-ROLE-053</t>
        </is>
      </c>
      <c r="B54" s="15" t="inlineStr">
        <is>
          <t>Ma trận phân quyền &amp; Bảo mật nâng cao</t>
        </is>
      </c>
      <c r="C54" s="15" t="inlineStr">
        <is>
          <t>Ma trận: nhóm khách</t>
        </is>
      </c>
      <c r="D54" s="15" t="inlineStr">
        <is>
          <t>Khách (chưa đăng nhập): route cần xác thực trả 401 UNAUTHORIZED, route công khai vẫn 200</t>
        </is>
      </c>
      <c r="E54" s="15" t="inlineStr">
        <is>
          <t>Bảo mật</t>
        </is>
      </c>
      <c r="F54" s="16" t="inlineStr">
        <is>
          <t>Cao</t>
        </is>
      </c>
      <c r="G54" s="17" t="inlineStr">
        <is>
          <t>Đã hoàn thiện</t>
        </is>
      </c>
      <c r="H54" s="17" t="inlineStr">
        <is>
          <t>Có</t>
        </is>
      </c>
      <c r="I54" s="15" t="inlineStr">
        <is>
          <t>Đã chạy `npm run db:reset` (Postgres :5435 + seed), BE :4000, FE :5173. Không có token.</t>
        </is>
      </c>
      <c r="J54"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54" s="15" t="inlineStr">
        <is>
          <t>-</t>
        </is>
      </c>
      <c r="L54" s="15" t="inlineStr">
        <is>
          <t>Nhóm 1: đều 401 UNAUTHORIZED "Vui lòng đăng nhập để tiếp tục". Nhóm 2: đều 200 (GET /api/courses/photo có viewerRole=null; invite DEMO-VALID trả code, course private-demo, remainingUses=5).</t>
        </is>
      </c>
      <c r="M54" s="15" t="inlineStr"/>
      <c r="N54" s="18" t="inlineStr">
        <is>
          <t>Chưa test</t>
        </is>
      </c>
      <c r="O54" s="15" t="inlineStr"/>
      <c r="P54" s="15" t="inlineStr"/>
      <c r="Q54" s="18" t="inlineStr">
        <is>
          <t>Chưa test</t>
        </is>
      </c>
      <c r="R54" s="15" t="inlineStr"/>
    </row>
    <row r="55" ht="75" customHeight="1">
      <c r="A55" s="14" t="inlineStr">
        <is>
          <t>TC-ROLE-054</t>
        </is>
      </c>
      <c r="B55" s="15" t="inlineStr">
        <is>
          <t>Ma trận phân quyền &amp; Bảo mật nâng cao</t>
        </is>
      </c>
      <c r="C55" s="15" t="inlineStr">
        <is>
          <t>Ma trận: nhóm banned</t>
        </is>
      </c>
      <c r="D55" s="15" t="inlineStr">
        <is>
          <t>Người bị ban khỏi photo (banned@) mất quyền thành viên nhưng vẫn dùng được cộng đồng khác và nền tảng</t>
        </is>
      </c>
      <c r="E55" s="15" t="inlineStr">
        <is>
          <t>Bảo mật</t>
        </is>
      </c>
      <c r="F55" s="16" t="inlineStr">
        <is>
          <t>Cao</t>
        </is>
      </c>
      <c r="G55" s="17" t="inlineStr">
        <is>
          <t>Đã hoàn thiện</t>
        </is>
      </c>
      <c r="H55" s="17" t="inlineStr">
        <is>
          <t>Có</t>
        </is>
      </c>
      <c r="I55" s="15" t="inlineStr">
        <is>
          <t>Đã chạy `npm run db:reset` (Postgres :5435 + seed), BE :4000, FE :5173. banned@sofinhub.test đăng nhập (chỉ ở photo, có CommunityBan).</t>
        </is>
      </c>
      <c r="J55" s="15" t="inlineStr">
        <is>
          <t>1. GET /api/courses/photo/posts
2. POST /api/courses/photo/enroll
3. GET /api/courses/photo (chi tiết công khai)
4. GET /api/auth/me
5. GET /api/courses/yt (chi tiết công khai)</t>
        </is>
      </c>
      <c r="K55" s="15" t="inlineStr">
        <is>
          <t>-</t>
        </is>
      </c>
      <c r="L55" s="15" t="inlineStr">
        <is>
          <t>posts: 403 FORBIDDEN ("Bạn cần tham gia cộng đồng này trước"); enroll: 403 FORBIDDEN "Bạn đã bị cấm khỏi cộng đồng này"; chi tiết photo và yt: 200; /auth/me: 200 (chưa có ban toàn nền tảng).</t>
        </is>
      </c>
      <c r="M55" s="15" t="inlineStr"/>
      <c r="N55" s="18" t="inlineStr">
        <is>
          <t>Chưa test</t>
        </is>
      </c>
      <c r="O55" s="15" t="inlineStr"/>
      <c r="P55" s="15" t="inlineStr"/>
      <c r="Q55" s="18" t="inlineStr">
        <is>
          <t>Chưa test</t>
        </is>
      </c>
      <c r="R55" s="15" t="inlineStr"/>
    </row>
    <row r="56" ht="60" customHeight="1">
      <c r="A56" s="14" t="inlineStr">
        <is>
          <t>TC-ROLE-055</t>
        </is>
      </c>
      <c r="B56" s="15" t="inlineStr">
        <is>
          <t>Ma trận phân quyền &amp; Bảo mật nâng cao</t>
        </is>
      </c>
      <c r="C56" s="15" t="inlineStr">
        <is>
          <t>Ma trận: nhóm banned</t>
        </is>
      </c>
      <c r="D56" s="15" t="inlineStr">
        <is>
          <t>Người bị ban không gọi được các route quản trị của photo</t>
        </is>
      </c>
      <c r="E56" s="15" t="inlineStr">
        <is>
          <t>Bảo mật</t>
        </is>
      </c>
      <c r="F56" s="20" t="inlineStr">
        <is>
          <t>Trung bình</t>
        </is>
      </c>
      <c r="G56" s="17" t="inlineStr">
        <is>
          <t>Đã hoàn thiện</t>
        </is>
      </c>
      <c r="H56" s="17" t="inlineStr">
        <is>
          <t>Có</t>
        </is>
      </c>
      <c r="I56" s="15" t="inlineStr">
        <is>
          <t>Đã chạy `npm run db:reset` (Postgres :5435 + seed), BE :4000, FE :5173. banned đăng nhập.</t>
        </is>
      </c>
      <c r="J56" s="15" t="inlineStr">
        <is>
          <t>1. GET /api/courses/photo/reports
2. POST /api/courses/photo/invites
3. PATCH /api/courses/photo/members/&lt;id member3&gt;/role {role:'mod'}
4. GET /api/courses/photo/bans</t>
        </is>
      </c>
      <c r="K56" s="15" t="inlineStr">
        <is>
          <t>-</t>
        </is>
      </c>
      <c r="L56" s="15" t="inlineStr">
        <is>
          <t>Cả 4: 403 FORBIDDEN ("Bạn không có quyền thực hiện thao tác này trong cộng đồng") (getRole = null vì bị coi là chưa ghi danh); không có tác dụng phụ.</t>
        </is>
      </c>
      <c r="M56" s="15" t="inlineStr"/>
      <c r="N56" s="18" t="inlineStr">
        <is>
          <t>Chưa test</t>
        </is>
      </c>
      <c r="O56" s="15" t="inlineStr"/>
      <c r="P56" s="15" t="inlineStr"/>
      <c r="Q56" s="18" t="inlineStr">
        <is>
          <t>Chưa test</t>
        </is>
      </c>
      <c r="R56" s="15" t="inlineStr"/>
    </row>
    <row r="57" ht="75" customHeight="1">
      <c r="A57" s="14" t="inlineStr">
        <is>
          <t>TC-ROLE-056</t>
        </is>
      </c>
      <c r="B57" s="15" t="inlineStr">
        <is>
          <t>Ma trận phân quyền &amp; Bảo mật nâng cao</t>
        </is>
      </c>
      <c r="C57" s="15" t="inlineStr">
        <is>
          <t>Ma trận: admin nền tảng</t>
        </is>
      </c>
      <c r="D57" s="15" t="inlineStr">
        <is>
          <t>Platform Admin trên các route đi qua requireMembership (bảng tin, lịch, lớp học): 200 dù chưa ghi danh</t>
        </is>
      </c>
      <c r="E57" s="15" t="inlineStr">
        <is>
          <t>Bảo mật</t>
        </is>
      </c>
      <c r="F57" s="16" t="inlineStr">
        <is>
          <t>Cao</t>
        </is>
      </c>
      <c r="G57" s="17" t="inlineStr">
        <is>
          <t>Đã hoàn thiện</t>
        </is>
      </c>
      <c r="H57" s="17" t="inlineStr">
        <is>
          <t>Có</t>
        </is>
      </c>
      <c r="I57" s="15" t="inlineStr">
        <is>
          <t>Đã chạy `npm run db:reset` (Postgres :5435 + seed), BE :4000, FE :5173. admin@sofinhub.test (không ghi danh cộng đồng nào).</t>
        </is>
      </c>
      <c r="J57"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57" s="15" t="inlineStr">
        <is>
          <t>-</t>
        </is>
      </c>
      <c r="L57"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57" s="15" t="inlineStr"/>
      <c r="N57" s="18" t="inlineStr">
        <is>
          <t>Chưa test</t>
        </is>
      </c>
      <c r="O57" s="15" t="inlineStr"/>
      <c r="P57" s="15" t="inlineStr"/>
      <c r="Q57" s="18" t="inlineStr">
        <is>
          <t>Chưa test</t>
        </is>
      </c>
      <c r="R57" s="15" t="inlineStr"/>
    </row>
    <row r="58" ht="60" customHeight="1">
      <c r="A58" s="14" t="inlineStr">
        <is>
          <t>TC-ROLE-057</t>
        </is>
      </c>
      <c r="B58" s="15" t="inlineStr">
        <is>
          <t>Ma trận phân quyền &amp; Bảo mật nâng cao</t>
        </is>
      </c>
      <c r="C58" s="15" t="inlineStr">
        <is>
          <t>Ma trận: owner</t>
        </is>
      </c>
      <c r="D58" s="15" t="inlineStr">
        <is>
          <t>Owner của photo không có quyền quản trị trong cộng đồng do người khác tạo</t>
        </is>
      </c>
      <c r="E58" s="15" t="inlineStr">
        <is>
          <t>Bảo mật</t>
        </is>
      </c>
      <c r="F58" s="16" t="inlineStr">
        <is>
          <t>Cao</t>
        </is>
      </c>
      <c r="G58" s="17" t="inlineStr">
        <is>
          <t>Đã hoàn thiện</t>
        </is>
      </c>
      <c r="H58" s="17" t="inlineStr">
        <is>
          <t>Có</t>
        </is>
      </c>
      <c r="I58" s="15" t="inlineStr">
        <is>
          <t>Đã chạy `npm run db:reset` (Postgres :5435 + seed), BE :4000, FE :5173. Đăng ký user Z, Z tạo cộng đồng ZC (POST /api/communities). owner@ không ở ZC.</t>
        </is>
      </c>
      <c r="J58" s="15" t="inlineStr">
        <is>
          <t>1. owner: GET /api/courses/ZC/reports
2. owner: PATCH /api/courses/ZC {description:'x'}
3. owner: GET /api/courses/ZC/join-requests
4. owner: DELETE /api/courses/ZC</t>
        </is>
      </c>
      <c r="K58" s="15" t="inlineStr">
        <is>
          <t>-</t>
        </is>
      </c>
      <c r="L58" s="15" t="inlineStr">
        <is>
          <t>Cả 4: 403 FORBIDDEN ("Bạn không có quyền thực hiện thao tác này trong cộng đồng"); ZC không thay đổi (quyền tính theo từng cộng đồng, không theo tài khoản).</t>
        </is>
      </c>
      <c r="M58" s="15" t="inlineStr"/>
      <c r="N58" s="18" t="inlineStr">
        <is>
          <t>Chưa test</t>
        </is>
      </c>
      <c r="O58" s="15" t="inlineStr"/>
      <c r="P58" s="15" t="inlineStr"/>
      <c r="Q58" s="18" t="inlineStr">
        <is>
          <t>Chưa test</t>
        </is>
      </c>
      <c r="R58" s="15" t="inlineStr"/>
    </row>
    <row r="59" ht="60" customHeight="1">
      <c r="A59" s="14" t="inlineStr">
        <is>
          <t>TC-ROLE-058</t>
        </is>
      </c>
      <c r="B59" s="15" t="inlineStr">
        <is>
          <t>Ma trận phân quyền &amp; Bảo mật nâng cao</t>
        </is>
      </c>
      <c r="C59" s="15" t="inlineStr">
        <is>
          <t>IDOR</t>
        </is>
      </c>
      <c r="D59" s="15" t="inlineStr">
        <is>
          <t>Đọc/tương tác bài viết của photo bằng id khi chỉ là thành viên cộng đồng khác</t>
        </is>
      </c>
      <c r="E59" s="15" t="inlineStr">
        <is>
          <t>Bảo mật</t>
        </is>
      </c>
      <c r="F59" s="16" t="inlineStr">
        <is>
          <t>Cao</t>
        </is>
      </c>
      <c r="G59" s="17" t="inlineStr">
        <is>
          <t>Đã hoàn thiện</t>
        </is>
      </c>
      <c r="H59" s="17" t="inlineStr">
        <is>
          <t>Có</t>
        </is>
      </c>
      <c r="I59" s="15" t="inlineStr">
        <is>
          <t>Đã chạy `npm run db:reset` (Postgres :5435 + seed), BE :4000, FE :5173. Đăng ký user Y, Y tạo cộng đồng riêng YC (Y không ở photo). Id bài `seed-post-photo-m1-image`.</t>
        </is>
      </c>
      <c r="J59" s="15" t="inlineStr">
        <is>
          <t>1. Y: GET /api/posts/seed-post-photo-m1-image
2. Y: GET /api/posts/seed-post-photo-m1-image/comments
3. Y: POST /api/posts/seed-post-photo-m1-image/like
4. Y: POST /api/posts/seed-post-photo-m1-image/comments {content:'x'}</t>
        </is>
      </c>
      <c r="K59" s="15" t="inlineStr">
        <is>
          <t>-</t>
        </is>
      </c>
      <c r="L59" s="15" t="inlineStr">
        <is>
          <t>Cả 4: 403 FORBIDDEN ("Bạn cần tham gia cộng đồng này trước") (quyền tính theo cộng đồng chứa bài, không theo cộng đồng của Y); likesCount/số bình luận của bài không đổi.</t>
        </is>
      </c>
      <c r="M59" s="15" t="inlineStr"/>
      <c r="N59" s="18" t="inlineStr">
        <is>
          <t>Chưa test</t>
        </is>
      </c>
      <c r="O59" s="15" t="inlineStr"/>
      <c r="P59" s="15" t="inlineStr"/>
      <c r="Q59" s="18" t="inlineStr">
        <is>
          <t>Chưa test</t>
        </is>
      </c>
      <c r="R59" s="15" t="inlineStr"/>
    </row>
    <row r="60" ht="45" customHeight="1">
      <c r="A60" s="14" t="inlineStr">
        <is>
          <t>TC-ROLE-059</t>
        </is>
      </c>
      <c r="B60" s="15" t="inlineStr">
        <is>
          <t>Ma trận phân quyền &amp; Bảo mật nâng cao</t>
        </is>
      </c>
      <c r="C60" s="15" t="inlineStr">
        <is>
          <t>IDOR</t>
        </is>
      </c>
      <c r="D60" s="15" t="inlineStr">
        <is>
          <t>Sửa/xóa bình luận của người khác qua id: thành viên thường 403, người ngoài cộng đồng 403</t>
        </is>
      </c>
      <c r="E60" s="15" t="inlineStr">
        <is>
          <t>Bảo mật</t>
        </is>
      </c>
      <c r="F60" s="16" t="inlineStr">
        <is>
          <t>Cao</t>
        </is>
      </c>
      <c r="G60" s="17" t="inlineStr">
        <is>
          <t>Đã hoàn thiện</t>
        </is>
      </c>
      <c r="H60" s="17" t="inlineStr">
        <is>
          <t>Có</t>
        </is>
      </c>
      <c r="I60" s="15" t="inlineStr">
        <is>
          <t>Đã chạy `npm run db:reset` (Postgres :5435 + seed), BE :4000, FE :5173. member3 (thành viên photo), newbie. Bình luận `seed-comment-photo-m2-on-m1-image` (tác giả member2).</t>
        </is>
      </c>
      <c r="J60" s="15" t="inlineStr">
        <is>
          <t>1. member3: PATCH /api/comments/seed-comment-photo-m2-on-m1-image {content:'Sửa lén'}
2. member3: DELETE cùng id
3. newbie: DELETE cùng id</t>
        </is>
      </c>
      <c r="K60" s="15" t="inlineStr">
        <is>
          <t>-</t>
        </is>
      </c>
      <c r="L60"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60" s="15" t="inlineStr"/>
      <c r="N60" s="18" t="inlineStr">
        <is>
          <t>Chưa test</t>
        </is>
      </c>
      <c r="O60" s="15" t="inlineStr"/>
      <c r="P60" s="15" t="inlineStr"/>
      <c r="Q60" s="18" t="inlineStr">
        <is>
          <t>Chưa test</t>
        </is>
      </c>
      <c r="R60" s="15" t="inlineStr"/>
    </row>
    <row r="61" ht="75" customHeight="1">
      <c r="A61" s="14" t="inlineStr">
        <is>
          <t>TC-ROLE-060</t>
        </is>
      </c>
      <c r="B61" s="15" t="inlineStr">
        <is>
          <t>Ma trận phân quyền &amp; Bảo mật nâng cao</t>
        </is>
      </c>
      <c r="C61" s="15" t="inlineStr">
        <is>
          <t>IDOR</t>
        </is>
      </c>
      <c r="D61" s="15" t="inlineStr">
        <is>
          <t>Truy cập sự kiện photo bằng id khi không phải thành viên (xem, RSVP, .ics)</t>
        </is>
      </c>
      <c r="E61" s="15" t="inlineStr">
        <is>
          <t>Bảo mật</t>
        </is>
      </c>
      <c r="F61" s="16" t="inlineStr">
        <is>
          <t>Cao</t>
        </is>
      </c>
      <c r="G61" s="17" t="inlineStr">
        <is>
          <t>Đã hoàn thiện</t>
        </is>
      </c>
      <c r="H61" s="17" t="inlineStr">
        <is>
          <t>Có</t>
        </is>
      </c>
      <c r="I61" s="15" t="inlineStr">
        <is>
          <t>Đã chạy `npm run db:reset` (Postgres :5435 + seed), BE :4000, FE :5173. newbie đăng nhập (chưa ở photo). Sự kiện `seed-event-photo-limited`.</t>
        </is>
      </c>
      <c r="J61" s="15" t="inlineStr">
        <is>
          <t>1. GET /api/events/seed-event-photo-limited
2. POST /api/events/seed-event-photo-limited/rsvp
3. GET /api/events/seed-event-photo-limited/ics
4. GET /api/courses/photo/events.ics
5. GET /api/events/khong-co</t>
        </is>
      </c>
      <c r="K61" s="15" t="inlineStr">
        <is>
          <t>-</t>
        </is>
      </c>
      <c r="L61" s="15" t="inlineStr">
        <is>
          <t>4 lần đầu: 403 FORBIDDEN ("Bạn cần tham gia cộng đồng này trước"); rsvpCount vẫn 2/3; id sự kiện lạ: 404 NOT_FOUND "Không tìm thấy sự kiện".</t>
        </is>
      </c>
      <c r="M61" s="15" t="inlineStr"/>
      <c r="N61" s="18" t="inlineStr">
        <is>
          <t>Chưa test</t>
        </is>
      </c>
      <c r="O61" s="15" t="inlineStr"/>
      <c r="P61" s="15" t="inlineStr"/>
      <c r="Q61" s="18" t="inlineStr">
        <is>
          <t>Chưa test</t>
        </is>
      </c>
      <c r="R61" s="15" t="inlineStr"/>
    </row>
    <row r="62" ht="75" customHeight="1">
      <c r="A62" s="14" t="inlineStr">
        <is>
          <t>TC-ROLE-061</t>
        </is>
      </c>
      <c r="B62" s="15" t="inlineStr">
        <is>
          <t>Ma trận phân quyền &amp; Bảo mật nâng cao</t>
        </is>
      </c>
      <c r="C62" s="15" t="inlineStr">
        <is>
          <t>IDOR</t>
        </is>
      </c>
      <c r="D62" s="15" t="inlineStr">
        <is>
          <t>Xem hóa đơn của giao dịch người khác: 403; chủ giao dịch, owner cộng đồng, Platform Admin xem được</t>
        </is>
      </c>
      <c r="E62" s="15" t="inlineStr">
        <is>
          <t>Bảo mật</t>
        </is>
      </c>
      <c r="F62" s="16" t="inlineStr">
        <is>
          <t>Cao</t>
        </is>
      </c>
      <c r="G62" s="17" t="inlineStr">
        <is>
          <t>Đã hoàn thiện</t>
        </is>
      </c>
      <c r="H62" s="17" t="inlineStr">
        <is>
          <t>Có</t>
        </is>
      </c>
      <c r="I62" s="15" t="inlineStr">
        <is>
          <t>Đã chạy `npm run db:reset` (Postgres :5435 + seed), BE :4000, FE :5173. Giao dịch seed-pay-member1-a (của member1, paid-demo, có số hóa đơn INV-...). Tài khoản member2, member1, owner, admin.</t>
        </is>
      </c>
      <c r="J62" s="15" t="inlineStr">
        <is>
          <t>1. member2: GET /api/payments/seed-pay-member1-a/invoice
2. member1: GET cùng endpoint
3. owner: GET
4. admin: GET
5. member2: GET /api/payments/khong-co/invoice</t>
        </is>
      </c>
      <c r="K62" s="15" t="inlineStr">
        <is>
          <t>-</t>
        </is>
      </c>
      <c r="L62" s="15" t="inlineStr">
        <is>
          <t>member2: 403 FORBIDDEN ("Bạn không có quyền thực hiện thao tác này"); member1, owner, admin: 200 với invoiceNumber dạng INV-&lt;năm&gt;-&lt;6 số&gt;; id lạ: 404 NOT_FOUND "Không tìm thấy giao dịch".</t>
        </is>
      </c>
      <c r="M62" s="15" t="inlineStr"/>
      <c r="N62" s="18" t="inlineStr">
        <is>
          <t>Chưa test</t>
        </is>
      </c>
      <c r="O62" s="15" t="inlineStr"/>
      <c r="P62" s="15" t="inlineStr"/>
      <c r="Q62" s="18" t="inlineStr">
        <is>
          <t>Chưa test</t>
        </is>
      </c>
      <c r="R62" s="15" t="inlineStr"/>
    </row>
    <row r="63" ht="30" customHeight="1">
      <c r="A63" s="14" t="inlineStr">
        <is>
          <t>TC-ROLE-062</t>
        </is>
      </c>
      <c r="B63" s="15" t="inlineStr">
        <is>
          <t>Ma trận phân quyền &amp; Bảo mật nâng cao</t>
        </is>
      </c>
      <c r="C63" s="15" t="inlineStr">
        <is>
          <t>IDOR</t>
        </is>
      </c>
      <c r="D63" s="15" t="inlineStr">
        <is>
          <t>Không xác nhận thanh toán / xin hoàn tiền thay người khác bằng id giao dịch</t>
        </is>
      </c>
      <c r="E63" s="15" t="inlineStr">
        <is>
          <t>Bảo mật</t>
        </is>
      </c>
      <c r="F63" s="16" t="inlineStr">
        <is>
          <t>Cao</t>
        </is>
      </c>
      <c r="G63" s="17" t="inlineStr">
        <is>
          <t>Đã hoàn thiện</t>
        </is>
      </c>
      <c r="H63" s="17" t="inlineStr">
        <is>
          <t>Có</t>
        </is>
      </c>
      <c r="I63" s="15" t="inlineStr">
        <is>
          <t>Đã chạy `npm run db:reset` (Postgres :5435 + seed), BE :4000, FE :5173. member2 đăng nhập; giao dịch seed-pay-member1-b thuộc member1.</t>
        </is>
      </c>
      <c r="J63" s="15" t="inlineStr">
        <is>
          <t>1. member2: POST /api/payments/seed-pay-member1-b/confirm
2. member2: POST /api/payments/seed-pay-member1-b/refund-request {reason:'Xin hộ'}</t>
        </is>
      </c>
      <c r="K63" s="15" t="inlineStr">
        <is>
          <t>-</t>
        </is>
      </c>
      <c r="L63" s="15" t="inlineStr">
        <is>
          <t>Cả hai: 403 FORBIDDEN ("Bạn không có quyền thực hiện thao tác này"); giao dịch và hoàn tiền không đổi.</t>
        </is>
      </c>
      <c r="M63" s="15" t="inlineStr"/>
      <c r="N63" s="18" t="inlineStr">
        <is>
          <t>Chưa test</t>
        </is>
      </c>
      <c r="O63" s="15" t="inlineStr"/>
      <c r="P63" s="15" t="inlineStr"/>
      <c r="Q63" s="18" t="inlineStr">
        <is>
          <t>Chưa test</t>
        </is>
      </c>
      <c r="R63" s="15" t="inlineStr"/>
    </row>
    <row r="64" ht="60" customHeight="1">
      <c r="A64" s="14" t="inlineStr">
        <is>
          <t>TC-ROLE-063</t>
        </is>
      </c>
      <c r="B64" s="15" t="inlineStr">
        <is>
          <t>Ma trận phân quyền &amp; Bảo mật nâng cao</t>
        </is>
      </c>
      <c r="C64" s="15" t="inlineStr">
        <is>
          <t>IDOR</t>
        </is>
      </c>
      <c r="D64" s="15" t="inlineStr">
        <is>
          <t>Đọc/gửi tin trong hội thoại của hai người khác trả 404 (không lộ tồn tại)</t>
        </is>
      </c>
      <c r="E64" s="15" t="inlineStr">
        <is>
          <t>Bảo mật</t>
        </is>
      </c>
      <c r="F64" s="16" t="inlineStr">
        <is>
          <t>Cao</t>
        </is>
      </c>
      <c r="G64" s="17" t="inlineStr">
        <is>
          <t>Đã hoàn thiện</t>
        </is>
      </c>
      <c r="H64" s="17" t="inlineStr">
        <is>
          <t>Có</t>
        </is>
      </c>
      <c r="I64" s="15" t="inlineStr">
        <is>
          <t>Đã chạy `npm run db:reset` (Postgres :5435 + seed), BE :4000, FE :5173. Hội thoại seed-conv-member1-member2. member3 đăng nhập.</t>
        </is>
      </c>
      <c r="J64" s="15" t="inlineStr">
        <is>
          <t>1. member3: GET /api/conversations/seed-conv-member1-member2/messages
2. member3: POST /api/conversations/seed-conv-member1-member2/messages {content:'chen ngang'}
3. member3: POST .../read
4. member3: DELETE /api/messages/seed-msg-2</t>
        </is>
      </c>
      <c r="K64" s="15" t="inlineStr">
        <is>
          <t>-</t>
        </is>
      </c>
      <c r="L64" s="15" t="inlineStr">
        <is>
          <t>GET/POST/read: 404 NOT_FOUND "Không tìm thấy cuộc trò chuyện"; DELETE tin: 404 "Không tìm thấy tin nhắn" (không phải 403). GET /api/conversations của member3 không chứa hội thoại này.</t>
        </is>
      </c>
      <c r="M64" s="15" t="inlineStr"/>
      <c r="N64" s="18" t="inlineStr">
        <is>
          <t>Chưa test</t>
        </is>
      </c>
      <c r="O64" s="15" t="inlineStr"/>
      <c r="P64" s="15" t="inlineStr"/>
      <c r="Q64" s="18" t="inlineStr">
        <is>
          <t>Chưa test</t>
        </is>
      </c>
      <c r="R64" s="15" t="inlineStr"/>
    </row>
    <row r="65" ht="30" customHeight="1">
      <c r="A65" s="14" t="inlineStr">
        <is>
          <t>TC-ROLE-064</t>
        </is>
      </c>
      <c r="B65" s="15" t="inlineStr">
        <is>
          <t>Ma trận phân quyền &amp; Bảo mật nâng cao</t>
        </is>
      </c>
      <c r="C65" s="15" t="inlineStr">
        <is>
          <t>IDOR</t>
        </is>
      </c>
      <c r="D65" s="15" t="inlineStr">
        <is>
          <t>Thu hồi tin nhắn của người khác trong CÙNG hội thoại bị 403</t>
        </is>
      </c>
      <c r="E65" s="15" t="inlineStr">
        <is>
          <t>Bảo mật</t>
        </is>
      </c>
      <c r="F65" s="16" t="inlineStr">
        <is>
          <t>Cao</t>
        </is>
      </c>
      <c r="G65" s="17" t="inlineStr">
        <is>
          <t>Đã hoàn thiện</t>
        </is>
      </c>
      <c r="H65" s="17" t="inlineStr">
        <is>
          <t>Có</t>
        </is>
      </c>
      <c r="I65" s="15" t="inlineStr">
        <is>
          <t>Đã chạy `npm run db:reset` (Postgres :5435 + seed), BE :4000, FE :5173. member2 đăng nhập; tin seed-msg-2 do member1 gửi trong seed-conv-member1-member2.</t>
        </is>
      </c>
      <c r="J65" s="15" t="inlineStr">
        <is>
          <t>1. member2: DELETE /api/messages/seed-msg-2</t>
        </is>
      </c>
      <c r="K65" s="15" t="inlineStr">
        <is>
          <t>-</t>
        </is>
      </c>
      <c r="L65" s="15" t="inlineStr">
        <is>
          <t>403 FORBIDDEN, message "Chỉ người gửi mới được thu hồi tin nhắn"; tin nhắn vẫn nguyên vẹn.</t>
        </is>
      </c>
      <c r="M65" s="15" t="inlineStr"/>
      <c r="N65" s="18" t="inlineStr">
        <is>
          <t>Chưa test</t>
        </is>
      </c>
      <c r="O65" s="15" t="inlineStr"/>
      <c r="P65" s="15" t="inlineStr"/>
      <c r="Q65" s="18" t="inlineStr">
        <is>
          <t>Chưa test</t>
        </is>
      </c>
      <c r="R65" s="15" t="inlineStr"/>
    </row>
    <row r="66" ht="45" customHeight="1">
      <c r="A66" s="14" t="inlineStr">
        <is>
          <t>TC-ROLE-065</t>
        </is>
      </c>
      <c r="B66" s="15" t="inlineStr">
        <is>
          <t>Ma trận phân quyền &amp; Bảo mật nâng cao</t>
        </is>
      </c>
      <c r="C66" s="15" t="inlineStr">
        <is>
          <t>IDOR</t>
        </is>
      </c>
      <c r="D66" s="15" t="inlineStr">
        <is>
          <t>Đọc/xóa thông báo của người khác trả 404</t>
        </is>
      </c>
      <c r="E66" s="15" t="inlineStr">
        <is>
          <t>Bảo mật</t>
        </is>
      </c>
      <c r="F66" s="16" t="inlineStr">
        <is>
          <t>Cao</t>
        </is>
      </c>
      <c r="G66" s="17" t="inlineStr">
        <is>
          <t>Đã hoàn thiện</t>
        </is>
      </c>
      <c r="H66" s="17" t="inlineStr">
        <is>
          <t>Có</t>
        </is>
      </c>
      <c r="I66" s="15" t="inlineStr">
        <is>
          <t>Đã chạy `npm run db:reset` (Postgres :5435 + seed), BE :4000, FE :5173. member2 đăng nhập; thông báo seed-notif-member1-1 thuộc member1.</t>
        </is>
      </c>
      <c r="J66" s="15" t="inlineStr">
        <is>
          <t>1. member2: POST /api/notifications/seed-notif-member1-1/read
2. member2: DELETE /api/notifications/seed-notif-member1-1
3. member1: GET /api/notifications, xác nhận thông báo còn nguyên</t>
        </is>
      </c>
      <c r="K66" s="15" t="inlineStr">
        <is>
          <t>-</t>
        </is>
      </c>
      <c r="L66" s="15" t="inlineStr">
        <is>
          <t>Hai lần đầu: 404 NOT_FOUND "Không tìm thấy thông báo"; thông báo của member1 không bị đổi trạng thái/xóa.</t>
        </is>
      </c>
      <c r="M66" s="15" t="inlineStr"/>
      <c r="N66" s="18" t="inlineStr">
        <is>
          <t>Chưa test</t>
        </is>
      </c>
      <c r="O66" s="15" t="inlineStr"/>
      <c r="P66" s="15" t="inlineStr"/>
      <c r="Q66" s="18" t="inlineStr">
        <is>
          <t>Chưa test</t>
        </is>
      </c>
      <c r="R66" s="15" t="inlineStr"/>
    </row>
    <row r="67" ht="30" customHeight="1">
      <c r="A67" s="14" t="inlineStr">
        <is>
          <t>TC-ROLE-066</t>
        </is>
      </c>
      <c r="B67" s="15" t="inlineStr">
        <is>
          <t>Ma trận phân quyền &amp; Bảo mật nâng cao</t>
        </is>
      </c>
      <c r="C67" s="15" t="inlineStr">
        <is>
          <t>IDOR</t>
        </is>
      </c>
      <c r="D67" s="15" t="inlineStr">
        <is>
          <t>Thu hồi phiên đăng nhập của người khác qua id phiên: 404</t>
        </is>
      </c>
      <c r="E67" s="15" t="inlineStr">
        <is>
          <t>Bảo mật</t>
        </is>
      </c>
      <c r="F67" s="16" t="inlineStr">
        <is>
          <t>Cao</t>
        </is>
      </c>
      <c r="G67" s="17" t="inlineStr">
        <is>
          <t>Đã hoàn thiện</t>
        </is>
      </c>
      <c r="H67" s="17" t="inlineStr">
        <is>
          <t>Có</t>
        </is>
      </c>
      <c r="I67" s="15" t="inlineStr">
        <is>
          <t>Đã chạy `npm run db:reset` (Postgres :5435 + seed), BE :4000, FE :5173. member1 và member2 đã đăng nhập; lấy sid của member1 từ GET /api/auth/sessions (token member1).</t>
        </is>
      </c>
      <c r="J67" s="15" t="inlineStr">
        <is>
          <t>1. member2: DELETE /api/auth/sessions/&lt;sid của member1&gt;
2. member1: GET /api/auth/sessions kiểm phiên còn</t>
        </is>
      </c>
      <c r="K67" s="15" t="inlineStr">
        <is>
          <t>-</t>
        </is>
      </c>
      <c r="L67" s="15" t="inlineStr">
        <is>
          <t>member2 nhận 404 NOT_FOUND "Không tìm thấy phiên đăng nhập"; phiên và token của member1 vẫn dùng được.</t>
        </is>
      </c>
      <c r="M67" s="15" t="inlineStr"/>
      <c r="N67" s="18" t="inlineStr">
        <is>
          <t>Chưa test</t>
        </is>
      </c>
      <c r="O67" s="15" t="inlineStr"/>
      <c r="P67" s="15" t="inlineStr"/>
      <c r="Q67" s="18" t="inlineStr">
        <is>
          <t>Chưa test</t>
        </is>
      </c>
      <c r="R67" s="15" t="inlineStr"/>
    </row>
    <row r="68" ht="30" customHeight="1">
      <c r="A68" s="14" t="inlineStr">
        <is>
          <t>TC-ROLE-067</t>
        </is>
      </c>
      <c r="B68" s="15" t="inlineStr">
        <is>
          <t>Ma trận phân quyền &amp; Bảo mật nâng cao</t>
        </is>
      </c>
      <c r="C68" s="15" t="inlineStr">
        <is>
          <t>IDOR</t>
        </is>
      </c>
      <c r="D68" s="15" t="inlineStr">
        <is>
          <t>Hủy yêu cầu tham gia của người khác qua id: 404</t>
        </is>
      </c>
      <c r="E68" s="15" t="inlineStr">
        <is>
          <t>Bảo mật</t>
        </is>
      </c>
      <c r="F68" s="16" t="inlineStr">
        <is>
          <t>Cao</t>
        </is>
      </c>
      <c r="G68" s="17" t="inlineStr">
        <is>
          <t>Đã hoàn thiện</t>
        </is>
      </c>
      <c r="H68" s="17" t="inlineStr">
        <is>
          <t>Có</t>
        </is>
      </c>
      <c r="I68" s="15" t="inlineStr">
        <is>
          <t>Đã chạy `npm run db:reset` (Postgres :5435 + seed), BE :4000, FE :5173. Yêu cầu pending của newbie ở private-demo (id từ GET /api/courses/private-demo/join-requests bằng owner). member2 đăng nhập.</t>
        </is>
      </c>
      <c r="J68" s="15" t="inlineStr">
        <is>
          <t>1. member2: DELETE /api/join-requests/&lt;id của newbie&gt;
2. owner: GET danh sách yêu cầu pending</t>
        </is>
      </c>
      <c r="K68" s="15" t="inlineStr">
        <is>
          <t>-</t>
        </is>
      </c>
      <c r="L68" s="15" t="inlineStr">
        <is>
          <t>member2: 404 NOT_FOUND "Không tìm thấy yêu cầu tham gia"; yêu cầu của newbie vẫn pending.</t>
        </is>
      </c>
      <c r="M68" s="15" t="inlineStr"/>
      <c r="N68" s="18" t="inlineStr">
        <is>
          <t>Chưa test</t>
        </is>
      </c>
      <c r="O68" s="15" t="inlineStr"/>
      <c r="P68" s="15" t="inlineStr"/>
      <c r="Q68" s="18" t="inlineStr">
        <is>
          <t>Chưa test</t>
        </is>
      </c>
      <c r="R68" s="15" t="inlineStr"/>
    </row>
    <row r="69" ht="45" customHeight="1">
      <c r="A69" s="14" t="inlineStr">
        <is>
          <t>TC-ROLE-068</t>
        </is>
      </c>
      <c r="B69" s="15" t="inlineStr">
        <is>
          <t>Ma trận phân quyền &amp; Bảo mật nâng cao</t>
        </is>
      </c>
      <c r="C69" s="15" t="inlineStr">
        <is>
          <t>IDOR</t>
        </is>
      </c>
      <c r="D69" s="15" t="inlineStr">
        <is>
          <t>Thu hồi/liệt kê lời mời của cộng đồng khác: admin photo không đụng được lời mời của private-demo</t>
        </is>
      </c>
      <c r="E69" s="15" t="inlineStr">
        <is>
          <t>Bảo mật</t>
        </is>
      </c>
      <c r="F69" s="16" t="inlineStr">
        <is>
          <t>Cao</t>
        </is>
      </c>
      <c r="G69" s="17" t="inlineStr">
        <is>
          <t>Đã hoàn thiện</t>
        </is>
      </c>
      <c r="H69" s="17" t="inlineStr">
        <is>
          <t>Có</t>
        </is>
      </c>
      <c r="I69" s="15" t="inlineStr">
        <is>
          <t>Đã chạy `npm run db:reset` (Postgres :5435 + seed), BE :4000, FE :5173. cadmin (admin photo) và owner (owner private-demo). Lời mời DEMO-VALID thuộc private-demo.</t>
        </is>
      </c>
      <c r="J69" s="15" t="inlineStr">
        <is>
          <t>1. cadmin: DELETE /api/invites/DEMO-VALID
2. cadmin: GET /api/courses/private-demo/invites
3. owner: GET /api/courses/private-demo/invites</t>
        </is>
      </c>
      <c r="K69" s="15" t="inlineStr">
        <is>
          <t>-</t>
        </is>
      </c>
      <c r="L69" s="15" t="inlineStr">
        <is>
          <t>cadmin ở cả hai route: 403 FORBIDDEN ("Bạn không có quyền thực hiện thao tác này trong cộng đồng"); owner: 200, DEMO-VALID vẫn chưa bị thu hồi (revokedAt null).</t>
        </is>
      </c>
      <c r="M69" s="15" t="inlineStr"/>
      <c r="N69" s="18" t="inlineStr">
        <is>
          <t>Chưa test</t>
        </is>
      </c>
      <c r="O69" s="15" t="inlineStr"/>
      <c r="P69" s="15" t="inlineStr"/>
      <c r="Q69" s="18" t="inlineStr">
        <is>
          <t>Chưa test</t>
        </is>
      </c>
      <c r="R69" s="15" t="inlineStr"/>
    </row>
    <row r="70" ht="30" customHeight="1">
      <c r="A70" s="14" t="inlineStr">
        <is>
          <t>TC-ROLE-069</t>
        </is>
      </c>
      <c r="B70" s="15" t="inlineStr">
        <is>
          <t>Ma trận phân quyền &amp; Bảo mật nâng cao</t>
        </is>
      </c>
      <c r="C70" s="15" t="inlineStr">
        <is>
          <t>IDOR</t>
        </is>
      </c>
      <c r="D70" s="15" t="inlineStr">
        <is>
          <t>Xóa đánh giá của người khác: thành viên thường 403, mod+ được xóa</t>
        </is>
      </c>
      <c r="E70" s="15" t="inlineStr">
        <is>
          <t>Bảo mật</t>
        </is>
      </c>
      <c r="F70" s="20" t="inlineStr">
        <is>
          <t>Trung bình</t>
        </is>
      </c>
      <c r="G70" s="17" t="inlineStr">
        <is>
          <t>Đã hoàn thiện</t>
        </is>
      </c>
      <c r="H70" s="17" t="inlineStr">
        <is>
          <t>Có</t>
        </is>
      </c>
      <c r="I70" s="15" t="inlineStr">
        <is>
          <t>Đã chạy `npm run db:reset` (Postgres :5435 + seed), BE :4000, FE :5173. member1 đã viết đánh giá cho photo (POST /api/courses/photo/reviews {rating:5,text:'Tốt'}); member2, mod đăng nhập.</t>
        </is>
      </c>
      <c r="J70" s="15" t="inlineStr">
        <is>
          <t>1. member2: DELETE /api/reviews/&lt;id đánh giá của member1&gt;
2. mod: DELETE cùng id</t>
        </is>
      </c>
      <c r="K70" s="15" t="inlineStr">
        <is>
          <t>-</t>
        </is>
      </c>
      <c r="L70" s="15" t="inlineStr">
        <is>
          <t>member2: 403 FORBIDDEN; mod: 200 {deleted:true}; điểm/số lượt đánh giá được tính lại.</t>
        </is>
      </c>
      <c r="M70" s="15" t="inlineStr"/>
      <c r="N70" s="18" t="inlineStr">
        <is>
          <t>Chưa test</t>
        </is>
      </c>
      <c r="O70" s="15" t="inlineStr"/>
      <c r="P70" s="15" t="inlineStr"/>
      <c r="Q70" s="18" t="inlineStr">
        <is>
          <t>Chưa test</t>
        </is>
      </c>
      <c r="R70" s="15" t="inlineStr"/>
    </row>
    <row r="71" ht="30" customHeight="1">
      <c r="A71" s="14" t="inlineStr">
        <is>
          <t>TC-ROLE-070</t>
        </is>
      </c>
      <c r="B71" s="15" t="inlineStr">
        <is>
          <t>Ma trận phân quyền &amp; Bảo mật nâng cao</t>
        </is>
      </c>
      <c r="C71" s="15" t="inlineStr">
        <is>
          <t>IDOR</t>
        </is>
      </c>
      <c r="D71" s="15" t="inlineStr">
        <is>
          <t>Xóa tệp upload của người khác: 403; chủ sở hữu hoặc Platform Admin xóa được</t>
        </is>
      </c>
      <c r="E71" s="15" t="inlineStr">
        <is>
          <t>Bảo mật</t>
        </is>
      </c>
      <c r="F71" s="20" t="inlineStr">
        <is>
          <t>Trung bình</t>
        </is>
      </c>
      <c r="G71" s="17" t="inlineStr">
        <is>
          <t>Đã hoàn thiện</t>
        </is>
      </c>
      <c r="H71" s="17" t="inlineStr">
        <is>
          <t>Có</t>
        </is>
      </c>
      <c r="I71" s="15" t="inlineStr">
        <is>
          <t>Đã chạy `npm run db:reset` (Postgres :5435 + seed), BE :4000, FE :5173. member1 đã upload 1 ảnh (POST /api/uploads/presign rồi PUT), lưu key; member2, admin đăng nhập.</t>
        </is>
      </c>
      <c r="J71" s="15" t="inlineStr">
        <is>
          <t>1. member2: DELETE /api/uploads/&lt;key&gt;
2. admin: DELETE /api/uploads/&lt;key&gt;</t>
        </is>
      </c>
      <c r="K71" s="15" t="inlineStr">
        <is>
          <t>-</t>
        </is>
      </c>
      <c r="L71" s="15" t="inlineStr">
        <is>
          <t>member2: 403 FORBIDDEN; admin: 200 {deleted:true}; sau đó GET /api/files/&lt;key&gt; → 404.</t>
        </is>
      </c>
      <c r="M71" s="15" t="inlineStr"/>
      <c r="N71" s="18" t="inlineStr">
        <is>
          <t>Chưa test</t>
        </is>
      </c>
      <c r="O71" s="15" t="inlineStr"/>
      <c r="P71" s="15" t="inlineStr"/>
      <c r="Q71" s="18" t="inlineStr">
        <is>
          <t>Chưa test</t>
        </is>
      </c>
      <c r="R71" s="15" t="inlineStr"/>
    </row>
    <row r="72" ht="45" customHeight="1">
      <c r="A72" s="14" t="inlineStr">
        <is>
          <t>TC-ROLE-071</t>
        </is>
      </c>
      <c r="B72" s="15" t="inlineStr">
        <is>
          <t>Ma trận phân quyền &amp; Bảo mật nâng cao</t>
        </is>
      </c>
      <c r="C72" s="15" t="inlineStr">
        <is>
          <t>IDOR</t>
        </is>
      </c>
      <c r="D72" s="15" t="inlineStr">
        <is>
          <t>Danh sách rút tiền của cộng đồng khác: owner cộng đồng A không xem được của B</t>
        </is>
      </c>
      <c r="E72" s="15" t="inlineStr">
        <is>
          <t>Bảo mật</t>
        </is>
      </c>
      <c r="F72" s="16" t="inlineStr">
        <is>
          <t>Cao</t>
        </is>
      </c>
      <c r="G72" s="17" t="inlineStr">
        <is>
          <t>Đã hoàn thiện</t>
        </is>
      </c>
      <c r="H72" s="17" t="inlineStr">
        <is>
          <t>Có</t>
        </is>
      </c>
      <c r="I72" s="15" t="inlineStr">
        <is>
          <t>Đã chạy `npm run db:reset` (Postgres :5435 + seed), BE :4000, FE :5173. owner (owner paid-demo). Đăng ký user Z, Z tạo cộng đồng ZC.</t>
        </is>
      </c>
      <c r="J72" s="15" t="inlineStr">
        <is>
          <t>1. Z: GET /api/courses/paid-demo/payouts
2. owner: GET /api/courses/ZC/payouts
3. owner: GET /api/courses/paid-demo/payouts</t>
        </is>
      </c>
      <c r="K72" s="15" t="inlineStr">
        <is>
          <t>-</t>
        </is>
      </c>
      <c r="L72"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72" s="15" t="inlineStr"/>
      <c r="N72" s="18" t="inlineStr">
        <is>
          <t>Chưa test</t>
        </is>
      </c>
      <c r="O72" s="15" t="inlineStr"/>
      <c r="P72" s="15" t="inlineStr"/>
      <c r="Q72" s="18" t="inlineStr">
        <is>
          <t>Chưa test</t>
        </is>
      </c>
      <c r="R72" s="15" t="inlineStr"/>
    </row>
    <row r="73" ht="30" customHeight="1">
      <c r="A73" s="14" t="inlineStr">
        <is>
          <t>TC-ROLE-072</t>
        </is>
      </c>
      <c r="B73" s="15" t="inlineStr">
        <is>
          <t>Ma trận phân quyền &amp; Bảo mật nâng cao</t>
        </is>
      </c>
      <c r="C73" s="15" t="inlineStr">
        <is>
          <t>Nâng quyền</t>
        </is>
      </c>
      <c r="D73" s="15" t="inlineStr">
        <is>
          <t>Tự đổi vai trò của chính mình bị chặn 400</t>
        </is>
      </c>
      <c r="E73" s="15" t="inlineStr">
        <is>
          <t>Bảo mật</t>
        </is>
      </c>
      <c r="F73" s="16" t="inlineStr">
        <is>
          <t>Cao</t>
        </is>
      </c>
      <c r="G73" s="17" t="inlineStr">
        <is>
          <t>Đã hoàn thiện</t>
        </is>
      </c>
      <c r="H73" s="17" t="inlineStr">
        <is>
          <t>Có</t>
        </is>
      </c>
      <c r="I73" s="15" t="inlineStr">
        <is>
          <t>Đã chạy `npm run db:reset` (Postgres :5435 + seed), BE :4000, FE :5173. cadmin đăng nhập; id của cadmin từ GET /api/auth/me.</t>
        </is>
      </c>
      <c r="J73" s="15" t="inlineStr">
        <is>
          <t>1. PATCH /api/courses/photo/members/&lt;id cadmin&gt;/role {role:'member'}
2. Thử cả role:'admin'</t>
        </is>
      </c>
      <c r="K73" s="15" t="inlineStr">
        <is>
          <t>-</t>
        </is>
      </c>
      <c r="L73" s="15" t="inlineStr">
        <is>
          <t>400 BAD_REQUEST, message "Bạn không thể tự đổi vai trò của mình"; vai trò không đổi.</t>
        </is>
      </c>
      <c r="M73" s="15" t="inlineStr"/>
      <c r="N73" s="18" t="inlineStr">
        <is>
          <t>Chưa test</t>
        </is>
      </c>
      <c r="O73" s="15" t="inlineStr"/>
      <c r="P73" s="15" t="inlineStr"/>
      <c r="Q73" s="18" t="inlineStr">
        <is>
          <t>Chưa test</t>
        </is>
      </c>
      <c r="R73" s="15" t="inlineStr"/>
    </row>
    <row r="74" ht="30" customHeight="1">
      <c r="A74" s="14" t="inlineStr">
        <is>
          <t>TC-ROLE-073</t>
        </is>
      </c>
      <c r="B74" s="15" t="inlineStr">
        <is>
          <t>Ma trận phân quyền &amp; Bảo mật nâng cao</t>
        </is>
      </c>
      <c r="C74" s="15" t="inlineStr">
        <is>
          <t>Nâng quyền</t>
        </is>
      </c>
      <c r="D74" s="15" t="inlineStr">
        <is>
          <t>Member/mod không tự nâng mình thành admin qua API vai trò</t>
        </is>
      </c>
      <c r="E74" s="15" t="inlineStr">
        <is>
          <t>Bảo mật</t>
        </is>
      </c>
      <c r="F74" s="16" t="inlineStr">
        <is>
          <t>Cao</t>
        </is>
      </c>
      <c r="G74" s="17" t="inlineStr">
        <is>
          <t>Đã hoàn thiện</t>
        </is>
      </c>
      <c r="H74" s="17" t="inlineStr">
        <is>
          <t>Có</t>
        </is>
      </c>
      <c r="I74" s="15" t="inlineStr">
        <is>
          <t>Đã chạy `npm run db:reset` (Postgres :5435 + seed), BE :4000, FE :5173. member1 và mod đăng nhập.</t>
        </is>
      </c>
      <c r="J74" s="15" t="inlineStr">
        <is>
          <t>1. member1: PATCH /api/courses/photo/members/&lt;id member1&gt;/role {role:'admin'}
2. mod: PATCH .../members/&lt;id mod&gt;/role {role:'admin'}</t>
        </is>
      </c>
      <c r="K74" s="15" t="inlineStr">
        <is>
          <t>-</t>
        </is>
      </c>
      <c r="L74" s="15" t="inlineStr">
        <is>
          <t>member1 và mod: 403 FORBIDDEN ("Bạn không có quyền thực hiện thao tác này trong cộng đồng") (kiểm quyền admin chạy trước kiểm 'tự đổi'); vai trò không đổi.</t>
        </is>
      </c>
      <c r="M74" s="15" t="inlineStr"/>
      <c r="N74" s="18" t="inlineStr">
        <is>
          <t>Chưa test</t>
        </is>
      </c>
      <c r="O74" s="15" t="inlineStr"/>
      <c r="P74" s="15" t="inlineStr"/>
      <c r="Q74" s="18" t="inlineStr">
        <is>
          <t>Chưa test</t>
        </is>
      </c>
      <c r="R74" s="15" t="inlineStr"/>
    </row>
    <row r="75" ht="45" customHeight="1">
      <c r="A75" s="14" t="inlineStr">
        <is>
          <t>TC-ROLE-074</t>
        </is>
      </c>
      <c r="B75" s="15" t="inlineStr">
        <is>
          <t>Ma trận phân quyền &amp; Bảo mật nâng cao</t>
        </is>
      </c>
      <c r="C75" s="15" t="inlineStr">
        <is>
          <t>Nâng quyền</t>
        </is>
      </c>
      <c r="D75" s="15" t="inlineStr">
        <is>
          <t>Body có role='owner' hoặc giá trị lạ bị từ chối: không thể tạo owner thứ hai</t>
        </is>
      </c>
      <c r="E75" s="15" t="inlineStr">
        <is>
          <t>Bảo mật</t>
        </is>
      </c>
      <c r="F75" s="16" t="inlineStr">
        <is>
          <t>Cao</t>
        </is>
      </c>
      <c r="G75" s="17" t="inlineStr">
        <is>
          <t>Đã hoàn thiện</t>
        </is>
      </c>
      <c r="H75" s="17" t="inlineStr">
        <is>
          <t>Có</t>
        </is>
      </c>
      <c r="I75" s="15" t="inlineStr">
        <is>
          <t>Đã chạy `npm run db:reset` (Postgres :5435 + seed), BE :4000, FE :5173. owner đăng nhập.</t>
        </is>
      </c>
      <c r="J75" s="15" t="inlineStr">
        <is>
          <t>1. PATCH /api/courses/photo/members/&lt;id member2&gt;/role {role:'owner'}
2. {role:'platform_admin'}
3. {role:'root'}</t>
        </is>
      </c>
      <c r="K75" s="15" t="inlineStr">
        <is>
          <t>-</t>
        </is>
      </c>
      <c r="L75" s="15" t="inlineStr">
        <is>
          <t>Cả 3: 400 VALIDATION_ERROR (role chỉ nhận member|mod|admin); member2 vẫn là member; chỉ POST transfer-ownership mới đổi chủ.</t>
        </is>
      </c>
      <c r="M75" s="15" t="inlineStr"/>
      <c r="N75" s="18" t="inlineStr">
        <is>
          <t>Chưa test</t>
        </is>
      </c>
      <c r="O75" s="15" t="inlineStr"/>
      <c r="P75" s="15" t="inlineStr"/>
      <c r="Q75" s="18" t="inlineStr">
        <is>
          <t>Chưa test</t>
        </is>
      </c>
      <c r="R75" s="15" t="inlineStr"/>
    </row>
    <row r="76" ht="75" customHeight="1">
      <c r="A76" s="14" t="inlineStr">
        <is>
          <t>TC-ROLE-075</t>
        </is>
      </c>
      <c r="B76" s="15" t="inlineStr">
        <is>
          <t>Ma trận phân quyền &amp; Bảo mật nâng cao</t>
        </is>
      </c>
      <c r="C76" s="15" t="inlineStr">
        <is>
          <t>Nâng quyền</t>
        </is>
      </c>
      <c r="D76" s="15" t="inlineStr">
        <is>
          <t>Không đổi vai trò/kick/ban được Owner: cả cadmin lẫn Platform Admin đều 403</t>
        </is>
      </c>
      <c r="E76" s="15" t="inlineStr">
        <is>
          <t>Bảo mật</t>
        </is>
      </c>
      <c r="F76" s="16" t="inlineStr">
        <is>
          <t>Cao</t>
        </is>
      </c>
      <c r="G76" s="17" t="inlineStr">
        <is>
          <t>Đã hoàn thiện</t>
        </is>
      </c>
      <c r="H76" s="17" t="inlineStr">
        <is>
          <t>Có</t>
        </is>
      </c>
      <c r="I76" s="15" t="inlineStr">
        <is>
          <t>Đã chạy `npm run db:reset` (Postgres :5435 + seed), BE :4000, FE :5173. cadmin và admin@ đăng nhập; id owner từ GET /api/courses/photo/members.</t>
        </is>
      </c>
      <c r="J76" s="15" t="inlineStr">
        <is>
          <t>1. cadmin: PATCH .../members/&lt;id owner&gt;/role {role:'member'}
2. cadmin: DELETE .../members/&lt;id owner&gt;
3. cadmin: POST .../members/&lt;id owner&gt;/ban
4. admin: DELETE .../members/&lt;id owner&gt;
5. admin: POST .../members/&lt;id owner&gt;/ban</t>
        </is>
      </c>
      <c r="K76" s="15" t="inlineStr">
        <is>
          <t>-</t>
        </is>
      </c>
      <c r="L76"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76" s="15" t="inlineStr"/>
      <c r="N76" s="18" t="inlineStr">
        <is>
          <t>Chưa test</t>
        </is>
      </c>
      <c r="O76" s="15" t="inlineStr"/>
      <c r="P76" s="15" t="inlineStr"/>
      <c r="Q76" s="18" t="inlineStr">
        <is>
          <t>Chưa test</t>
        </is>
      </c>
      <c r="R76" s="15" t="inlineStr"/>
    </row>
    <row r="77" ht="45" customHeight="1">
      <c r="A77" s="14" t="inlineStr">
        <is>
          <t>TC-ROLE-076</t>
        </is>
      </c>
      <c r="B77" s="15" t="inlineStr">
        <is>
          <t>Ma trận phân quyền &amp; Bảo mật nâng cao</t>
        </is>
      </c>
      <c r="C77" s="15" t="inlineStr">
        <is>
          <t>Nâng quyền</t>
        </is>
      </c>
      <c r="D77" s="15" t="inlineStr">
        <is>
          <t>Admin cộng đồng không kick/ban/hạ vai trò được admin ngang cấp</t>
        </is>
      </c>
      <c r="E77" s="15" t="inlineStr">
        <is>
          <t>Bảo mật</t>
        </is>
      </c>
      <c r="F77" s="16" t="inlineStr">
        <is>
          <t>Cao</t>
        </is>
      </c>
      <c r="G77" s="17" t="inlineStr">
        <is>
          <t>Đã hoàn thiện</t>
        </is>
      </c>
      <c r="H77" s="17" t="inlineStr">
        <is>
          <t>Có</t>
        </is>
      </c>
      <c r="I77" s="15" t="inlineStr">
        <is>
          <t>Đã chạy `npm run db:reset` (Postgres :5435 + seed), BE :4000, FE :5173. owner đặt member3 làm admin (PATCH role admin). cadmin đăng nhập.</t>
        </is>
      </c>
      <c r="J77" s="15" t="inlineStr">
        <is>
          <t>1. cadmin: DELETE /api/courses/photo/members/&lt;id member3&gt;
2. cadmin: POST .../members/&lt;id member3&gt;/ban
3. cadmin: PATCH .../members/&lt;id member3&gt;/role {role:'member'}</t>
        </is>
      </c>
      <c r="K77" s="15" t="inlineStr">
        <is>
          <t>-</t>
        </is>
      </c>
      <c r="L77" s="15" t="inlineStr">
        <is>
          <t>Kick/ban: 403 FORBIDDEN "Bạn chỉ có thể tác động lên thành viên có vai trò thấp hơn mình"; hạ vai trò admin: 403 "Chỉ chủ cộng đồng mới đặt hoặc bỏ quản trị viên". Trả member3 về member sau test.</t>
        </is>
      </c>
      <c r="M77" s="15" t="inlineStr"/>
      <c r="N77" s="18" t="inlineStr">
        <is>
          <t>Chưa test</t>
        </is>
      </c>
      <c r="O77" s="15" t="inlineStr"/>
      <c r="P77" s="15" t="inlineStr"/>
      <c r="Q77" s="18" t="inlineStr">
        <is>
          <t>Chưa test</t>
        </is>
      </c>
      <c r="R77" s="15" t="inlineStr"/>
    </row>
    <row r="78" ht="30" customHeight="1">
      <c r="A78" s="14" t="inlineStr">
        <is>
          <t>TC-ROLE-077</t>
        </is>
      </c>
      <c r="B78" s="15" t="inlineStr">
        <is>
          <t>Ma trận phân quyền &amp; Bảo mật nâng cao</t>
        </is>
      </c>
      <c r="C78" s="15" t="inlineStr">
        <is>
          <t>Nâng quyền</t>
        </is>
      </c>
      <c r="D78" s="15" t="inlineStr">
        <is>
          <t>Mod không kick được thành viên (không đủ bậc admin)</t>
        </is>
      </c>
      <c r="E78" s="15" t="inlineStr">
        <is>
          <t>Bảo mật</t>
        </is>
      </c>
      <c r="F78" s="16" t="inlineStr">
        <is>
          <t>Cao</t>
        </is>
      </c>
      <c r="G78" s="17" t="inlineStr">
        <is>
          <t>Đã hoàn thiện</t>
        </is>
      </c>
      <c r="H78" s="17" t="inlineStr">
        <is>
          <t>Có</t>
        </is>
      </c>
      <c r="I78" s="15" t="inlineStr">
        <is>
          <t>Đã chạy `npm run db:reset` (Postgres :5435 + seed), BE :4000, FE :5173. mod đăng nhập.</t>
        </is>
      </c>
      <c r="J78" s="15" t="inlineStr">
        <is>
          <t>1. mod: DELETE /api/courses/photo/members/&lt;id member3&gt;
2. mod: DELETE /api/courses/photo/members/&lt;id cadmin&gt;</t>
        </is>
      </c>
      <c r="K78" s="15" t="inlineStr">
        <is>
          <t>-</t>
        </is>
      </c>
      <c r="L78" s="15" t="inlineStr">
        <is>
          <t>Cả hai: 403 FORBIDDEN ("Bạn không có quyền thực hiện thao tác này trong cộng đồng"); member3 và cadmin vẫn trong danh sách thành viên.</t>
        </is>
      </c>
      <c r="M78" s="15" t="inlineStr"/>
      <c r="N78" s="18" t="inlineStr">
        <is>
          <t>Chưa test</t>
        </is>
      </c>
      <c r="O78" s="15" t="inlineStr"/>
      <c r="P78" s="15" t="inlineStr"/>
      <c r="Q78" s="18" t="inlineStr">
        <is>
          <t>Chưa test</t>
        </is>
      </c>
      <c r="R78" s="15" t="inlineStr"/>
    </row>
    <row r="79" ht="75" customHeight="1">
      <c r="A79" s="14" t="inlineStr">
        <is>
          <t>TC-ROLE-078</t>
        </is>
      </c>
      <c r="B79" s="15" t="inlineStr">
        <is>
          <t>Ma trận phân quyền &amp; Bảo mật nâng cao</t>
        </is>
      </c>
      <c r="C79" s="15" t="inlineStr">
        <is>
          <t>Nâng quyền</t>
        </is>
      </c>
      <c r="D79" s="15" t="inlineStr">
        <is>
          <t>Chuyển quyền chủ: chỉ owner, chỉ sang thành viên thật, không tự chuyển cho chính mình</t>
        </is>
      </c>
      <c r="E79" s="15" t="inlineStr">
        <is>
          <t>Bảo mật</t>
        </is>
      </c>
      <c r="F79" s="16" t="inlineStr">
        <is>
          <t>Cao</t>
        </is>
      </c>
      <c r="G79" s="17" t="inlineStr">
        <is>
          <t>Đã hoàn thiện</t>
        </is>
      </c>
      <c r="H79" s="17" t="inlineStr">
        <is>
          <t>Có</t>
        </is>
      </c>
      <c r="I79" s="15" t="inlineStr">
        <is>
          <t>Đã chạy `npm run db:reset` (Postgres :5435 + seed), BE :4000, FE :5173. Cộng đồng thử ZC của Z (owner) có thành viên M (member) và admin ZA; newbie ngoài cộng đồng.</t>
        </is>
      </c>
      <c r="J79" s="15" t="inlineStr">
        <is>
          <t>1. ZA: POST /api/courses/ZC/transfer-ownership {userId: id ZA}
2. Z: POST ... {userId: id Z}
3. Z: POST ... {userId: id newbie}
4. Z: POST ... {userId: id M}
5. Z: GET /api/courses/ZC/members</t>
        </is>
      </c>
      <c r="K79" s="15" t="inlineStr">
        <is>
          <t>-</t>
        </is>
      </c>
      <c r="L79"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79" s="15" t="inlineStr"/>
      <c r="N79" s="18" t="inlineStr">
        <is>
          <t>Chưa test</t>
        </is>
      </c>
      <c r="O79" s="15" t="inlineStr"/>
      <c r="P79" s="15" t="inlineStr"/>
      <c r="Q79" s="18" t="inlineStr">
        <is>
          <t>Chưa test</t>
        </is>
      </c>
      <c r="R79" s="15" t="inlineStr"/>
    </row>
    <row r="80" ht="45" customHeight="1">
      <c r="A80" s="14" t="inlineStr">
        <is>
          <t>TC-ROLE-079</t>
        </is>
      </c>
      <c r="B80" s="15" t="inlineStr">
        <is>
          <t>Ma trận phân quyền &amp; Bảo mật nâng cao</t>
        </is>
      </c>
      <c r="C80" s="15" t="inlineStr">
        <is>
          <t>Nâng quyền</t>
        </is>
      </c>
      <c r="D80" s="15" t="inlineStr">
        <is>
          <t>Mass assignment: PATCH /api/auth/me không cho tự sửa role, emailVerified, isDemo, tokenVersion, email</t>
        </is>
      </c>
      <c r="E80" s="15" t="inlineStr">
        <is>
          <t>Bảo mật</t>
        </is>
      </c>
      <c r="F80" s="16" t="inlineStr">
        <is>
          <t>Cao</t>
        </is>
      </c>
      <c r="G80" s="17" t="inlineStr">
        <is>
          <t>Đã hoàn thiện</t>
        </is>
      </c>
      <c r="H80" s="17" t="inlineStr">
        <is>
          <t>Có</t>
        </is>
      </c>
      <c r="I80" s="15" t="inlineStr">
        <is>
          <t>Đã chạy `npm run db:reset` (Postgres :5435 + seed), BE :4000, FE :5173. member1 đăng nhập.</t>
        </is>
      </c>
      <c r="J80" s="15" t="inlineStr">
        <is>
          <t>1. PATCH /api/auth/me {firstName:'Minh', role:'admin', emailVerified:true, isDemo:false, tokenVersion:99, email:'hacker@x.test'}
2. GET /api/auth/me
3. GET /api/admin/refunds</t>
        </is>
      </c>
      <c r="K80" s="15" t="inlineStr">
        <is>
          <t>-</t>
        </is>
      </c>
      <c r="L80" s="15" t="inlineStr">
        <is>
          <t>PATCH 200 nhưng các trường lạ bị zod bỏ (không lưu); /auth/me giữ email member1@sofinhub.test và emailVerified như cũ; /api/admin/refunds vẫn 403 FORBIDDEN ("Chỉ Platform Admin mới có quyền này").</t>
        </is>
      </c>
      <c r="M80" s="15" t="inlineStr"/>
      <c r="N80" s="18" t="inlineStr">
        <is>
          <t>Chưa test</t>
        </is>
      </c>
      <c r="O80" s="15" t="inlineStr"/>
      <c r="P80" s="15" t="inlineStr"/>
      <c r="Q80" s="18" t="inlineStr">
        <is>
          <t>Chưa test</t>
        </is>
      </c>
      <c r="R80" s="15" t="inlineStr"/>
    </row>
    <row r="81" ht="30" customHeight="1">
      <c r="A81" s="14" t="inlineStr">
        <is>
          <t>TC-ROLE-080</t>
        </is>
      </c>
      <c r="B81" s="15" t="inlineStr">
        <is>
          <t>Ma trận phân quyền &amp; Bảo mật nâng cao</t>
        </is>
      </c>
      <c r="C81" s="15" t="inlineStr">
        <is>
          <t>Nâng quyền</t>
        </is>
      </c>
      <c r="D81" s="15" t="inlineStr">
        <is>
          <t>Tạo cộng đồng với ownerId/locked giả trong body: bị bỏ qua, chủ luôn là người gọi</t>
        </is>
      </c>
      <c r="E81" s="15" t="inlineStr">
        <is>
          <t>Bảo mật</t>
        </is>
      </c>
      <c r="F81" s="20" t="inlineStr">
        <is>
          <t>Trung bình</t>
        </is>
      </c>
      <c r="G81" s="17" t="inlineStr">
        <is>
          <t>Đã hoàn thiện</t>
        </is>
      </c>
      <c r="H81" s="17" t="inlineStr">
        <is>
          <t>Có</t>
        </is>
      </c>
      <c r="I81" s="15" t="inlineStr">
        <is>
          <t>Đã chạy `npm run db:reset` (Postgres :5435 + seed), BE :4000, FE :5173. newbie đăng nhập.</t>
        </is>
      </c>
      <c r="J81" s="15" t="inlineStr">
        <is>
          <t>1. POST /api/communities {title:'Cộng đồng thử', description:'m', category:&lt;id danh mục hợp lệ&gt;, priceUsd:0, visibility:'public', ownerId:'&lt;id owner khác&gt;', locked:true}
2. GET chi tiết cộng đồng vừa tạo</t>
        </is>
      </c>
      <c r="K81" s="15" t="inlineStr">
        <is>
          <t>-</t>
        </is>
      </c>
      <c r="L81" s="15" t="inlineStr">
        <is>
          <t>201; ownerId là newbie (lấy từ token), không bị khóa, viewerRole="owner" cho newbie; trường lạ bị bỏ.</t>
        </is>
      </c>
      <c r="M81" s="15" t="inlineStr"/>
      <c r="N81" s="18" t="inlineStr">
        <is>
          <t>Chưa test</t>
        </is>
      </c>
      <c r="O81" s="15" t="inlineStr"/>
      <c r="P81" s="15" t="inlineStr"/>
      <c r="Q81" s="18" t="inlineStr">
        <is>
          <t>Chưa test</t>
        </is>
      </c>
      <c r="R81" s="15" t="inlineStr"/>
    </row>
    <row r="82" ht="60" customHeight="1">
      <c r="A82" s="14" t="inlineStr">
        <is>
          <t>TC-ROLE-081</t>
        </is>
      </c>
      <c r="B82" s="15" t="inlineStr">
        <is>
          <t>Ma trận phân quyền &amp; Bảo mật nâng cao</t>
        </is>
      </c>
      <c r="C82" s="15" t="inlineStr">
        <is>
          <t>Nâng quyền</t>
        </is>
      </c>
      <c r="D82" s="15" t="inlineStr">
        <is>
          <t>Thành viên không tự duyệt yêu cầu của mình hay vào private-demo bằng lối tắt</t>
        </is>
      </c>
      <c r="E82" s="15" t="inlineStr">
        <is>
          <t>Bảo mật</t>
        </is>
      </c>
      <c r="F82" s="16" t="inlineStr">
        <is>
          <t>Cao</t>
        </is>
      </c>
      <c r="G82" s="17" t="inlineStr">
        <is>
          <t>Đã hoàn thiện</t>
        </is>
      </c>
      <c r="H82" s="17" t="inlineStr">
        <is>
          <t>Có</t>
        </is>
      </c>
      <c r="I82" s="15" t="inlineStr">
        <is>
          <t>Đã chạy `npm run db:reset` (Postgres :5435 + seed), BE :4000, FE :5173. member1 (đang có yêu cầu pending ở private-demo, đã là thành viên paid-demo).</t>
        </is>
      </c>
      <c r="J82" s="15" t="inlineStr">
        <is>
          <t>1. member1: GET /api/courses/private-demo/join-requests
2. member1: POST /api/join-requests/&lt;id của mình&gt;/approve
3. member1: POST /api/courses/private-demo/enroll
4. member1: POST /api/invites/DEMO-PAID/accept</t>
        </is>
      </c>
      <c r="K82" s="15" t="inlineStr">
        <is>
          <t>-</t>
        </is>
      </c>
      <c r="L82"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82" s="15" t="inlineStr"/>
      <c r="N82" s="18" t="inlineStr">
        <is>
          <t>Chưa test</t>
        </is>
      </c>
      <c r="O82" s="15" t="inlineStr"/>
      <c r="P82" s="15" t="inlineStr"/>
      <c r="Q82" s="18" t="inlineStr">
        <is>
          <t>Chưa test</t>
        </is>
      </c>
      <c r="R82" s="15" t="inlineStr"/>
    </row>
    <row r="83" ht="45" customHeight="1">
      <c r="A83" s="14" t="inlineStr">
        <is>
          <t>TC-ROLE-082</t>
        </is>
      </c>
      <c r="B83" s="15" t="inlineStr">
        <is>
          <t>Ma trận phân quyền &amp; Bảo mật nâng cao</t>
        </is>
      </c>
      <c r="C83" s="15" t="inlineStr">
        <is>
          <t>JWT</t>
        </is>
      </c>
      <c r="D83" s="15" t="inlineStr">
        <is>
          <t>Token giả: đổi payload sub sang user khác giữ nguyên chữ ký cũ bị 401</t>
        </is>
      </c>
      <c r="E83" s="15" t="inlineStr">
        <is>
          <t>Bảo mật</t>
        </is>
      </c>
      <c r="F83" s="16" t="inlineStr">
        <is>
          <t>Cao</t>
        </is>
      </c>
      <c r="G83" s="17" t="inlineStr">
        <is>
          <t>Đã hoàn thiện</t>
        </is>
      </c>
      <c r="H83" s="17" t="inlineStr">
        <is>
          <t>Có</t>
        </is>
      </c>
      <c r="I83" s="15" t="inlineStr">
        <is>
          <t>Đã chạy `npm run db:reset` (Postgres :5435 + seed), BE :4000, FE :5173. Access token hợp lệ của member1 (payload chỉ gồm sub, sid, tv — KHÔNG có claim role).</t>
        </is>
      </c>
      <c r="J83" s="15" t="inlineStr">
        <is>
          <t>1. Giải base64url phần payload, đổi sub thành id owner, ghép lại với chữ ký cũ
2. GET /api/auth/me với token đã sửa
3. Lặp lại với payload thêm claim role:'platform_admin'</t>
        </is>
      </c>
      <c r="K83" s="15" t="inlineStr">
        <is>
          <t>-</t>
        </is>
      </c>
      <c r="L83" s="15" t="inlineStr">
        <is>
          <t>Cả hai: 401 UNAUTHORIZED "Vui lòng đăng nhập để tiếp tục" (chữ ký HS256 không khớp). Quyền luôn tính lại ở server từ DB + PLATFORM_ADMIN_EMAILS, không đọc từ token.</t>
        </is>
      </c>
      <c r="M83" s="15" t="inlineStr"/>
      <c r="N83" s="18" t="inlineStr">
        <is>
          <t>Chưa test</t>
        </is>
      </c>
      <c r="O83" s="15" t="inlineStr"/>
      <c r="P83" s="15" t="inlineStr"/>
      <c r="Q83" s="18" t="inlineStr">
        <is>
          <t>Chưa test</t>
        </is>
      </c>
      <c r="R83" s="15" t="inlineStr"/>
    </row>
    <row r="84" ht="45" customHeight="1">
      <c r="A84" s="14" t="inlineStr">
        <is>
          <t>TC-ROLE-083</t>
        </is>
      </c>
      <c r="B84" s="15" t="inlineStr">
        <is>
          <t>Ma trận phân quyền &amp; Bảo mật nâng cao</t>
        </is>
      </c>
      <c r="C84" s="15" t="inlineStr">
        <is>
          <t>JWT</t>
        </is>
      </c>
      <c r="D84" s="15" t="inlineStr">
        <is>
          <t>Token alg=none hoặc ký bằng secret khác bị từ chối</t>
        </is>
      </c>
      <c r="E84" s="15" t="inlineStr">
        <is>
          <t>Bảo mật</t>
        </is>
      </c>
      <c r="F84" s="16" t="inlineStr">
        <is>
          <t>Cao</t>
        </is>
      </c>
      <c r="G84" s="17" t="inlineStr">
        <is>
          <t>Đã hoàn thiện</t>
        </is>
      </c>
      <c r="H84" s="17" t="inlineStr">
        <is>
          <t>Có</t>
        </is>
      </c>
      <c r="I84" s="15" t="inlineStr">
        <is>
          <t>Đã chạy `npm run db:reset` (Postgres :5435 + seed), BE :4000, FE :5173. Có công cụ tự tạo JWT.</t>
        </is>
      </c>
      <c r="J84" s="15" t="inlineStr">
        <is>
          <t>1. Tạo JWT header {alg:'none'} payload {sub:&lt;id admin&gt;,sid:'x',tv:0} không chữ ký
2. Tạo JWT HS256 ký bằng secret 'sai-secret' cùng payload
3. GET /api/admin/refunds với từng token</t>
        </is>
      </c>
      <c r="K84" s="15" t="inlineStr">
        <is>
          <t>-</t>
        </is>
      </c>
      <c r="L84" s="15" t="inlineStr">
        <is>
          <t>Cả hai: 401 UNAUTHORIZED; không route nào chấp nhận token không ký hoặc ký sai.</t>
        </is>
      </c>
      <c r="M84" s="15" t="inlineStr"/>
      <c r="N84" s="18" t="inlineStr">
        <is>
          <t>Chưa test</t>
        </is>
      </c>
      <c r="O84" s="15" t="inlineStr"/>
      <c r="P84" s="15" t="inlineStr"/>
      <c r="Q84" s="18" t="inlineStr">
        <is>
          <t>Chưa test</t>
        </is>
      </c>
      <c r="R84" s="15" t="inlineStr"/>
    </row>
    <row r="85" ht="45" customHeight="1">
      <c r="A85" s="14" t="inlineStr">
        <is>
          <t>TC-ROLE-084</t>
        </is>
      </c>
      <c r="B85" s="15" t="inlineStr">
        <is>
          <t>Ma trận phân quyền &amp; Bảo mật nâng cao</t>
        </is>
      </c>
      <c r="C85" s="15" t="inlineStr">
        <is>
          <t>JWT</t>
        </is>
      </c>
      <c r="D85" s="15" t="inlineStr">
        <is>
          <t>Refresh token không dùng làm Bearer và access token không dùng làm cookie refresh</t>
        </is>
      </c>
      <c r="E85" s="15" t="inlineStr">
        <is>
          <t>Bảo mật</t>
        </is>
      </c>
      <c r="F85" s="20" t="inlineStr">
        <is>
          <t>Trung bình</t>
        </is>
      </c>
      <c r="G85" s="17" t="inlineStr">
        <is>
          <t>Đã hoàn thiện</t>
        </is>
      </c>
      <c r="H85" s="17" t="inlineStr">
        <is>
          <t>Có</t>
        </is>
      </c>
      <c r="I85" s="15" t="inlineStr">
        <is>
          <t>Đã chạy `npm run db:reset` (Postgres :5435 + seed), BE :4000, FE :5173. Đăng nhập lấy access token và cookie refresh_token (HttpOnly).</t>
        </is>
      </c>
      <c r="J85" s="15" t="inlineStr">
        <is>
          <t>1. Lấy giá trị refresh_token từ Set-Cookie (bằng request context)
2. GET /api/auth/me với Authorization: Bearer &lt;refresh token&gt;
3. POST /api/auth/refresh với cookie refresh_token=&lt;access token&gt;</t>
        </is>
      </c>
      <c r="K85" s="15" t="inlineStr">
        <is>
          <t>-</t>
        </is>
      </c>
      <c r="L85" s="15" t="inlineStr">
        <is>
          <t>Bước 2: 401 UNAUTHORIZED (khác secret JWT_REFRESH_SECRET vs JWT_ACCESS_SECRET). Bước 3: 401 "Phiên đăng nhập đã hết hạn, vui lòng đăng nhập lại".</t>
        </is>
      </c>
      <c r="M85" s="15" t="inlineStr"/>
      <c r="N85" s="18" t="inlineStr">
        <is>
          <t>Chưa test</t>
        </is>
      </c>
      <c r="O85" s="15" t="inlineStr"/>
      <c r="P85" s="15" t="inlineStr"/>
      <c r="Q85" s="18" t="inlineStr">
        <is>
          <t>Chưa test</t>
        </is>
      </c>
      <c r="R85" s="15" t="inlineStr"/>
    </row>
    <row r="86" ht="45" customHeight="1">
      <c r="A86" s="14" t="inlineStr">
        <is>
          <t>TC-ROLE-085</t>
        </is>
      </c>
      <c r="B86" s="15" t="inlineStr">
        <is>
          <t>Ma trận phân quyền &amp; Bảo mật nâng cao</t>
        </is>
      </c>
      <c r="C86" s="15" t="inlineStr">
        <is>
          <t>JWT</t>
        </is>
      </c>
      <c r="D86" s="15" t="inlineStr">
        <is>
          <t>Access token hết hạn bị từ chối kể cả với Platform Admin; refresh cấp token mới hoạt động lại</t>
        </is>
      </c>
      <c r="E86" s="15" t="inlineStr">
        <is>
          <t>Bảo mật</t>
        </is>
      </c>
      <c r="F86" s="20" t="inlineStr">
        <is>
          <t>Trung bình</t>
        </is>
      </c>
      <c r="G86" s="17" t="inlineStr">
        <is>
          <t>Đã hoàn thiện</t>
        </is>
      </c>
      <c r="H86" s="20" t="inlineStr">
        <is>
          <t>Một phần</t>
        </is>
      </c>
      <c r="I86" s="15" t="inlineStr">
        <is>
          <t>Môi trường thử: đặt ACCESS_TOKEN_TTL_MIN=1 trong backend/.env và restart BE (mặc định 15).</t>
        </is>
      </c>
      <c r="J86" s="15" t="inlineStr">
        <is>
          <t>1. Đăng nhập admin, chờ &gt; 1 phút
2. GET /api/admin/refunds bằng access token cũ
3. POST /api/auth/refresh (cookie) rồi gọi lại với accessToken mới</t>
        </is>
      </c>
      <c r="K86" s="15" t="inlineStr">
        <is>
          <t>ACCESS_TOKEN_TTL_MIN=1</t>
        </is>
      </c>
      <c r="L86" s="15" t="inlineStr">
        <is>
          <t>Bước 2: 401 UNAUTHORIZED. Bước 3: token mới dùng được, GET /api/admin/refunds 200. (Thu hồi tức thì khi logout/đổi mật khẩu do module khác kiểm.)</t>
        </is>
      </c>
      <c r="M86" s="15" t="inlineStr"/>
      <c r="N86" s="18" t="inlineStr">
        <is>
          <t>Chưa test</t>
        </is>
      </c>
      <c r="O86" s="15" t="inlineStr"/>
      <c r="P86" s="15" t="inlineStr"/>
      <c r="Q86" s="18" t="inlineStr">
        <is>
          <t>Chưa test</t>
        </is>
      </c>
      <c r="R86" s="15" t="inlineStr"/>
    </row>
    <row r="87" ht="45" customHeight="1">
      <c r="A87" s="14" t="inlineStr">
        <is>
          <t>TC-ROLE-086</t>
        </is>
      </c>
      <c r="B87" s="15" t="inlineStr">
        <is>
          <t>Ma trận phân quyền &amp; Bảo mật nâng cao</t>
        </is>
      </c>
      <c r="C87" s="15" t="inlineStr">
        <is>
          <t>CSRF</t>
        </is>
      </c>
      <c r="D87" s="15" t="inlineStr">
        <is>
          <t>CSRF: API dùng Bearer (không dựa vào cookie) nên form từ trang ngoài không thực hiện được thao tác thay đổi</t>
        </is>
      </c>
      <c r="E87" s="15" t="inlineStr">
        <is>
          <t>Bảo mật</t>
        </is>
      </c>
      <c r="F87" s="16" t="inlineStr">
        <is>
          <t>Cao</t>
        </is>
      </c>
      <c r="G87" s="17" t="inlineStr">
        <is>
          <t>Đã hoàn thiện</t>
        </is>
      </c>
      <c r="H87" s="20" t="inlineStr">
        <is>
          <t>Một phần</t>
        </is>
      </c>
      <c r="I87" s="15" t="inlineStr">
        <is>
          <t>Đã chạy `npm run db:reset` (Postgres :5435 + seed), BE :4000, FE :5173. member1 đã đăng nhập trên tab A (cookie refresh_token có Path=/api/auth, SameSite=Lax trong dev). Trang ngoài origin http://localhost:9999 (server tĩnh).</t>
        </is>
      </c>
      <c r="J87" s="15" t="inlineStr">
        <is>
          <t>1. Trang ngoài chứa form POST tự submit tới http://localhost:4000/api/courses/photo/posts và fetch PATCH tới /api/auth/me
2. Mở trang khi tab A còn đăng nhập
3. Kiểm tra request ở tab Network và dữ liệu bài viết</t>
        </is>
      </c>
      <c r="K87" s="15" t="inlineStr">
        <is>
          <t>form POST content=CSRF thử</t>
        </is>
      </c>
      <c r="L87" s="15" t="inlineStr">
        <is>
          <t>Request thiếu header Authorization: 401 UNAUTHORIZED, không tạo bài. Cookie refresh_token chỉ gửi kèm tới /api/auth/*; fetch cross-origin có credentials bị CORS chặn phản hồi (origin không nằm trong CORS_ORIGIN).</t>
        </is>
      </c>
      <c r="M87" s="15" t="inlineStr"/>
      <c r="N87" s="18" t="inlineStr">
        <is>
          <t>Chưa test</t>
        </is>
      </c>
      <c r="O87" s="15" t="inlineStr"/>
      <c r="P87" s="15" t="inlineStr"/>
      <c r="Q87" s="18" t="inlineStr">
        <is>
          <t>Chưa test</t>
        </is>
      </c>
      <c r="R87" s="15" t="inlineStr"/>
    </row>
    <row r="88" ht="30" customHeight="1">
      <c r="A88" s="14" t="inlineStr">
        <is>
          <t>TC-ROLE-087</t>
        </is>
      </c>
      <c r="B88" s="15" t="inlineStr">
        <is>
          <t>Ma trận phân quyền &amp; Bảo mật nâng cao</t>
        </is>
      </c>
      <c r="C88" s="15" t="inlineStr">
        <is>
          <t>CSRF</t>
        </is>
      </c>
      <c r="D88" s="15" t="inlineStr">
        <is>
          <t>POST /api/auth/refresh từ origin lạ: không có header CORS nên script trang lạ không đọc được accessToken</t>
        </is>
      </c>
      <c r="E88" s="15" t="inlineStr">
        <is>
          <t>Bảo mật</t>
        </is>
      </c>
      <c r="F88" s="20" t="inlineStr">
        <is>
          <t>Trung bình</t>
        </is>
      </c>
      <c r="G88" s="17" t="inlineStr">
        <is>
          <t>Đã hoàn thiện</t>
        </is>
      </c>
      <c r="H88" s="20" t="inlineStr">
        <is>
          <t>Một phần</t>
        </is>
      </c>
      <c r="I88" s="15" t="inlineStr">
        <is>
          <t>Đã chạy `npm run db:reset` (Postgres :5435 + seed), BE :4000, FE :5173. Đã đăng nhập (có cookie refresh_token). Origin lạ http://evil.example (giả lập bằng header Origin).</t>
        </is>
      </c>
      <c r="J88" s="15" t="inlineStr">
        <is>
          <t>1. POST /api/auth/refresh với Origin: http://evil.example và cookie hợp lệ
2. Kiểm header phản hồi Access-Control-Allow-Origin</t>
        </is>
      </c>
      <c r="K88" s="15" t="inlineStr">
        <is>
          <t>-</t>
        </is>
      </c>
      <c r="L88" s="15" t="inlineStr">
        <is>
          <t>Phản hồi không có Access-Control-Allow-Origin cho origin lạ → trình duyệt chặn script trang lạ đọc body. (Ghi chú: production dùng SameSite=None; Secure nên an toàn dựa vào whitelist CORS_ORIGIN — cần kiểm cấu hình thật.)</t>
        </is>
      </c>
      <c r="M88" s="15" t="inlineStr"/>
      <c r="N88" s="18" t="inlineStr">
        <is>
          <t>Chưa test</t>
        </is>
      </c>
      <c r="O88" s="15" t="inlineStr"/>
      <c r="P88" s="15" t="inlineStr"/>
      <c r="Q88" s="18" t="inlineStr">
        <is>
          <t>Chưa test</t>
        </is>
      </c>
      <c r="R88" s="15" t="inlineStr"/>
    </row>
    <row r="89" ht="45" customHeight="1">
      <c r="A89" s="14" t="inlineStr">
        <is>
          <t>TC-ROLE-088</t>
        </is>
      </c>
      <c r="B89" s="15" t="inlineStr">
        <is>
          <t>Ma trận phân quyền &amp; Bảo mật nâng cao</t>
        </is>
      </c>
      <c r="C89" s="15" t="inlineStr">
        <is>
          <t>CORS</t>
        </is>
      </c>
      <c r="D89" s="15" t="inlineStr">
        <is>
          <t>CORS chỉ cho origin trong CORS_ORIGIN, kèm credentials; preflight hợp lệ trả 204</t>
        </is>
      </c>
      <c r="E89" s="15" t="inlineStr">
        <is>
          <t>Bảo mật</t>
        </is>
      </c>
      <c r="F89" s="16" t="inlineStr">
        <is>
          <t>Cao</t>
        </is>
      </c>
      <c r="G89" s="17" t="inlineStr">
        <is>
          <t>Đã hoàn thiện</t>
        </is>
      </c>
      <c r="H89" s="17" t="inlineStr">
        <is>
          <t>Có</t>
        </is>
      </c>
      <c r="I89" s="15" t="inlineStr">
        <is>
          <t>Đã chạy `npm run db:reset` (Postgres :5435 + seed), BE :4000, FE :5173. CORS_ORIGIN mặc định http://localhost:5173.</t>
        </is>
      </c>
      <c r="J89" s="15" t="inlineStr">
        <is>
          <t>1. GET /api/courses với Origin: http://localhost:5173
2. GET /api/courses với Origin: http://evil.example
3. OPTIONS /api/courses/photo/posts với Origin 5173, Access-Control-Request-Method: POST, Access-Control-Request-Headers: authorization,content-type</t>
        </is>
      </c>
      <c r="K89" s="15" t="inlineStr">
        <is>
          <t>-</t>
        </is>
      </c>
      <c r="L89"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89" s="15" t="inlineStr"/>
      <c r="N89" s="18" t="inlineStr">
        <is>
          <t>Chưa test</t>
        </is>
      </c>
      <c r="O89" s="15" t="inlineStr"/>
      <c r="P89" s="15" t="inlineStr"/>
      <c r="Q89" s="18" t="inlineStr">
        <is>
          <t>Chưa test</t>
        </is>
      </c>
      <c r="R89" s="15" t="inlineStr"/>
    </row>
    <row r="90" ht="60" customHeight="1">
      <c r="A90" s="14" t="inlineStr">
        <is>
          <t>TC-ROLE-089</t>
        </is>
      </c>
      <c r="B90" s="15" t="inlineStr">
        <is>
          <t>Ma trận phân quyền &amp; Bảo mật nâng cao</t>
        </is>
      </c>
      <c r="C90" s="15" t="inlineStr">
        <is>
          <t>Ẩn menu theo vai trò</t>
        </is>
      </c>
      <c r="D90" s="15" t="inlineStr">
        <is>
          <t>Ẩn/hiện mục điều hướng và nút quản trị theo vai trò ở khu cộng đồng photo</t>
        </is>
      </c>
      <c r="E90" s="15" t="inlineStr">
        <is>
          <t>Giao diện</t>
        </is>
      </c>
      <c r="F90" s="16" t="inlineStr">
        <is>
          <t>Cao</t>
        </is>
      </c>
      <c r="G90" s="17" t="inlineStr">
        <is>
          <t>Đã hoàn thiện</t>
        </is>
      </c>
      <c r="H90" s="17" t="inlineStr">
        <is>
          <t>Có</t>
        </is>
      </c>
      <c r="I9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0"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90" s="15" t="inlineStr">
        <is>
          <t>-</t>
        </is>
      </c>
      <c r="L90"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90" s="15" t="inlineStr"/>
      <c r="N90" s="18" t="inlineStr">
        <is>
          <t>Chưa test</t>
        </is>
      </c>
      <c r="O90" s="15" t="inlineStr"/>
      <c r="P90" s="15" t="inlineStr"/>
      <c r="Q90" s="18" t="inlineStr">
        <is>
          <t>Chưa test</t>
        </is>
      </c>
      <c r="R90" s="15" t="inlineStr"/>
    </row>
    <row r="91" ht="45" customHeight="1">
      <c r="A91" s="14" t="inlineStr">
        <is>
          <t>TC-ROLE-090</t>
        </is>
      </c>
      <c r="B91" s="15" t="inlineStr">
        <is>
          <t>Ma trận phân quyền &amp; Bảo mật nâng cao</t>
        </is>
      </c>
      <c r="C91" s="15" t="inlineStr">
        <is>
          <t>Ẩn menu theo vai trò</t>
        </is>
      </c>
      <c r="D91" s="15" t="inlineStr">
        <is>
          <t>Trang Cài đặt (/courses/photo/community/cai-dat): member/mod/khách bị chặn, cadmin không sửa được giá</t>
        </is>
      </c>
      <c r="E91" s="15" t="inlineStr">
        <is>
          <t>Giao diện</t>
        </is>
      </c>
      <c r="F91" s="16" t="inlineStr">
        <is>
          <t>Cao</t>
        </is>
      </c>
      <c r="G91" s="17" t="inlineStr">
        <is>
          <t>Đã hoàn thiện</t>
        </is>
      </c>
      <c r="H91" s="17" t="inlineStr">
        <is>
          <t>Có</t>
        </is>
      </c>
      <c r="I9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1" s="15" t="inlineStr">
        <is>
          <t>1. Mở thẳng /courses/photo/community/cai-dat với member1, mod, khách
2. Mở với cadmin: kiểm tab Thông tin chung
3. Mở với owner</t>
        </is>
      </c>
      <c r="K91" s="15" t="inlineStr">
        <is>
          <t>-</t>
        </is>
      </c>
      <c r="L91"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91" s="15" t="inlineStr"/>
      <c r="N91" s="18" t="inlineStr">
        <is>
          <t>Chưa test</t>
        </is>
      </c>
      <c r="O91" s="15" t="inlineStr"/>
      <c r="P91" s="15" t="inlineStr"/>
      <c r="Q91" s="18" t="inlineStr">
        <is>
          <t>Chưa test</t>
        </is>
      </c>
      <c r="R91" s="15" t="inlineStr"/>
    </row>
    <row r="92" ht="30" customHeight="1">
      <c r="A92" s="14" t="inlineStr">
        <is>
          <t>TC-ROLE-091</t>
        </is>
      </c>
      <c r="B92" s="15" t="inlineStr">
        <is>
          <t>Ma trận phân quyền &amp; Bảo mật nâng cao</t>
        </is>
      </c>
      <c r="C92" s="15" t="inlineStr">
        <is>
          <t>Ẩn menu theo vai trò</t>
        </is>
      </c>
      <c r="D92" s="15" t="inlineStr">
        <is>
          <t>Menu "…" mỗi hàng ở tab Thành viên chỉ hiện hành động vai trò hiện tại được phép</t>
        </is>
      </c>
      <c r="E92" s="15" t="inlineStr">
        <is>
          <t>Giao diện</t>
        </is>
      </c>
      <c r="F92" s="16" t="inlineStr">
        <is>
          <t>Cao</t>
        </is>
      </c>
      <c r="G92" s="17" t="inlineStr">
        <is>
          <t>Đã hoàn thiện</t>
        </is>
      </c>
      <c r="H92" s="17" t="inlineStr">
        <is>
          <t>Có</t>
        </is>
      </c>
      <c r="I9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2" s="15" t="inlineStr">
        <is>
          <t>1. Mở /courses/photo/community/thanh-vien với member1, mod, cadmin, owner
2. Mở menu "…" trên hàng member3, hàng mod, hàng cadmin, hàng owner</t>
        </is>
      </c>
      <c r="K92" s="15" t="inlineStr">
        <is>
          <t>-</t>
        </is>
      </c>
      <c r="L92"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92" s="15" t="inlineStr"/>
      <c r="N92" s="18" t="inlineStr">
        <is>
          <t>Chưa test</t>
        </is>
      </c>
      <c r="O92" s="15" t="inlineStr"/>
      <c r="P92" s="15" t="inlineStr"/>
      <c r="Q92" s="18" t="inlineStr">
        <is>
          <t>Chưa test</t>
        </is>
      </c>
      <c r="R92" s="15" t="inlineStr"/>
    </row>
    <row r="93" ht="60" customHeight="1">
      <c r="A93" s="14" t="inlineStr">
        <is>
          <t>TC-ROLE-092</t>
        </is>
      </c>
      <c r="B93" s="15" t="inlineStr">
        <is>
          <t>Ma trận phân quyền &amp; Bảo mật nâng cao</t>
        </is>
      </c>
      <c r="C93" s="15" t="inlineStr">
        <is>
          <t>Ẩn menu theo vai trò</t>
        </is>
      </c>
      <c r="D93" s="15" t="inlineStr">
        <is>
          <t>Doanh thu &amp; rút tiền chỉ hiện với Owner/Platform Admin; member vào URL trực tiếp bị 403</t>
        </is>
      </c>
      <c r="E93" s="15" t="inlineStr">
        <is>
          <t>Giao diện</t>
        </is>
      </c>
      <c r="F93" s="20" t="inlineStr">
        <is>
          <t>Trung bình</t>
        </is>
      </c>
      <c r="G93" s="17" t="inlineStr">
        <is>
          <t>Đã hoàn thiện</t>
        </is>
      </c>
      <c r="H93" s="17" t="inlineStr">
        <is>
          <t>Có</t>
        </is>
      </c>
      <c r="I93" s="15" t="inlineStr">
        <is>
          <t>Đã chạy `npm run db:reset` (Postgres :5435 + seed), BE :4000, FE :5173. Tài khoản owner, member1 (paid-demo), admin.</t>
        </is>
      </c>
      <c r="J93" s="15" t="inlineStr">
        <is>
          <t>1. owner: menu avatar ở topbar cộng đồng paid-demo → "Doanh thu &amp; rút tiền"
2. member1: kiểm menu
3. member1: mở thẳng /courses/paid-demo/revenue-dashboard
4. admin: mở cùng URL và thử gửi form rút tiền</t>
        </is>
      </c>
      <c r="K93" s="15" t="inlineStr">
        <is>
          <t>-</t>
        </is>
      </c>
      <c r="L93"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93" s="15" t="inlineStr"/>
      <c r="N93" s="18" t="inlineStr">
        <is>
          <t>Chưa test</t>
        </is>
      </c>
      <c r="O93" s="15" t="inlineStr"/>
      <c r="P93" s="15" t="inlineStr"/>
      <c r="Q93" s="18" t="inlineStr">
        <is>
          <t>Chưa test</t>
        </is>
      </c>
      <c r="R93" s="15" t="inlineStr"/>
    </row>
    <row r="94" ht="60" customHeight="1">
      <c r="A94" s="14" t="inlineStr">
        <is>
          <t>TC-ROLE-093</t>
        </is>
      </c>
      <c r="B94" s="15" t="inlineStr">
        <is>
          <t>Ma trận phân quyền &amp; Bảo mật nâng cao</t>
        </is>
      </c>
      <c r="C94" s="15" t="inlineStr">
        <is>
          <t>Ẩn menu theo vai trò</t>
        </is>
      </c>
      <c r="D94" s="15" t="inlineStr">
        <is>
          <t>Khách không dùng được thao tác cộng đồng: bị chuyển hướng đăng nhập, không gọi API thay đổi dữ liệu</t>
        </is>
      </c>
      <c r="E94" s="15" t="inlineStr">
        <is>
          <t>Giao diện</t>
        </is>
      </c>
      <c r="F94" s="20" t="inlineStr">
        <is>
          <t>Trung bình</t>
        </is>
      </c>
      <c r="G94" s="17" t="inlineStr">
        <is>
          <t>Đã hoàn thiện</t>
        </is>
      </c>
      <c r="H94" s="17" t="inlineStr">
        <is>
          <t>Có</t>
        </is>
      </c>
      <c r="I94" s="15" t="inlineStr">
        <is>
          <t>Đã chạy `npm run db:reset` (Postgres :5435 + seed), BE :4000, FE :5173. Chưa đăng nhập.</t>
        </is>
      </c>
      <c r="J94" s="15" t="inlineStr">
        <is>
          <t>1. Mở /courses/photo (trang chi tiết công khai)
2. Bấm "Tham gia ngay"
3. Mở thẳng /courses/photo/community
4. Mở /billing, /notifications, /messages</t>
        </is>
      </c>
      <c r="K94" s="15" t="inlineStr">
        <is>
          <t>-</t>
        </is>
      </c>
      <c r="L94" s="15" t="inlineStr">
        <is>
          <t>Tham gia → chuyển /login; /courses/photo/community và các trang cá nhân → yêu cầu đăng nhập (không lộ dữ liệu cộng đồng); mọi request /api/* cần xác thực trả 401 nếu gọi tay.</t>
        </is>
      </c>
      <c r="M94" s="15" t="inlineStr"/>
      <c r="N94" s="18" t="inlineStr">
        <is>
          <t>Chưa test</t>
        </is>
      </c>
      <c r="O94" s="15" t="inlineStr"/>
      <c r="P94" s="15" t="inlineStr"/>
      <c r="Q94" s="18" t="inlineStr">
        <is>
          <t>Chưa test</t>
        </is>
      </c>
      <c r="R94" s="15" t="inlineStr"/>
    </row>
  </sheetData>
  <autoFilter ref="A1:R94"/>
  <conditionalFormatting sqref="N2:N9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4" showDropDown="0" showInputMessage="0" showErrorMessage="0" allowBlank="1" type="list">
      <formula1>"Chưa test,Pass,Fail,Blocked,N/A"</formula1>
    </dataValidation>
    <dataValidation sqref="Q2:Q94" showDropDown="0" showInputMessage="0" showErrorMessage="0" allowBlank="1" type="list">
      <formula1>"Chưa test,Pass,Fail,Blocked,N/A"</formula1>
    </dataValidation>
    <dataValidation sqref="F2:F94" showDropDown="0" showInputMessage="0" showErrorMessage="0" allowBlank="1" type="list">
      <formula1>"Cao,Trung bình,Thấp"</formula1>
    </dataValidation>
    <dataValidation sqref="G2:G94" showDropDown="0" showInputMessage="0" showErrorMessage="0" allowBlank="1" type="list">
      <formula1>"Đã hoàn thiện,Kế hoạch"</formula1>
    </dataValidation>
    <dataValidation sqref="H2:H94"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R8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TC-SEC-001</t>
        </is>
      </c>
      <c r="B2" s="15" t="inlineStr">
        <is>
          <t>Bảo mật &amp; Yêu cầu phi chức năng</t>
        </is>
      </c>
      <c r="C2" s="15" t="inlineStr">
        <is>
          <t>Bảo mật mật khẩu</t>
        </is>
      </c>
      <c r="D2" s="15" t="inlineStr">
        <is>
          <t>Mật khẩu được mã hóa (hash), không ai xem được mật khẩu gốc kể cả Platform Admin</t>
        </is>
      </c>
      <c r="E2" s="15" t="inlineStr">
        <is>
          <t>Bảo mật</t>
        </is>
      </c>
      <c r="F2" s="16" t="inlineStr">
        <is>
          <t>Cao</t>
        </is>
      </c>
      <c r="G2" s="17" t="inlineStr">
        <is>
          <t>Đã hoàn thiện</t>
        </is>
      </c>
      <c r="H2" s="16" t="inlineStr">
        <is>
          <t>Không</t>
        </is>
      </c>
      <c r="I2" s="15" t="inlineStr">
        <is>
          <t>Có quyền truy cập cơ sở dữ liệu (môi trường test)</t>
        </is>
      </c>
      <c r="J2" s="15" t="inlineStr">
        <is>
          <t>1. Đăng ký 1 tài khoản với mật khẩu biết trước
2. Kiểm tra giá trị lưu trong cơ sở dữ liệu/qua trang quản trị nội bộ</t>
        </is>
      </c>
      <c r="K2" s="15" t="inlineStr">
        <is>
          <t>-</t>
        </is>
      </c>
      <c r="L2" s="15" t="inlineStr">
        <is>
          <t>Chỉ thấy giá trị hash, không thể suy ra được mật khẩu gốc dưới bất kỳ hình thức nào</t>
        </is>
      </c>
      <c r="M2" s="15" t="inlineStr"/>
      <c r="N2" s="18" t="inlineStr">
        <is>
          <t>Chưa test</t>
        </is>
      </c>
      <c r="O2" s="15" t="inlineStr"/>
      <c r="P2" s="15" t="inlineStr"/>
      <c r="Q2" s="18" t="inlineStr">
        <is>
          <t>Chưa test</t>
        </is>
      </c>
      <c r="R2" s="15" t="inlineStr"/>
    </row>
    <row r="3" ht="45" customHeight="1">
      <c r="A3" s="14" t="inlineStr">
        <is>
          <t>TC-SEC-002</t>
        </is>
      </c>
      <c r="B3" s="15" t="inlineStr">
        <is>
          <t>Bảo mật &amp; Yêu cầu phi chức năng</t>
        </is>
      </c>
      <c r="C3" s="15" t="inlineStr">
        <is>
          <t>Phiên đăng nhập</t>
        </is>
      </c>
      <c r="D3" s="15" t="inlineStr">
        <is>
          <t>Access token hết hiệu lực sau 15 phút</t>
        </is>
      </c>
      <c r="E3" s="15" t="inlineStr">
        <is>
          <t>Bảo mật</t>
        </is>
      </c>
      <c r="F3" s="16" t="inlineStr">
        <is>
          <t>Cao</t>
        </is>
      </c>
      <c r="G3" s="17" t="inlineStr">
        <is>
          <t>Đã hoàn thiện</t>
        </is>
      </c>
      <c r="H3" s="17" t="inlineStr">
        <is>
          <t>Có</t>
        </is>
      </c>
      <c r="I3" s="15" t="inlineStr">
        <is>
          <t>Đã đăng nhập, có access token</t>
        </is>
      </c>
      <c r="J3" s="15" t="inlineStr">
        <is>
          <t>1. Đăng nhập lấy access token
2. Chờ quá 15 phút không thao tác
3. Gọi 1 API cần xác thực</t>
        </is>
      </c>
      <c r="K3" s="15" t="inlineStr">
        <is>
          <t>-</t>
        </is>
      </c>
      <c r="L3" s="15" t="inlineStr">
        <is>
          <t>API trả về lỗi hết hạn (401), yêu cầu làm mới token qua refresh token</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30" customHeight="1">
      <c r="A4" s="14" t="inlineStr">
        <is>
          <t>TC-SEC-003</t>
        </is>
      </c>
      <c r="B4" s="15" t="inlineStr">
        <is>
          <t>Bảo mật &amp; Yêu cầu phi chức năng</t>
        </is>
      </c>
      <c r="C4" s="15" t="inlineStr">
        <is>
          <t>Phiên đăng nhập</t>
        </is>
      </c>
      <c r="D4" s="15" t="inlineStr">
        <is>
          <t>Refresh token chỉ dùng được một lần</t>
        </is>
      </c>
      <c r="E4" s="15" t="inlineStr">
        <is>
          <t>Bảo mật</t>
        </is>
      </c>
      <c r="F4" s="16" t="inlineStr">
        <is>
          <t>Cao</t>
        </is>
      </c>
      <c r="G4" s="17" t="inlineStr">
        <is>
          <t>Đã hoàn thiện</t>
        </is>
      </c>
      <c r="H4" s="17" t="inlineStr">
        <is>
          <t>Có</t>
        </is>
      </c>
      <c r="I4" s="15" t="inlineStr">
        <is>
          <t>Đã có access token hết hạn và refresh token còn hiệu lực</t>
        </is>
      </c>
      <c r="J4" s="15" t="inlineStr">
        <is>
          <t>1. Dùng refresh token để lấy access token mới (lần 1)
2. Dùng lại chính refresh token đó lần 2</t>
        </is>
      </c>
      <c r="K4" s="15" t="inlineStr">
        <is>
          <t>-</t>
        </is>
      </c>
      <c r="L4" s="15" t="inlineStr">
        <is>
          <t>Lần dùng đầu thành công; lần dùng lại thứ 2 bị từ chối (refresh token đã bị vô hiệu sau khi dùng)</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TC-SEC-004</t>
        </is>
      </c>
      <c r="B5" s="15" t="inlineStr">
        <is>
          <t>Bảo mật &amp; Yêu cầu phi chức năng</t>
        </is>
      </c>
      <c r="C5" s="15" t="inlineStr">
        <is>
          <t>Phiên đăng nhập</t>
        </is>
      </c>
      <c r="D5" s="15" t="inlineStr">
        <is>
          <t>Đăng xuất vô hiệu hóa toàn bộ phiên của tài khoản (mọi thiết bị)</t>
        </is>
      </c>
      <c r="E5" s="15" t="inlineStr">
        <is>
          <t>Bảo mật</t>
        </is>
      </c>
      <c r="F5" s="20" t="inlineStr">
        <is>
          <t>Trung bình</t>
        </is>
      </c>
      <c r="G5" s="17" t="inlineStr">
        <is>
          <t>Đã hoàn thiện</t>
        </is>
      </c>
      <c r="H5" s="17" t="inlineStr">
        <is>
          <t>Có</t>
        </is>
      </c>
      <c r="I5" s="15" t="inlineStr">
        <is>
          <t>Đăng nhập cùng 1 tài khoản trên 2 thiết bị/trình duyệt</t>
        </is>
      </c>
      <c r="J5" s="15" t="inlineStr">
        <is>
          <t>1. Đăng nhập tài khoản A trên trình duyệt 1 và trình duyệt 2
2. Đăng xuất ở trình duyệt 1
3. Thử thao tác cần xác thực ở trình duyệt 2</t>
        </is>
      </c>
      <c r="K5" s="15" t="inlineStr">
        <is>
          <t>-</t>
        </is>
      </c>
      <c r="L5" s="15" t="inlineStr">
        <is>
          <t>Phiên ở trình duyệt 2 cũng bị vô hiệu hóa, yêu cầu đăng nhập lại</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c r="Q5" s="18" t="inlineStr">
        <is>
          <t>Chưa test</t>
        </is>
      </c>
      <c r="R5" s="15" t="inlineStr"/>
    </row>
    <row r="6" ht="30" customHeight="1">
      <c r="A6" s="14" t="inlineStr">
        <is>
          <t>TC-SEC-005</t>
        </is>
      </c>
      <c r="B6" s="15" t="inlineStr">
        <is>
          <t>Bảo mật &amp; Yêu cầu phi chức năng</t>
        </is>
      </c>
      <c r="C6" s="15" t="inlineStr">
        <is>
          <t>Ràng buộc dữ liệu</t>
        </is>
      </c>
      <c r="D6" s="15" t="inlineStr">
        <is>
          <t>Một khóa học luôn thuộc đúng một cộng đồng</t>
        </is>
      </c>
      <c r="E6" s="15" t="inlineStr">
        <is>
          <t>Chức năng</t>
        </is>
      </c>
      <c r="F6" s="20" t="inlineStr">
        <is>
          <t>Trung bình</t>
        </is>
      </c>
      <c r="G6" s="17" t="inlineStr">
        <is>
          <t>Đã hoàn thiện</t>
        </is>
      </c>
      <c r="H6" s="17" t="inlineStr">
        <is>
          <t>Có</t>
        </is>
      </c>
      <c r="I6" s="15" t="inlineStr">
        <is>
          <t>-</t>
        </is>
      </c>
      <c r="J6" s="15" t="inlineStr">
        <is>
          <t>1. Kiểm tra dữ liệu/API tạo khóa học
2. Thử tạo hoặc gán 1 khóa học không thuộc cộng đồng nào, hoặc thuộc 2 cộng đồng</t>
        </is>
      </c>
      <c r="K6" s="15" t="inlineStr">
        <is>
          <t>-</t>
        </is>
      </c>
      <c r="L6" s="15" t="inlineStr">
        <is>
          <t>Hệ thống từ chối, mỗi khóa học bắt buộc gắn với đúng 1 cộng đồng duy nhất</t>
        </is>
      </c>
      <c r="M6" s="15" t="inlineStr"/>
      <c r="N6" s="18" t="inlineStr">
        <is>
          <t>Chưa test</t>
        </is>
      </c>
      <c r="O6" s="15" t="inlineStr"/>
      <c r="P6" s="15" t="inlineStr"/>
      <c r="Q6" s="18" t="inlineStr">
        <is>
          <t>Chưa test</t>
        </is>
      </c>
      <c r="R6" s="15" t="inlineStr"/>
    </row>
    <row r="7" ht="45" customHeight="1">
      <c r="A7" s="14" t="inlineStr">
        <is>
          <t>TC-SEC-006</t>
        </is>
      </c>
      <c r="B7" s="15" t="inlineStr">
        <is>
          <t>Bảo mật &amp; Yêu cầu phi chức năng</t>
        </is>
      </c>
      <c r="C7" s="15" t="inlineStr">
        <is>
          <t>Phân quyền theo cộng đồng</t>
        </is>
      </c>
      <c r="D7" s="15" t="inlineStr">
        <is>
          <t>Một người là Owner ở cộng đồng A nhưng chỉ là Thành viên ở cộng đồng B</t>
        </is>
      </c>
      <c r="E7" s="15" t="inlineStr">
        <is>
          <t>Bảo mật</t>
        </is>
      </c>
      <c r="F7" s="16" t="inlineStr">
        <is>
          <t>Cao</t>
        </is>
      </c>
      <c r="G7" s="17" t="inlineStr">
        <is>
          <t>Đã hoàn thiện</t>
        </is>
      </c>
      <c r="H7" s="17" t="inlineStr">
        <is>
          <t>Có</t>
        </is>
      </c>
      <c r="I7" s="15" t="inlineStr">
        <is>
          <t>Tài khoản là Owner của cộng đồng A, đồng thời là Member của cộng đồng B</t>
        </is>
      </c>
      <c r="J7" s="15" t="inlineStr">
        <is>
          <t>1. Đăng nhập tài khoản đó
2. Vào cộng đồng A, thực hiện thao tác quyền Owner (VD sửa khóa học)
3. Vào cộng đồng B, thử thực hiện thao tác quyền Owner tương tự</t>
        </is>
      </c>
      <c r="K7" s="15" t="inlineStr">
        <is>
          <t>-</t>
        </is>
      </c>
      <c r="L7" s="15" t="inlineStr">
        <is>
          <t>Thao tác thành công ở cộng đồng A, nhưng bị từ chối ở cộng đồng B (chỉ có quyền Thành viên thường)</t>
        </is>
      </c>
      <c r="M7" s="15" t="inlineStr"/>
      <c r="N7" s="18" t="inlineStr">
        <is>
          <t>Chưa test</t>
        </is>
      </c>
      <c r="O7" s="15" t="inlineStr"/>
      <c r="P7" s="15" t="inlineStr"/>
      <c r="Q7" s="18" t="inlineStr">
        <is>
          <t>Chưa test</t>
        </is>
      </c>
      <c r="R7" s="15" t="inlineStr"/>
    </row>
    <row r="8" ht="30" customHeight="1">
      <c r="A8" s="14" t="inlineStr">
        <is>
          <t>TC-SEC-007</t>
        </is>
      </c>
      <c r="B8" s="15" t="inlineStr">
        <is>
          <t>Bảo mật &amp; Yêu cầu phi chức năng</t>
        </is>
      </c>
      <c r="C8" s="15" t="inlineStr">
        <is>
          <t>Kết nối an toàn</t>
        </is>
      </c>
      <c r="D8" s="15" t="inlineStr">
        <is>
          <t>Toàn bộ kết nối sử dụng HTTPS</t>
        </is>
      </c>
      <c r="E8" s="15" t="inlineStr">
        <is>
          <t>Bảo mật</t>
        </is>
      </c>
      <c r="F8" s="16" t="inlineStr">
        <is>
          <t>Cao</t>
        </is>
      </c>
      <c r="G8" s="17" t="inlineStr">
        <is>
          <t>Đã hoàn thiện</t>
        </is>
      </c>
      <c r="H8" s="16" t="inlineStr">
        <is>
          <t>Không</t>
        </is>
      </c>
      <c r="I8" s="15" t="inlineStr">
        <is>
          <t>-</t>
        </is>
      </c>
      <c r="J8" s="15" t="inlineStr">
        <is>
          <t>1. Truy cập domain của hệ thống qua trình duyệt
2. Kiểm tra giao thức và chứng chỉ SSL</t>
        </is>
      </c>
      <c r="K8" s="15" t="inlineStr">
        <is>
          <t>-</t>
        </is>
      </c>
      <c r="L8" s="15" t="inlineStr">
        <is>
          <t>Kết nối bắt buộc qua HTTPS, HTTP tự động chuyển hướng sang HTTPS, chứng chỉ hợp lệ</t>
        </is>
      </c>
      <c r="M8" s="15" t="inlineStr"/>
      <c r="N8" s="18" t="inlineStr">
        <is>
          <t>Chưa test</t>
        </is>
      </c>
      <c r="O8" s="15" t="inlineStr"/>
      <c r="P8" s="15" t="inlineStr"/>
      <c r="Q8" s="18" t="inlineStr">
        <is>
          <t>Chưa test</t>
        </is>
      </c>
      <c r="R8" s="15" t="inlineStr"/>
    </row>
    <row r="9" ht="30" customHeight="1">
      <c r="A9" s="14" t="inlineStr">
        <is>
          <t>TC-SEC-008</t>
        </is>
      </c>
      <c r="B9" s="15" t="inlineStr">
        <is>
          <t>Bảo mật &amp; Yêu cầu phi chức năng</t>
        </is>
      </c>
      <c r="C9" s="15" t="inlineStr">
        <is>
          <t>Hiệu năng</t>
        </is>
      </c>
      <c r="D9" s="15" t="inlineStr">
        <is>
          <t>Trang khám phá tải nhanh và ổn định với lượng dữ liệu lớn</t>
        </is>
      </c>
      <c r="E9" s="15" t="inlineStr">
        <is>
          <t>Hiệu năng</t>
        </is>
      </c>
      <c r="F9" s="20" t="inlineStr">
        <is>
          <t>Trung bình</t>
        </is>
      </c>
      <c r="G9" s="17" t="inlineStr">
        <is>
          <t>Đã hoàn thiện</t>
        </is>
      </c>
      <c r="H9" s="17" t="inlineStr">
        <is>
          <t>Có</t>
        </is>
      </c>
      <c r="I9" s="15" t="inlineStr">
        <is>
          <t>Dữ liệu khóa học đủ lớn (hoặc giả lập)</t>
        </is>
      </c>
      <c r="J9" s="15" t="inlineStr">
        <is>
          <t>1. Vào trang khám phá với bộ dữ liệu lớn
2. Đo thời gian tải trang và phân trang</t>
        </is>
      </c>
      <c r="K9" s="15" t="inlineStr">
        <is>
          <t>-</t>
        </is>
      </c>
      <c r="L9" s="15" t="inlineStr">
        <is>
          <t>Thời gian tải trang ở mức chấp nhận được (VD &lt; 3s), có phân trang/tải dần, không bị treo/lag nặng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10" ht="30" customHeight="1">
      <c r="A10" s="14" t="inlineStr">
        <is>
          <t>TC-SEC-009</t>
        </is>
      </c>
      <c r="B10" s="15" t="inlineStr">
        <is>
          <t>Bảo mật &amp; Yêu cầu phi chức năng</t>
        </is>
      </c>
      <c r="C10" s="15" t="inlineStr">
        <is>
          <t>Đa thiết bị</t>
        </is>
      </c>
      <c r="D10" s="15" t="inlineStr">
        <is>
          <t>Giao diện responsive tốt trên điện thoại di động</t>
        </is>
      </c>
      <c r="E10" s="15" t="inlineStr">
        <is>
          <t>Giao diện</t>
        </is>
      </c>
      <c r="F10" s="20" t="inlineStr">
        <is>
          <t>Trung bình</t>
        </is>
      </c>
      <c r="G10" s="17" t="inlineStr">
        <is>
          <t>Đã hoàn thiện</t>
        </is>
      </c>
      <c r="H10" s="17" t="inlineStr">
        <is>
          <t>Có</t>
        </is>
      </c>
      <c r="I10" s="15" t="inlineStr">
        <is>
          <t>-</t>
        </is>
      </c>
      <c r="J10" s="15" t="inlineStr">
        <is>
          <t>1. Mở website trên trình duyệt di động hoặc chế độ giả lập mobile
2. Kiểm tra các trang chính (chủ, khám phá, chi tiết khóa học, đăng ký/đăng nhập)</t>
        </is>
      </c>
      <c r="K10" s="15" t="inlineStr">
        <is>
          <t>-</t>
        </is>
      </c>
      <c r="L10" s="15" t="inlineStr">
        <is>
          <t>Layout hiển thị đúng, không vỡ giao diện, thao tác được đầy đủ chức năng trên màn hình nhỏ</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11" ht="30" customHeight="1">
      <c r="A11" s="14" t="inlineStr">
        <is>
          <t>TC-SEC-010</t>
        </is>
      </c>
      <c r="B11" s="15" t="inlineStr">
        <is>
          <t>Bảo mật &amp; Yêu cầu phi chức năng</t>
        </is>
      </c>
      <c r="C11" s="15" t="inlineStr">
        <is>
          <t>Đa thiết bị</t>
        </is>
      </c>
      <c r="D11" s="15" t="inlineStr">
        <is>
          <t>Giao diện responsive tốt trên máy tính bảng</t>
        </is>
      </c>
      <c r="E11" s="15" t="inlineStr">
        <is>
          <t>Giao diện</t>
        </is>
      </c>
      <c r="F11" s="17" t="inlineStr">
        <is>
          <t>Thấp</t>
        </is>
      </c>
      <c r="G11" s="17" t="inlineStr">
        <is>
          <t>Đã hoàn thiện</t>
        </is>
      </c>
      <c r="H11" s="17" t="inlineStr">
        <is>
          <t>Có</t>
        </is>
      </c>
      <c r="I11" s="15" t="inlineStr">
        <is>
          <t>-</t>
        </is>
      </c>
      <c r="J11" s="15" t="inlineStr">
        <is>
          <t>1. Mở website ở độ phân giải máy tính bảng (VD 768px-1024px)
2. Kiểm tra các trang chính</t>
        </is>
      </c>
      <c r="K11" s="15" t="inlineStr">
        <is>
          <t>-</t>
        </is>
      </c>
      <c r="L11" s="15" t="inlineStr">
        <is>
          <t>Layout hiển thị hợp lý, không chồng chéo phần tử, thao tác bình thường</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c r="Q11" s="18" t="inlineStr">
        <is>
          <t>Chưa test</t>
        </is>
      </c>
      <c r="R11" s="15" t="inlineStr"/>
    </row>
    <row r="12" ht="30" customHeight="1">
      <c r="A12" s="14" t="inlineStr">
        <is>
          <t>TC-SEC-011</t>
        </is>
      </c>
      <c r="B12" s="15" t="inlineStr">
        <is>
          <t>Bảo mật &amp; Yêu cầu phi chức năng</t>
        </is>
      </c>
      <c r="C12" s="15" t="inlineStr">
        <is>
          <t>SEO</t>
        </is>
      </c>
      <c r="D12" s="15" t="inlineStr">
        <is>
          <t>Trang công khai có thẻ meta/title phù hợp cho SEO</t>
        </is>
      </c>
      <c r="E12" s="15" t="inlineStr">
        <is>
          <t>Giao diện</t>
        </is>
      </c>
      <c r="F12" s="17" t="inlineStr">
        <is>
          <t>Thấp</t>
        </is>
      </c>
      <c r="G12" s="17" t="inlineStr">
        <is>
          <t>Đã hoàn thiện</t>
        </is>
      </c>
      <c r="H12" s="17" t="inlineStr">
        <is>
          <t>Có</t>
        </is>
      </c>
      <c r="I12" s="15" t="inlineStr">
        <is>
          <t>-</t>
        </is>
      </c>
      <c r="J12" s="15" t="inlineStr">
        <is>
          <t>1. Vào trang khám phá và trang chi tiết khóa học
2. Kiểm tra thẻ &lt;title&gt;, meta description qua View Source</t>
        </is>
      </c>
      <c r="K12" s="15" t="inlineStr">
        <is>
          <t>-</t>
        </is>
      </c>
      <c r="L12" s="15" t="inlineStr">
        <is>
          <t>Có tiêu đề, mô tả rõ ràng, đúng nội dung từng trang, hỗ trợ tốt cho công cụ tìm kiếm</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c r="Q12" s="18" t="inlineStr">
        <is>
          <t>Chưa test</t>
        </is>
      </c>
      <c r="R12"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3" ht="75" customHeight="1">
      <c r="A13" s="14" t="inlineStr">
        <is>
          <t>TC-SEC-012</t>
        </is>
      </c>
      <c r="B13" s="15" t="inlineStr">
        <is>
          <t>Bảo mật &amp; Yêu cầu phi chức năng</t>
        </is>
      </c>
      <c r="C13" s="15" t="inlineStr">
        <is>
          <t>Thu hồi token tức thì</t>
        </is>
      </c>
      <c r="D13" s="15" t="inlineStr">
        <is>
          <t>Đổi mật khẩu: token của phiên KHÁC chết ngay, token phiên hiện tại vẫn dùng được</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t>
        </is>
      </c>
      <c r="J13" s="15" t="inlineStr">
        <is>
          <t>1. GET /api/auth/me bằng S1 và S2 đều 200
2. POST /api/auth/change-password bằng S2 {currentPassword:'Matkhau@123', newPassword:'NewPass1!'}
3. GET /api/auth/me bằng S1
4. GET /api/auth/me bằng S2
5. Đọc User.tokenVersion trong DB</t>
        </is>
      </c>
      <c r="K13" s="15" t="inlineStr">
        <is>
          <t>-</t>
        </is>
      </c>
      <c r="L13"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3" s="15" t="inlineStr"/>
      <c r="N13" s="18" t="inlineStr">
        <is>
          <t>Chưa test</t>
        </is>
      </c>
      <c r="O13" s="15" t="inlineStr"/>
      <c r="P13" s="15" t="inlineStr"/>
      <c r="Q13" s="18" t="inlineStr">
        <is>
          <t>Chưa test</t>
        </is>
      </c>
      <c r="R13" s="15" t="inlineStr"/>
    </row>
    <row r="14" ht="45" customHeight="1">
      <c r="A14" s="14" t="inlineStr">
        <is>
          <t>TC-SEC-013</t>
        </is>
      </c>
      <c r="B14" s="15" t="inlineStr">
        <is>
          <t>Bảo mật &amp; Yêu cầu phi chức năng</t>
        </is>
      </c>
      <c r="C14" s="15" t="inlineStr">
        <is>
          <t>Thu hồi token tức thì</t>
        </is>
      </c>
      <c r="D14" s="15" t="inlineStr">
        <is>
          <t>Sau đổi mật khẩu, refresh cookie của phiên hiện tại vẫn refresh được, của phiên khác thì không</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 Giữ cookie C1 (phiên 1) và C2 (phiên 2).</t>
        </is>
      </c>
      <c r="J14" s="15" t="inlineStr">
        <is>
          <t>1. Đổi mật khẩu bằng S2
2. POST /api/auth/refresh với C2
3. POST /api/auth/refresh với C1</t>
        </is>
      </c>
      <c r="K14" s="15" t="inlineStr">
        <is>
          <t>-</t>
        </is>
      </c>
      <c r="L14" s="15" t="inlineStr">
        <is>
          <t>C2 -&gt; HTTP 200 (phiên hiện tại còn); C1 -&gt; HTTP 401 'Phiên đăng nhập đã hết hạn, vui lòng đăng nhập lại'.</t>
        </is>
      </c>
      <c r="M14" s="15" t="inlineStr"/>
      <c r="N14" s="18" t="inlineStr">
        <is>
          <t>Chưa test</t>
        </is>
      </c>
      <c r="O14" s="15" t="inlineStr"/>
      <c r="P14" s="15" t="inlineStr"/>
      <c r="Q14" s="18" t="inlineStr">
        <is>
          <t>Chưa test</t>
        </is>
      </c>
      <c r="R14" s="15" t="inlineStr"/>
    </row>
    <row r="15" ht="75" customHeight="1">
      <c r="A15" s="14" t="inlineStr">
        <is>
          <t>TC-SEC-014</t>
        </is>
      </c>
      <c r="B15" s="15" t="inlineStr">
        <is>
          <t>Bảo mật &amp; Yêu cầu phi chức năng</t>
        </is>
      </c>
      <c r="C15" s="15" t="inlineStr">
        <is>
          <t>Thu hồi token tức thì</t>
        </is>
      </c>
      <c r="D15" s="15" t="inlineStr">
        <is>
          <t>Đặt lại mật khẩu: mọi access token và refresh token cũ chết ngay, tokenVersion tăng lên 1</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Có token reset lấy từ /api/dev/outbox.</t>
        </is>
      </c>
      <c r="J15" s="15" t="inlineStr">
        <is>
          <t>1. POST /api/auth/reset-password {token, password:'Reset1234!'}
2. GET /api/auth/me bằng S1 và S2
3. POST /api/auth/refresh với cookie hai phiên
4. Đăng nhập lại bằng mật khẩu mới rồi GET /api/auth/me
5. Đọc User.tokenVersion</t>
        </is>
      </c>
      <c r="K15" s="15" t="inlineStr">
        <is>
          <t>-</t>
        </is>
      </c>
      <c r="L15" s="15" t="inlineStr">
        <is>
          <t>S1, S2 -&gt; 401; cả hai refresh -&gt; 401; token mới sau đăng nhập -&gt; 200; DB User.tokenVersion = 1 (claim 'tv' cũ = 0 không còn khớp).</t>
        </is>
      </c>
      <c r="M15" s="15" t="inlineStr"/>
      <c r="N15" s="18" t="inlineStr">
        <is>
          <t>Chưa test</t>
        </is>
      </c>
      <c r="O15" s="15" t="inlineStr"/>
      <c r="P15" s="15" t="inlineStr"/>
      <c r="Q15" s="18" t="inlineStr">
        <is>
          <t>Chưa test</t>
        </is>
      </c>
      <c r="R15" s="15" t="inlineStr"/>
    </row>
    <row r="16" ht="45" customHeight="1">
      <c r="A16" s="14" t="inlineStr">
        <is>
          <t>TC-SEC-015</t>
        </is>
      </c>
      <c r="B16" s="15" t="inlineStr">
        <is>
          <t>Bảo mật &amp; Yêu cầu phi chức năng</t>
        </is>
      </c>
      <c r="C16" s="15" t="inlineStr">
        <is>
          <t>Thu hồi token tức thì</t>
        </is>
      </c>
      <c r="D16" s="15" t="inlineStr">
        <is>
          <t>Xóa tài khoản: mọi token chết ngay và không đăng nhập lại được</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DELETE /api/auth/me bằng S2 với mật khẩu đúng
2. GET /api/auth/me bằng S1 và S2
3. POST /api/auth/login bằng thông tin cũ</t>
        </is>
      </c>
      <c r="K16" s="15" t="inlineStr">
        <is>
          <t>-</t>
        </is>
      </c>
      <c r="L16" s="15" t="inlineStr">
        <is>
          <t>DELETE 204; S1, S2 đều 401; login 401 'Email hoặc mật khẩu không đúng'.</t>
        </is>
      </c>
      <c r="M16" s="15" t="inlineStr"/>
      <c r="N16" s="18" t="inlineStr">
        <is>
          <t>Chưa test</t>
        </is>
      </c>
      <c r="O16" s="15" t="inlineStr"/>
      <c r="P16" s="15" t="inlineStr"/>
      <c r="Q16" s="18" t="inlineStr">
        <is>
          <t>Chưa test</t>
        </is>
      </c>
      <c r="R16" s="15" t="inlineStr"/>
    </row>
    <row r="17" ht="45" customHeight="1">
      <c r="A17" s="14" t="inlineStr">
        <is>
          <t>TC-SEC-016</t>
        </is>
      </c>
      <c r="B17" s="15" t="inlineStr">
        <is>
          <t>Bảo mật &amp; Yêu cầu phi chức năng</t>
        </is>
      </c>
      <c r="C17" s="15" t="inlineStr">
        <is>
          <t>Thu hồi token tức thì</t>
        </is>
      </c>
      <c r="D17" s="15" t="inlineStr">
        <is>
          <t>Logout thu hồi mọi phiên của user (không chỉ phiên hiện tại)</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C2 của phiên 2.</t>
        </is>
      </c>
      <c r="J17" s="15" t="inlineStr">
        <is>
          <t>1. POST /api/auth/logout bằng S1
2. GET /api/auth/me bằng S1 và S2
3. POST /api/auth/refresh với C2</t>
        </is>
      </c>
      <c r="K17" s="15" t="inlineStr">
        <is>
          <t>-</t>
        </is>
      </c>
      <c r="L17" s="15" t="inlineStr">
        <is>
          <t>Logout 204. S1 và S2 đều 401 ngay; refresh với C2 401 (hành vi vốn có: logout = thu hồi toàn bộ phiên).</t>
        </is>
      </c>
      <c r="M17" s="15" t="inlineStr"/>
      <c r="N17" s="18" t="inlineStr">
        <is>
          <t>Chưa test</t>
        </is>
      </c>
      <c r="O17" s="15" t="inlineStr"/>
      <c r="P17" s="15" t="inlineStr"/>
      <c r="Q17" s="18" t="inlineStr">
        <is>
          <t>Chưa test</t>
        </is>
      </c>
      <c r="R17" s="15" t="inlineStr"/>
    </row>
    <row r="18" ht="60" customHeight="1">
      <c r="A18" s="14" t="inlineStr">
        <is>
          <t>TC-SEC-017</t>
        </is>
      </c>
      <c r="B18" s="15" t="inlineStr">
        <is>
          <t>Bảo mật &amp; Yêu cầu phi chức năng</t>
        </is>
      </c>
      <c r="C18" s="15" t="inlineStr">
        <is>
          <t>Thu hồi token tức thì</t>
        </is>
      </c>
      <c r="D18" s="15" t="inlineStr">
        <is>
          <t>Logout-all: mọi access token chết ngay và tokenVersion tăng</t>
        </is>
      </c>
      <c r="E18" s="15" t="inlineStr">
        <is>
          <t>Bảo mật</t>
        </is>
      </c>
      <c r="F18" s="16" t="inlineStr">
        <is>
          <t>Cao</t>
        </is>
      </c>
      <c r="G18" s="17" t="inlineStr">
        <is>
          <t>Đã hoàn thiện</t>
        </is>
      </c>
      <c r="H18" s="17" t="inlineStr">
        <is>
          <t>Có</t>
        </is>
      </c>
      <c r="I18" s="15" t="inlineStr">
        <is>
          <t>Dùng 2 user mới đăng ký (không dùng seed): S1 là access token lúc đăng ký, S2 là token từ lần đăng nhập thứ hai.</t>
        </is>
      </c>
      <c r="J18" s="15" t="inlineStr">
        <is>
          <t>1. POST /api/auth/logout-all bằng S2
2. GET /api/auth/me bằng S1 và S2
3. POST /api/auth/refresh với cookie phiên 2
4. Đọc User.tokenVersion</t>
        </is>
      </c>
      <c r="K18" s="15" t="inlineStr">
        <is>
          <t>-</t>
        </is>
      </c>
      <c r="L18" s="15" t="inlineStr">
        <is>
          <t>204; S1, S2 -&gt; 401; refresh -&gt; 401; User.tokenVersion = 1. Không có Bearer thì logout-all 401.</t>
        </is>
      </c>
      <c r="M18" s="15" t="inlineStr"/>
      <c r="N18" s="18" t="inlineStr">
        <is>
          <t>Chưa test</t>
        </is>
      </c>
      <c r="O18" s="15" t="inlineStr"/>
      <c r="P18" s="15" t="inlineStr"/>
      <c r="Q18" s="18" t="inlineStr">
        <is>
          <t>Chưa test</t>
        </is>
      </c>
      <c r="R18" s="15" t="inlineStr"/>
    </row>
    <row r="19" ht="60" customHeight="1">
      <c r="A19" s="14" t="inlineStr">
        <is>
          <t>TC-SEC-018</t>
        </is>
      </c>
      <c r="B19" s="15" t="inlineStr">
        <is>
          <t>Bảo mật &amp; Yêu cầu phi chức năng</t>
        </is>
      </c>
      <c r="C19" s="15" t="inlineStr">
        <is>
          <t>Thu hồi token tức thì</t>
        </is>
      </c>
      <c r="D19" s="15" t="inlineStr">
        <is>
          <t>Thu hồi 1 phiên: chỉ phiên đó chết, refresh cookie phiên đó cũng chết</t>
        </is>
      </c>
      <c r="E19" s="15" t="inlineStr">
        <is>
          <t>Bảo mật</t>
        </is>
      </c>
      <c r="F19" s="16" t="inlineStr">
        <is>
          <t>Cao</t>
        </is>
      </c>
      <c r="G19" s="17" t="inlineStr">
        <is>
          <t>Đã hoàn thiện</t>
        </is>
      </c>
      <c r="H19" s="17" t="inlineStr">
        <is>
          <t>Có</t>
        </is>
      </c>
      <c r="I19" s="15" t="inlineStr">
        <is>
          <t>Dùng 2 user mới đăng ký (không dùng seed): S1 là access token lúc đăng ký, S2 là token từ lần đăng nhập thứ hai. Giữ cookie C1 của phiên 1.</t>
        </is>
      </c>
      <c r="J19" s="15" t="inlineStr">
        <is>
          <t>1. Bằng S2: DELETE /api/auth/sessions/&lt;id phiên 1&gt;
2. GET /api/auth/me bằng S1
3. GET /api/auth/me bằng S2
4. POST /api/auth/refresh với C1</t>
        </is>
      </c>
      <c r="K19" s="15" t="inlineStr">
        <is>
          <t>-</t>
        </is>
      </c>
      <c r="L19" s="15" t="inlineStr">
        <is>
          <t>DELETE 204; S1 401; S2 200; refresh C1 401. tokenVersion vẫn 0.</t>
        </is>
      </c>
      <c r="M19" s="15" t="inlineStr"/>
      <c r="N19" s="18" t="inlineStr">
        <is>
          <t>Chưa test</t>
        </is>
      </c>
      <c r="O19" s="15" t="inlineStr"/>
      <c r="P19" s="15" t="inlineStr"/>
      <c r="Q19" s="18" t="inlineStr">
        <is>
          <t>Chưa test</t>
        </is>
      </c>
      <c r="R19" s="15" t="inlineStr"/>
    </row>
    <row r="20" ht="60" customHeight="1">
      <c r="A20" s="14" t="inlineStr">
        <is>
          <t>TC-SEC-019</t>
        </is>
      </c>
      <c r="B20" s="15" t="inlineStr">
        <is>
          <t>Bảo mật &amp; Yêu cầu phi chức năng</t>
        </is>
      </c>
      <c r="C20" s="15" t="inlineStr">
        <is>
          <t>Thu hồi token tức thì</t>
        </is>
      </c>
      <c r="D20" s="15" t="inlineStr">
        <is>
          <t>Xóa user hoặc hết hạn phiên trực tiếp trong DB cũng làm token 401 ngay (không cache)</t>
        </is>
      </c>
      <c r="E20" s="15" t="inlineStr">
        <is>
          <t>Bảo mật</t>
        </is>
      </c>
      <c r="F20" s="20" t="inlineStr">
        <is>
          <t>Trung bình</t>
        </is>
      </c>
      <c r="G20" s="17" t="inlineStr">
        <is>
          <t>Đã hoàn thiện</t>
        </is>
      </c>
      <c r="H20" s="16" t="inlineStr">
        <is>
          <t>Không</t>
        </is>
      </c>
      <c r="I20" s="15" t="inlineStr">
        <is>
          <t>3 user mới A, B, C có token còn hạn; quyền ghi DB test</t>
        </is>
      </c>
      <c r="J20" s="15" t="inlineStr">
        <is>
          <t>1. Xóa hàng User của A trong DB
2. Đặt Session.expiresAt của B về quá khứ
3. User.tokenVersion của C += 1
4. GET /api/auth/me bằng token cả ba</t>
        </is>
      </c>
      <c r="K20" s="15" t="inlineStr">
        <is>
          <t>-</t>
        </is>
      </c>
      <c r="L20" s="15" t="inlineStr">
        <is>
          <t>Cả ba GET /auth/me -&gt; 401 ngay (mỗi request truy vấn PK Session + User.tokenVersion, không cache).</t>
        </is>
      </c>
      <c r="M20" s="15" t="inlineStr"/>
      <c r="N20" s="18" t="inlineStr">
        <is>
          <t>Chưa test</t>
        </is>
      </c>
      <c r="O20" s="15" t="inlineStr"/>
      <c r="P20" s="15" t="inlineStr"/>
      <c r="Q20" s="18" t="inlineStr">
        <is>
          <t>Chưa test</t>
        </is>
      </c>
      <c r="R20" s="15" t="inlineStr"/>
    </row>
    <row r="21" ht="60" customHeight="1">
      <c r="A21" s="14" t="inlineStr">
        <is>
          <t>TC-SEC-020</t>
        </is>
      </c>
      <c r="B21" s="15" t="inlineStr">
        <is>
          <t>Bảo mật &amp; Yêu cầu phi chức năng</t>
        </is>
      </c>
      <c r="C21" s="15" t="inlineStr">
        <is>
          <t>JWT</t>
        </is>
      </c>
      <c r="D21" s="15" t="inlineStr">
        <is>
          <t>Token sai chữ ký, thuật toán none hoặc không phải JWT bị từ chối</t>
        </is>
      </c>
      <c r="E21" s="15" t="inlineStr">
        <is>
          <t>Bảo mật</t>
        </is>
      </c>
      <c r="F21" s="16" t="inlineStr">
        <is>
          <t>Cao</t>
        </is>
      </c>
      <c r="G21" s="17" t="inlineStr">
        <is>
          <t>Đã hoàn thiện</t>
        </is>
      </c>
      <c r="H21" s="17" t="inlineStr">
        <is>
          <t>Có</t>
        </is>
      </c>
      <c r="I21" s="15" t="inlineStr">
        <is>
          <t>Có access token hợp lệ của member1; ký giả bằng công cụ (jwt.io hoặc script) với secret sai</t>
        </is>
      </c>
      <c r="J21" s="15" t="inlineStr">
        <is>
          <t>1. Ký lại cùng payload {sub,sid,tv} bằng secret 'sai-bi-mat'
2. Tạo token alg=none (header.payload. không chữ ký)
3. Gửi chuỗi 'khong.phai.jwt' và chuỗi rỗng
4. GET /api/auth/me với từng token</t>
        </is>
      </c>
      <c r="K21" s="15" t="inlineStr">
        <is>
          <t>-</t>
        </is>
      </c>
      <c r="L21" s="15" t="inlineStr">
        <is>
          <t>Tất cả HTTP 401 UNAUTHORIZED 'Vui lòng đăng nhập để tiếp tục'. Đối chứng: token ký đúng JWT_ACCESS_SECRET với payload hợp lệ vẫn 200.</t>
        </is>
      </c>
      <c r="M21" s="15" t="inlineStr"/>
      <c r="N21" s="18" t="inlineStr">
        <is>
          <t>Chưa test</t>
        </is>
      </c>
      <c r="O21" s="15" t="inlineStr"/>
      <c r="P21" s="15" t="inlineStr"/>
      <c r="Q21" s="18" t="inlineStr">
        <is>
          <t>Chưa test</t>
        </is>
      </c>
      <c r="R21" s="15" t="inlineStr"/>
    </row>
    <row r="22" ht="75" customHeight="1">
      <c r="A22" s="14" t="inlineStr">
        <is>
          <t>TC-SEC-021</t>
        </is>
      </c>
      <c r="B22" s="15" t="inlineStr">
        <is>
          <t>Bảo mật &amp; Yêu cầu phi chức năng</t>
        </is>
      </c>
      <c r="C22" s="15" t="inlineStr">
        <is>
          <t>JWT</t>
        </is>
      </c>
      <c r="D22" s="15" t="inlineStr">
        <is>
          <t>Claim sai: tv lệch, sid lạ, sid của người khác, thiếu sid/tv (token kiểu cũ) đều 401</t>
        </is>
      </c>
      <c r="E22" s="15" t="inlineStr">
        <is>
          <t>Bảo mật</t>
        </is>
      </c>
      <c r="F22" s="16" t="inlineStr">
        <is>
          <t>Cao</t>
        </is>
      </c>
      <c r="G22" s="17" t="inlineStr">
        <is>
          <t>Đã hoàn thiện</t>
        </is>
      </c>
      <c r="H22" s="17" t="inlineStr">
        <is>
          <t>Có</t>
        </is>
      </c>
      <c r="I22" s="15" t="inlineStr">
        <is>
          <t>Có JWT_ACCESS_SECRET dev; user A và B mới, token của A có payload {sub:A, sid:sA, tv:0}</t>
        </is>
      </c>
      <c r="J22" s="15" t="inlineStr">
        <is>
          <t>1. Ký {sub:A, sid:sA, tv:1}
2. Ký {sub:A, sid:'00000000-0000-0000-0000-000000000000', tv:0}
3. Ký {sub:A, sid:sB, tv:0}
4. Ký {sub:A} (không sid/tv)
5. GET /api/auth/me với từng token</t>
        </is>
      </c>
      <c r="K22" s="15" t="inlineStr">
        <is>
          <t>-</t>
        </is>
      </c>
      <c r="L22" s="15" t="inlineStr">
        <is>
          <t>Cả 4 HTTP 401. Đặc biệt {sub:A, sid:sB} phải 401 vì Session.userId != sub (không mượn phiên người khác).</t>
        </is>
      </c>
      <c r="M22" s="15" t="inlineStr"/>
      <c r="N22" s="18" t="inlineStr">
        <is>
          <t>Chưa test</t>
        </is>
      </c>
      <c r="O22" s="15" t="inlineStr"/>
      <c r="P22" s="15" t="inlineStr"/>
      <c r="Q22" s="18" t="inlineStr">
        <is>
          <t>Chưa test</t>
        </is>
      </c>
      <c r="R22" s="15" t="inlineStr"/>
    </row>
    <row r="23" ht="45" customHeight="1">
      <c r="A23" s="14" t="inlineStr">
        <is>
          <t>TC-SEC-022</t>
        </is>
      </c>
      <c r="B23" s="15" t="inlineStr">
        <is>
          <t>Bảo mật &amp; Yêu cầu phi chức năng</t>
        </is>
      </c>
      <c r="C23" s="15" t="inlineStr">
        <is>
          <t>JWT</t>
        </is>
      </c>
      <c r="D23" s="15" t="inlineStr">
        <is>
          <t>Access token hết hạn (exp) bị từ chối; TTL mặc định 15 phút</t>
        </is>
      </c>
      <c r="E23" s="15" t="inlineStr">
        <is>
          <t>Bảo mật</t>
        </is>
      </c>
      <c r="F23" s="16" t="inlineStr">
        <is>
          <t>Cao</t>
        </is>
      </c>
      <c r="G23" s="17" t="inlineStr">
        <is>
          <t>Đã hoàn thiện</t>
        </is>
      </c>
      <c r="H23" s="17" t="inlineStr">
        <is>
          <t>Có</t>
        </is>
      </c>
      <c r="I23" s="15" t="inlineStr">
        <is>
          <t>Có JWT_ACCESS_SECRET dev</t>
        </is>
      </c>
      <c r="J23" s="15" t="inlineStr">
        <is>
          <t>1. Ký {sub,sid,tv} với expiresIn = -10 giây
2. GET /api/auth/me
3. Giải mã access token vừa cấp, so exp - iat</t>
        </is>
      </c>
      <c r="K23" s="15" t="inlineStr">
        <is>
          <t>-</t>
        </is>
      </c>
      <c r="L23" s="15" t="inlineStr">
        <is>
          <t>Token hết hạn HTTP 401; exp - iat = 900 giây (ACCESS_TOKEN_TTL_MIN=15). FE gặp 401 sẽ tự gọi /auth/refresh.</t>
        </is>
      </c>
      <c r="M23" s="15" t="inlineStr"/>
      <c r="N23" s="18" t="inlineStr">
        <is>
          <t>Chưa test</t>
        </is>
      </c>
      <c r="O23" s="15" t="inlineStr"/>
      <c r="P23" s="15" t="inlineStr"/>
      <c r="Q23" s="18" t="inlineStr">
        <is>
          <t>Chưa test</t>
        </is>
      </c>
      <c r="R23" s="15" t="inlineStr"/>
    </row>
    <row r="24" ht="45" customHeight="1">
      <c r="A24" s="14" t="inlineStr">
        <is>
          <t>TC-SEC-023</t>
        </is>
      </c>
      <c r="B24" s="15" t="inlineStr">
        <is>
          <t>Bảo mật &amp; Yêu cầu phi chức năng</t>
        </is>
      </c>
      <c r="C24" s="15" t="inlineStr">
        <is>
          <t>JWT</t>
        </is>
      </c>
      <c r="D24" s="15" t="inlineStr">
        <is>
          <t>Không thay đổi được vai trò bằng sửa claim: quyền lấy từ DB</t>
        </is>
      </c>
      <c r="E24" s="15" t="inlineStr">
        <is>
          <t>Bảo mật</t>
        </is>
      </c>
      <c r="F24" s="16" t="inlineStr">
        <is>
          <t>Cao</t>
        </is>
      </c>
      <c r="G24" s="17" t="inlineStr">
        <is>
          <t>Đã hoàn thiện</t>
        </is>
      </c>
      <c r="H24" s="17" t="inlineStr">
        <is>
          <t>Có</t>
        </is>
      </c>
      <c r="I24" s="15" t="inlineStr">
        <is>
          <t>Access token của member2 (JWT_ACCESS_SECRET biết để ký thử)</t>
        </is>
      </c>
      <c r="J24" s="15" t="inlineStr">
        <is>
          <t>1. Ký token {sub:member2, sid, tv, role:'admin', platformAdmin:true}
2. GET /api/auth/me
3. GET /api/admin/reports (chỉ Platform Admin)</t>
        </is>
      </c>
      <c r="K24" s="15" t="inlineStr">
        <is>
          <t>claim role giả</t>
        </is>
      </c>
      <c r="L24" s="15" t="inlineStr">
        <is>
          <t>Token vẫn chỉ xác định user (sub); claim thừa bị bỏ qua; API quản trị trả 403 FORBIDDEN cho member2 (vai trò tính từ DB/PLATFORM_ADMIN_EMAILS, không từ token).</t>
        </is>
      </c>
      <c r="M24" s="15" t="inlineStr"/>
      <c r="N24" s="18" t="inlineStr">
        <is>
          <t>Chưa test</t>
        </is>
      </c>
      <c r="O24" s="15" t="inlineStr"/>
      <c r="P24" s="15" t="inlineStr"/>
      <c r="Q24" s="18" t="inlineStr">
        <is>
          <t>Chưa test</t>
        </is>
      </c>
      <c r="R24" s="15" t="inlineStr"/>
    </row>
    <row r="25" ht="30" customHeight="1">
      <c r="A25" s="14" t="inlineStr">
        <is>
          <t>TC-SEC-024</t>
        </is>
      </c>
      <c r="B25" s="15" t="inlineStr">
        <is>
          <t>Bảo mật &amp; Yêu cầu phi chức năng</t>
        </is>
      </c>
      <c r="C25" s="15" t="inlineStr">
        <is>
          <t>JWT</t>
        </is>
      </c>
      <c r="D25" s="15" t="inlineStr">
        <is>
          <t>Header Authorization: token đặt trong query hoặc scheme khác không được dùng cho API thường</t>
        </is>
      </c>
      <c r="E25" s="15" t="inlineStr">
        <is>
          <t>Bảo mật</t>
        </is>
      </c>
      <c r="F25" s="20" t="inlineStr">
        <is>
          <t>Trung bình</t>
        </is>
      </c>
      <c r="G25" s="17" t="inlineStr">
        <is>
          <t>Đã hoàn thiện</t>
        </is>
      </c>
      <c r="H25" s="17" t="inlineStr">
        <is>
          <t>Có</t>
        </is>
      </c>
      <c r="I25" s="15" t="inlineStr">
        <is>
          <t>Có access token hợp lệ</t>
        </is>
      </c>
      <c r="J25" s="15" t="inlineStr">
        <is>
          <t>1. GET /api/auth/me?access_token=&lt;token&gt; không Authorization
2. GET /api/auth/me với Cookie: access_token=&lt;token&gt;</t>
        </is>
      </c>
      <c r="K25" s="15" t="inlineStr">
        <is>
          <t>-</t>
        </is>
      </c>
      <c r="L25" s="15" t="inlineStr">
        <is>
          <t>Cả hai 401 (chỉ header 'Authorization: Bearer' được đọc; access_token trên query chỉ dành cho SSE).</t>
        </is>
      </c>
      <c r="M25" s="15" t="inlineStr"/>
      <c r="N25" s="18" t="inlineStr">
        <is>
          <t>Chưa test</t>
        </is>
      </c>
      <c r="O25" s="15" t="inlineStr"/>
      <c r="P25" s="15" t="inlineStr"/>
      <c r="Q25" s="18" t="inlineStr">
        <is>
          <t>Chưa test</t>
        </is>
      </c>
      <c r="R25" s="15" t="inlineStr"/>
    </row>
    <row r="26" ht="45" customHeight="1">
      <c r="A26" s="14" t="inlineStr">
        <is>
          <t>TC-SEC-025</t>
        </is>
      </c>
      <c r="B26" s="15" t="inlineStr">
        <is>
          <t>Bảo mật &amp; Yêu cầu phi chức năng</t>
        </is>
      </c>
      <c r="C26" s="15" t="inlineStr">
        <is>
          <t>Refresh token</t>
        </is>
      </c>
      <c r="D26" s="15" t="inlineStr">
        <is>
          <t>Refresh token dùng lại (replay) bị từ chối, token mới vẫn dùng bình thường</t>
        </is>
      </c>
      <c r="E26" s="15" t="inlineStr">
        <is>
          <t>Bảo mật</t>
        </is>
      </c>
      <c r="F26" s="16" t="inlineStr">
        <is>
          <t>Cao</t>
        </is>
      </c>
      <c r="G26" s="17" t="inlineStr">
        <is>
          <t>Đã hoàn thiện</t>
        </is>
      </c>
      <c r="H26" s="17" t="inlineStr">
        <is>
          <t>Có</t>
        </is>
      </c>
      <c r="I26" s="15" t="inlineStr">
        <is>
          <t>Đăng nhập user mới, có cookie C1</t>
        </is>
      </c>
      <c r="J26" s="15" t="inlineStr">
        <is>
          <t>1. POST /api/auth/refresh với C1 -&gt; nhận cookie C2
2. POST /api/auth/refresh lại với C1
3. POST /api/auth/refresh với C2</t>
        </is>
      </c>
      <c r="K26" s="15" t="inlineStr">
        <is>
          <t>-</t>
        </is>
      </c>
      <c r="L26"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6" s="15" t="inlineStr"/>
      <c r="N26" s="18" t="inlineStr">
        <is>
          <t>Chưa test</t>
        </is>
      </c>
      <c r="O26" s="15" t="inlineStr"/>
      <c r="P26" s="15" t="inlineStr"/>
      <c r="Q26" s="18" t="inlineStr">
        <is>
          <t>Chưa test</t>
        </is>
      </c>
      <c r="R26" s="15" t="inlineStr"/>
    </row>
    <row r="27" ht="30" customHeight="1">
      <c r="A27" s="14" t="inlineStr">
        <is>
          <t>TC-SEC-026</t>
        </is>
      </c>
      <c r="B27" s="15" t="inlineStr">
        <is>
          <t>Bảo mật &amp; Yêu cầu phi chức năng</t>
        </is>
      </c>
      <c r="C27" s="15" t="inlineStr">
        <is>
          <t>Refresh token</t>
        </is>
      </c>
      <c r="D27" s="15" t="inlineStr">
        <is>
          <t>Hai request refresh song song cùng cookie: chỉ 1 thắng</t>
        </is>
      </c>
      <c r="E27" s="15" t="inlineStr">
        <is>
          <t>Bảo mật</t>
        </is>
      </c>
      <c r="F27" s="16" t="inlineStr">
        <is>
          <t>Cao</t>
        </is>
      </c>
      <c r="G27" s="17" t="inlineStr">
        <is>
          <t>Đã hoàn thiện</t>
        </is>
      </c>
      <c r="H27" s="17" t="inlineStr">
        <is>
          <t>Có</t>
        </is>
      </c>
      <c r="I27" s="15" t="inlineStr">
        <is>
          <t>Đăng nhập user mới, có cookie C1</t>
        </is>
      </c>
      <c r="J27" s="15" t="inlineStr">
        <is>
          <t>1. Promise.all bắn 2 POST /api/auth/refresh với cùng C1</t>
        </is>
      </c>
      <c r="K27" s="15" t="inlineStr">
        <is>
          <t>-</t>
        </is>
      </c>
      <c r="L27" s="15" t="inlineStr">
        <is>
          <t>Đúng 1 response 200 và 1 response 401 (updateMany có điều kiện là atomic); phiên vẫn còn đúng 1 hàng và không có 500.</t>
        </is>
      </c>
      <c r="M27" s="15" t="inlineStr"/>
      <c r="N27" s="18" t="inlineStr">
        <is>
          <t>Chưa test</t>
        </is>
      </c>
      <c r="O27" s="15" t="inlineStr"/>
      <c r="P27" s="15" t="inlineStr"/>
      <c r="Q27" s="18" t="inlineStr">
        <is>
          <t>Chưa test</t>
        </is>
      </c>
      <c r="R27" s="15" t="inlineStr"/>
    </row>
    <row r="28" ht="45" customHeight="1">
      <c r="A28" s="14" t="inlineStr">
        <is>
          <t>TC-SEC-027</t>
        </is>
      </c>
      <c r="B28" s="15" t="inlineStr">
        <is>
          <t>Bảo mật &amp; Yêu cầu phi chức năng</t>
        </is>
      </c>
      <c r="C28" s="15" t="inlineStr">
        <is>
          <t>Refresh token</t>
        </is>
      </c>
      <c r="D28" s="15" t="inlineStr">
        <is>
          <t>Refresh token giả, ký bằng secret khác hoặc dùng access token làm cookie đều 401</t>
        </is>
      </c>
      <c r="E28" s="15" t="inlineStr">
        <is>
          <t>Bảo mật</t>
        </is>
      </c>
      <c r="F28" s="16" t="inlineStr">
        <is>
          <t>Cao</t>
        </is>
      </c>
      <c r="G28" s="17" t="inlineStr">
        <is>
          <t>Đã hoàn thiện</t>
        </is>
      </c>
      <c r="H28" s="17" t="inlineStr">
        <is>
          <t>Có</t>
        </is>
      </c>
      <c r="I28" s="15" t="inlineStr">
        <is>
          <t>Có access token hợp lệ</t>
        </is>
      </c>
      <c r="J28" s="15" t="inlineStr">
        <is>
          <t>1. POST /api/auth/refresh với Cookie: refresh_token=&lt;access token&gt;
2. Với Cookie: refresh_token=abc.def.ghi
3. Với refresh token ký bằng secret sai</t>
        </is>
      </c>
      <c r="K28" s="15" t="inlineStr">
        <is>
          <t>-</t>
        </is>
      </c>
      <c r="L28" s="15" t="inlineStr">
        <is>
          <t>Cả ba HTTP 401 'Phiên đăng nhập đã hết hạn, vui lòng đăng nhập lại' (secret refresh và access khác nhau).</t>
        </is>
      </c>
      <c r="M28" s="15" t="inlineStr"/>
      <c r="N28" s="18" t="inlineStr">
        <is>
          <t>Chưa test</t>
        </is>
      </c>
      <c r="O28" s="15" t="inlineStr"/>
      <c r="P28" s="15" t="inlineStr"/>
      <c r="Q28" s="18" t="inlineStr">
        <is>
          <t>Chưa test</t>
        </is>
      </c>
      <c r="R28" s="15" t="inlineStr"/>
    </row>
    <row r="29" ht="45" customHeight="1">
      <c r="A29" s="14" t="inlineStr">
        <is>
          <t>TC-SEC-028</t>
        </is>
      </c>
      <c r="B29" s="15" t="inlineStr">
        <is>
          <t>Bảo mật &amp; Yêu cầu phi chức năng</t>
        </is>
      </c>
      <c r="C29" s="15" t="inlineStr">
        <is>
          <t>Refresh token</t>
        </is>
      </c>
      <c r="D29" s="15" t="inlineStr">
        <is>
          <t>Refresh không thu hồi access token cũ cùng phiên (TTL 15 phút) - ghi nhận hành vi</t>
        </is>
      </c>
      <c r="E29" s="15" t="inlineStr">
        <is>
          <t>Bảo mật</t>
        </is>
      </c>
      <c r="F29" s="17" t="inlineStr">
        <is>
          <t>Thấp</t>
        </is>
      </c>
      <c r="G29" s="17" t="inlineStr">
        <is>
          <t>Đã hoàn thiện</t>
        </is>
      </c>
      <c r="H29" s="17" t="inlineStr">
        <is>
          <t>Có</t>
        </is>
      </c>
      <c r="I29" s="15" t="inlineStr">
        <is>
          <t>Đăng nhập user mới: A1 (access), C1 (cookie)</t>
        </is>
      </c>
      <c r="J29" s="15" t="inlineStr">
        <is>
          <t>1. POST /api/auth/refresh với C1 nhận A2
2. GET /api/auth/me bằng A1
3. GET /api/auth/me bằng A2</t>
        </is>
      </c>
      <c r="K29" s="15" t="inlineStr">
        <is>
          <t>-</t>
        </is>
      </c>
      <c r="L29" s="15" t="inlineStr">
        <is>
          <t>Cả A1 và A2 đều 200 vì cùng sid và tv; A1 chỉ mất hiệu lực khi hết 15 phút hoặc phiên bị thu hồi (không phải lỗi, ghi nhận để thống nhất).</t>
        </is>
      </c>
      <c r="M29" s="15" t="inlineStr"/>
      <c r="N29" s="18" t="inlineStr">
        <is>
          <t>Chưa test</t>
        </is>
      </c>
      <c r="O29" s="15" t="inlineStr"/>
      <c r="P29" s="15" t="inlineStr"/>
      <c r="Q29" s="18" t="inlineStr">
        <is>
          <t>Chưa test</t>
        </is>
      </c>
      <c r="R29" s="15" t="inlineStr"/>
    </row>
    <row r="30" ht="30" customHeight="1">
      <c r="A30" s="14" t="inlineStr">
        <is>
          <t>TC-SEC-029</t>
        </is>
      </c>
      <c r="B30" s="15" t="inlineStr">
        <is>
          <t>Bảo mật &amp; Yêu cầu phi chức năng</t>
        </is>
      </c>
      <c r="C30" s="15" t="inlineStr">
        <is>
          <t>Cookie</t>
        </is>
      </c>
      <c r="D30" s="15" t="inlineStr">
        <is>
          <t>Cookie refresh_token có HttpOnly, Path=/api/auth, Max-Age 30 ngày, SameSite=Lax (dev)</t>
        </is>
      </c>
      <c r="E30" s="15" t="inlineStr">
        <is>
          <t>Bảo mật</t>
        </is>
      </c>
      <c r="F30" s="16" t="inlineStr">
        <is>
          <t>Cao</t>
        </is>
      </c>
      <c r="G30" s="17" t="inlineStr">
        <is>
          <t>Đã hoàn thiện</t>
        </is>
      </c>
      <c r="H30" s="17" t="inlineStr">
        <is>
          <t>Có</t>
        </is>
      </c>
      <c r="I30" s="15" t="inlineStr">
        <is>
          <t>Môi trường dev (NODE_ENV != production)</t>
        </is>
      </c>
      <c r="J30" s="15" t="inlineStr">
        <is>
          <t>1. POST /api/auth/login
2. Xem chi tiết header Set-Cookie</t>
        </is>
      </c>
      <c r="K30" s="15" t="inlineStr">
        <is>
          <t>-</t>
        </is>
      </c>
      <c r="L30" s="15" t="inlineStr">
        <is>
          <t>Set-Cookie: refresh_token=...; Max-Age=2592000; Path=/api/auth; HttpOnly; SameSite=Lax (không Secure). Production (NODE_ENV=production) phải là Secure + SameSite=None.</t>
        </is>
      </c>
      <c r="M30" s="15" t="inlineStr"/>
      <c r="N30" s="18" t="inlineStr">
        <is>
          <t>Chưa test</t>
        </is>
      </c>
      <c r="O30" s="15" t="inlineStr"/>
      <c r="P30" s="15" t="inlineStr"/>
      <c r="Q30" s="18" t="inlineStr">
        <is>
          <t>Chưa test</t>
        </is>
      </c>
      <c r="R30" s="15" t="inlineStr"/>
    </row>
    <row r="31" ht="45" customHeight="1">
      <c r="A31" s="14" t="inlineStr">
        <is>
          <t>TC-SEC-030</t>
        </is>
      </c>
      <c r="B31" s="15" t="inlineStr">
        <is>
          <t>Bảo mật &amp; Yêu cầu phi chức năng</t>
        </is>
      </c>
      <c r="C31" s="15" t="inlineStr">
        <is>
          <t>Cookie</t>
        </is>
      </c>
      <c r="D31" s="15" t="inlineStr">
        <is>
          <t>JavaScript trong trang không đọc được refresh_token và cookie không đi kèm request ngoài /api/auth</t>
        </is>
      </c>
      <c r="E31" s="15" t="inlineStr">
        <is>
          <t>Bảo mật</t>
        </is>
      </c>
      <c r="F31" s="16" t="inlineStr">
        <is>
          <t>Cao</t>
        </is>
      </c>
      <c r="G31" s="17" t="inlineStr">
        <is>
          <t>Đã hoàn thiện</t>
        </is>
      </c>
      <c r="H31" s="17" t="inlineStr">
        <is>
          <t>Có</t>
        </is>
      </c>
      <c r="I31" s="15" t="inlineStr">
        <is>
          <t>Đăng nhập trong trình duyệt tại :5173</t>
        </is>
      </c>
      <c r="J31" s="15" t="inlineStr">
        <is>
          <t>1. Trong DevTools chạy document.cookie
2. Xem header Cookie của GET /api/courses
3. Xem header Cookie của POST /api/auth/refresh</t>
        </is>
      </c>
      <c r="K31" s="15" t="inlineStr">
        <is>
          <t>-</t>
        </is>
      </c>
      <c r="L31" s="15" t="inlineStr">
        <is>
          <t>document.cookie không chứa refresh_token; request /api/courses không mang cookie này; chỉ request dưới /api/auth mới mang refresh_token.</t>
        </is>
      </c>
      <c r="M31" s="15" t="inlineStr"/>
      <c r="N31" s="18" t="inlineStr">
        <is>
          <t>Chưa test</t>
        </is>
      </c>
      <c r="O31" s="15" t="inlineStr"/>
      <c r="P31" s="15" t="inlineStr"/>
      <c r="Q31" s="18" t="inlineStr">
        <is>
          <t>Chưa test</t>
        </is>
      </c>
      <c r="R31" s="15" t="inlineStr"/>
    </row>
    <row r="32" ht="30" customHeight="1">
      <c r="A32" s="14" t="inlineStr">
        <is>
          <t>TC-SEC-031</t>
        </is>
      </c>
      <c r="B32" s="15" t="inlineStr">
        <is>
          <t>Bảo mật &amp; Yêu cầu phi chức năng</t>
        </is>
      </c>
      <c r="C32" s="15" t="inlineStr">
        <is>
          <t>Cookie</t>
        </is>
      </c>
      <c r="D32" s="15" t="inlineStr">
        <is>
          <t>Cookie refresh bị trình duyệt chặn khi POST /auth/refresh từ origin khác (SameSite=Lax)</t>
        </is>
      </c>
      <c r="E32" s="15" t="inlineStr">
        <is>
          <t>Bảo mật</t>
        </is>
      </c>
      <c r="F32" s="20" t="inlineStr">
        <is>
          <t>Trung bình</t>
        </is>
      </c>
      <c r="G32" s="17" t="inlineStr">
        <is>
          <t>Đã hoàn thiện</t>
        </is>
      </c>
      <c r="H32" s="20" t="inlineStr">
        <is>
          <t>Một phần</t>
        </is>
      </c>
      <c r="I32" s="15" t="inlineStr">
        <is>
          <t>Đăng nhập tại :5173; một trang tĩnh ở origin khác (ví dụ http://localhost:9999) chứa form/fetch POST tới http://localhost:4000/api/auth/refresh</t>
        </is>
      </c>
      <c r="J32" s="15" t="inlineStr">
        <is>
          <t>1. Mở trang tĩnh ở origin khác
2. Bấm nút submit form POST hoặc fetch có credentials</t>
        </is>
      </c>
      <c r="K32" s="15" t="inlineStr">
        <is>
          <t>-</t>
        </is>
      </c>
      <c r="L32" s="15" t="inlineStr">
        <is>
          <t>Request không mang cookie refresh_token =&gt; HTTP 401 'Chưa đăng nhập'; kẻ tấn công không lấy được accessToken.</t>
        </is>
      </c>
      <c r="M32" s="15" t="inlineStr"/>
      <c r="N32" s="18" t="inlineStr">
        <is>
          <t>Chưa test</t>
        </is>
      </c>
      <c r="O32" s="15" t="inlineStr"/>
      <c r="P32" s="15" t="inlineStr"/>
      <c r="Q32" s="18" t="inlineStr">
        <is>
          <t>Chưa test</t>
        </is>
      </c>
      <c r="R32" s="15" t="inlineStr"/>
    </row>
    <row r="33" ht="30" customHeight="1">
      <c r="A33" s="14" t="inlineStr">
        <is>
          <t>TC-SEC-032</t>
        </is>
      </c>
      <c r="B33" s="15" t="inlineStr">
        <is>
          <t>Bảo mật &amp; Yêu cầu phi chức năng</t>
        </is>
      </c>
      <c r="C33" s="15" t="inlineStr">
        <is>
          <t>Dữ liệu nhạy cảm</t>
        </is>
      </c>
      <c r="D33" s="15" t="inlineStr">
        <is>
          <t>Response đăng ký/đăng nhập/me/PATCH me không chứa passwordHash, tokenVersion, isDemo, deletedAt</t>
        </is>
      </c>
      <c r="E33" s="15" t="inlineStr">
        <is>
          <t>Bảo mật</t>
        </is>
      </c>
      <c r="F33" s="16" t="inlineStr">
        <is>
          <t>Cao</t>
        </is>
      </c>
      <c r="G33" s="17" t="inlineStr">
        <is>
          <t>Đã hoàn thiện</t>
        </is>
      </c>
      <c r="H33" s="17" t="inlineStr">
        <is>
          <t>Có</t>
        </is>
      </c>
      <c r="I33" s="15" t="inlineStr">
        <is>
          <t>Tài khoản mới</t>
        </is>
      </c>
      <c r="J33" s="15" t="inlineStr">
        <is>
          <t>1. Gọi register, login, GET /auth/me, PATCH /auth/me
2. Tìm chuỗi passwordHash, tokenVersion, isDemo, deletedAt, $2 (bcrypt) trong toàn bộ body</t>
        </is>
      </c>
      <c r="K33" s="15" t="inlineStr">
        <is>
          <t>-</t>
        </is>
      </c>
      <c r="L33" s="15" t="inlineStr">
        <is>
          <t>Không có bất kỳ trường/giá trị nào trong danh sách trên ở cả 4 response.</t>
        </is>
      </c>
      <c r="M33" s="15" t="inlineStr"/>
      <c r="N33" s="18" t="inlineStr">
        <is>
          <t>Chưa test</t>
        </is>
      </c>
      <c r="O33" s="15" t="inlineStr"/>
      <c r="P33" s="15" t="inlineStr"/>
      <c r="Q33" s="18" t="inlineStr">
        <is>
          <t>Chưa test</t>
        </is>
      </c>
      <c r="R33" s="15" t="inlineStr"/>
    </row>
    <row r="34" ht="45" customHeight="1">
      <c r="A34" s="14" t="inlineStr">
        <is>
          <t>TC-SEC-033</t>
        </is>
      </c>
      <c r="B34" s="15" t="inlineStr">
        <is>
          <t>Bảo mật &amp; Yêu cầu phi chức năng</t>
        </is>
      </c>
      <c r="C34" s="15" t="inlineStr">
        <is>
          <t>Dữ liệu nhạy cảm</t>
        </is>
      </c>
      <c r="D34" s="15" t="inlineStr">
        <is>
          <t>Hồ sơ công khai và bảng tin không lộ email người dùng</t>
        </is>
      </c>
      <c r="E34" s="15" t="inlineStr">
        <is>
          <t>Bảo mật</t>
        </is>
      </c>
      <c r="F34" s="16" t="inlineStr">
        <is>
          <t>Cao</t>
        </is>
      </c>
      <c r="G34" s="17" t="inlineStr">
        <is>
          <t>Đã hoàn thiện</t>
        </is>
      </c>
      <c r="H34" s="17" t="inlineStr">
        <is>
          <t>Có</t>
        </is>
      </c>
      <c r="I34" s="15" t="inlineStr">
        <is>
          <t>Đăng nhập member1</t>
        </is>
      </c>
      <c r="J34" s="15" t="inlineStr">
        <is>
          <t>1. GET /api/users/&lt;id owner&gt;
2. GET /api/courses/photo/posts (bảng tin)
3. Tìm chuỗi '@sofinhub.test' trong body</t>
        </is>
      </c>
      <c r="K34" s="15" t="inlineStr">
        <is>
          <t>-</t>
        </is>
      </c>
      <c r="L34" s="15" t="inlineStr">
        <is>
          <t>Không tìm thấy email trong hồ sơ công khai và author của bài viết (chỉ id, name). GET /api/auth/me chỉ trả email của chính mình.</t>
        </is>
      </c>
      <c r="M34" s="15" t="inlineStr"/>
      <c r="N34" s="18" t="inlineStr">
        <is>
          <t>Chưa test</t>
        </is>
      </c>
      <c r="O34" s="15" t="inlineStr"/>
      <c r="P34" s="15" t="inlineStr"/>
      <c r="Q34" s="18" t="inlineStr">
        <is>
          <t>Chưa test</t>
        </is>
      </c>
      <c r="R34" s="15" t="inlineStr"/>
    </row>
    <row r="35" ht="45" customHeight="1">
      <c r="A35" s="14" t="inlineStr">
        <is>
          <t>TC-SEC-034</t>
        </is>
      </c>
      <c r="B35" s="15" t="inlineStr">
        <is>
          <t>Bảo mật &amp; Yêu cầu phi chức năng</t>
        </is>
      </c>
      <c r="C35" s="15" t="inlineStr">
        <is>
          <t>Dữ liệu nhạy cảm</t>
        </is>
      </c>
      <c r="D35" s="15" t="inlineStr">
        <is>
          <t>Token một lần chỉ được lưu dạng băm sha256, không có token thô trong response API</t>
        </is>
      </c>
      <c r="E35" s="15" t="inlineStr">
        <is>
          <t>Bảo mật</t>
        </is>
      </c>
      <c r="F35" s="16" t="inlineStr">
        <is>
          <t>Cao</t>
        </is>
      </c>
      <c r="G35" s="17" t="inlineStr">
        <is>
          <t>Đã hoàn thiện</t>
        </is>
      </c>
      <c r="H35" s="16" t="inlineStr">
        <is>
          <t>Không</t>
        </is>
      </c>
      <c r="I35" s="15" t="inlineStr">
        <is>
          <t>Có token reset T lấy từ outbox; quyền đọc DB test</t>
        </is>
      </c>
      <c r="J35" s="15" t="inlineStr">
        <is>
          <t>1. Đọc bảng OneTimeToken của user
2. So sánh tokenHash với T
3. Tính sha256(T)</t>
        </is>
      </c>
      <c r="K35" s="15" t="inlineStr">
        <is>
          <t>T (43 ký tự base64url)</t>
        </is>
      </c>
      <c r="L35" s="15" t="inlineStr">
        <is>
          <t>tokenHash là 64 ký tự hex = sha256(T), khác T; T chỉ xuất hiện trong thư (outbox) và không xuất hiện ở bất kỳ response API nào.</t>
        </is>
      </c>
      <c r="M35" s="15" t="inlineStr"/>
      <c r="N35" s="18" t="inlineStr">
        <is>
          <t>Chưa test</t>
        </is>
      </c>
      <c r="O35" s="15" t="inlineStr"/>
      <c r="P35" s="15" t="inlineStr"/>
      <c r="Q35" s="18" t="inlineStr">
        <is>
          <t>Chưa test</t>
        </is>
      </c>
      <c r="R35" s="15" t="inlineStr"/>
    </row>
    <row r="36" ht="30" customHeight="1">
      <c r="A36" s="14" t="inlineStr">
        <is>
          <t>TC-SEC-035</t>
        </is>
      </c>
      <c r="B36" s="15" t="inlineStr">
        <is>
          <t>Bảo mật &amp; Yêu cầu phi chức năng</t>
        </is>
      </c>
      <c r="C36" s="15" t="inlineStr">
        <is>
          <t>Bảo mật mật khẩu</t>
        </is>
      </c>
      <c r="D36" s="15" t="inlineStr">
        <is>
          <t>Mật khẩu lưu bằng bcrypt cost 10</t>
        </is>
      </c>
      <c r="E36" s="15" t="inlineStr">
        <is>
          <t>Bảo mật</t>
        </is>
      </c>
      <c r="F36" s="20" t="inlineStr">
        <is>
          <t>Trung bình</t>
        </is>
      </c>
      <c r="G36" s="17" t="inlineStr">
        <is>
          <t>Đã hoàn thiện</t>
        </is>
      </c>
      <c r="H36" s="16" t="inlineStr">
        <is>
          <t>Không</t>
        </is>
      </c>
      <c r="I36" s="15" t="inlineStr">
        <is>
          <t>Tài khoản mới đăng ký; quyền đọc DB test</t>
        </is>
      </c>
      <c r="J36" s="15" t="inlineStr">
        <is>
          <t>1. Đọc cột passwordHash của user vừa đăng ký
2. Kiểm tra tiền tố</t>
        </is>
      </c>
      <c r="K36" s="15" t="inlineStr">
        <is>
          <t>-</t>
        </is>
      </c>
      <c r="L36" s="15" t="inlineStr">
        <is>
          <t>passwordHash bắt đầu bằng '$2a$10$' hoặc '$2b$10$' (SALT_ROUNDS=10), độ dài 60; hai user cùng mật khẩu có hash khác nhau (salt riêng).</t>
        </is>
      </c>
      <c r="M36" s="15" t="inlineStr"/>
      <c r="N36" s="18" t="inlineStr">
        <is>
          <t>Chưa test</t>
        </is>
      </c>
      <c r="O36" s="15" t="inlineStr"/>
      <c r="P36" s="15" t="inlineStr"/>
      <c r="Q36" s="18" t="inlineStr">
        <is>
          <t>Chưa test</t>
        </is>
      </c>
      <c r="R36" s="15" t="inlineStr"/>
    </row>
    <row r="37" ht="45" customHeight="1">
      <c r="A37" s="14" t="inlineStr">
        <is>
          <t>TC-SEC-036</t>
        </is>
      </c>
      <c r="B37" s="15" t="inlineStr">
        <is>
          <t>Bảo mật &amp; Yêu cầu phi chức năng</t>
        </is>
      </c>
      <c r="C37" s="15" t="inlineStr">
        <is>
          <t>Chống dò tài khoản</t>
        </is>
      </c>
      <c r="D37" s="15" t="inlineStr">
        <is>
          <t>Quên mật khẩu và đăng nhập không lộ email tồn tại; đăng ký thì có (đánh đổi đã biết)</t>
        </is>
      </c>
      <c r="E37" s="15" t="inlineStr">
        <is>
          <t>Bảo mật</t>
        </is>
      </c>
      <c r="F37" s="20" t="inlineStr">
        <is>
          <t>Trung bình</t>
        </is>
      </c>
      <c r="G37" s="17" t="inlineStr">
        <is>
          <t>Đã hoàn thiện</t>
        </is>
      </c>
      <c r="H37" s="17" t="inlineStr">
        <is>
          <t>Có</t>
        </is>
      </c>
      <c r="I37" s="15" t="inlineStr">
        <is>
          <t>member1@sofinhub.test tồn tại, ghost.sec@sofinhub.test không tồn tại</t>
        </is>
      </c>
      <c r="J37" s="15" t="inlineStr">
        <is>
          <t>1. So sánh forgot-password cho hai email
2. So sánh login sai mật khẩu cho hai email
3. POST /api/auth/register với member1@sofinhub.test</t>
        </is>
      </c>
      <c r="K37" s="15" t="inlineStr">
        <is>
          <t>-</t>
        </is>
      </c>
      <c r="L37" s="15" t="inlineStr">
        <is>
          <t>forgot-password: hai response giống hệt (200). login: hai response 401 giống hệt. Riêng register trả 409 'Email này đã được đăng ký' nên lộ email tồn tại - ghi nhận rủi ro liệt kê tài khoản (chưa chốt cách xử lý).</t>
        </is>
      </c>
      <c r="M37" s="15" t="inlineStr"/>
      <c r="N37" s="18" t="inlineStr">
        <is>
          <t>Chưa test</t>
        </is>
      </c>
      <c r="O37" s="15" t="inlineStr"/>
      <c r="P37" s="15" t="inlineStr"/>
      <c r="Q37" s="18" t="inlineStr">
        <is>
          <t>Chưa test</t>
        </is>
      </c>
      <c r="R37" s="15" t="inlineStr"/>
    </row>
    <row r="38" ht="75" customHeight="1">
      <c r="A38" s="14" t="inlineStr">
        <is>
          <t>TC-SEC-037</t>
        </is>
      </c>
      <c r="B38" s="15" t="inlineStr">
        <is>
          <t>Bảo mật &amp; Yêu cầu phi chức năng</t>
        </is>
      </c>
      <c r="C38" s="15" t="inlineStr">
        <is>
          <t>Đường truyền</t>
        </is>
      </c>
      <c r="D38" s="15" t="inlineStr">
        <is>
          <t>SSE thông báo/tin nhắn: token đã thu hồi bị 401, vé (ticket) dùng một lần</t>
        </is>
      </c>
      <c r="E38" s="15" t="inlineStr">
        <is>
          <t>Bảo mật</t>
        </is>
      </c>
      <c r="F38" s="16" t="inlineStr">
        <is>
          <t>Cao</t>
        </is>
      </c>
      <c r="G38" s="17" t="inlineStr">
        <is>
          <t>Đã hoàn thiện</t>
        </is>
      </c>
      <c r="H38" s="20" t="inlineStr">
        <is>
          <t>Một phần</t>
        </is>
      </c>
      <c r="I38" s="15" t="inlineStr">
        <is>
          <t>User mới có access token S1</t>
        </is>
      </c>
      <c r="J38" s="15" t="inlineStr">
        <is>
          <t>1. POST /api/notifications/stream-ticket lấy ticket, mở GET /api/notifications/stream?ticket=... (200)
2. POST /api/auth/logout bằng S1
3. GET /api/notifications/stream?access_token=S1
4. GET /api/notifications/stream với Bearer S1
5. POST /api/notifications/stream-ticket với S1</t>
        </is>
      </c>
      <c r="K38" s="15" t="inlineStr">
        <is>
          <t>-</t>
        </is>
      </c>
      <c r="L38" s="15" t="inlineStr">
        <is>
          <t>Trước logout ticket và access_token đều mở được stream (200). Sau logout: cả ba lệnh cuối HTTP 401. Tương tự cho /api/messages/stream.</t>
        </is>
      </c>
      <c r="M38" s="15" t="inlineStr"/>
      <c r="N38" s="18" t="inlineStr">
        <is>
          <t>Chưa test</t>
        </is>
      </c>
      <c r="O38" s="15" t="inlineStr"/>
      <c r="P38" s="15" t="inlineStr"/>
      <c r="Q38" s="18" t="inlineStr">
        <is>
          <t>Chưa test</t>
        </is>
      </c>
      <c r="R38" s="15" t="inlineStr"/>
    </row>
    <row r="39" ht="45" customHeight="1">
      <c r="A39" s="14" t="inlineStr">
        <is>
          <t>TC-SEC-038</t>
        </is>
      </c>
      <c r="B39" s="15" t="inlineStr">
        <is>
          <t>Bảo mật &amp; Yêu cầu phi chức năng</t>
        </is>
      </c>
      <c r="C39" s="15" t="inlineStr">
        <is>
          <t>Thu hồi token tức thì</t>
        </is>
      </c>
      <c r="D39" s="15" t="inlineStr">
        <is>
          <t>API dùng optionalAuth coi token đã thu hồi như khách (200, không 401)</t>
        </is>
      </c>
      <c r="E39" s="15" t="inlineStr">
        <is>
          <t>Chức năng</t>
        </is>
      </c>
      <c r="F39" s="20" t="inlineStr">
        <is>
          <t>Trung bình</t>
        </is>
      </c>
      <c r="G39" s="17" t="inlineStr">
        <is>
          <t>Đã hoàn thiện</t>
        </is>
      </c>
      <c r="H39" s="17" t="inlineStr">
        <is>
          <t>Có</t>
        </is>
      </c>
      <c r="I39" s="15" t="inlineStr">
        <is>
          <t>User mới chưa tham gia photo</t>
        </is>
      </c>
      <c r="J39" s="15" t="inlineStr">
        <is>
          <t>1. GET /api/courses/photo bằng token -&gt; viewerEnrolled=false
2. POST /api/auth/logout
3. GET /api/courses/photo bằng token đã thu hồi</t>
        </is>
      </c>
      <c r="K39" s="15" t="inlineStr">
        <is>
          <t>-</t>
        </is>
      </c>
      <c r="L39" s="15" t="inlineStr">
        <is>
          <t>Trước: 200 và viewerEnrolled=false. Sau: HTTP 200 (không phải 401) và viewerEnrolled không có trong response (coi như khách).</t>
        </is>
      </c>
      <c r="M39" s="15" t="inlineStr"/>
      <c r="N39" s="18" t="inlineStr">
        <is>
          <t>Chưa test</t>
        </is>
      </c>
      <c r="O39" s="15" t="inlineStr"/>
      <c r="P39" s="15" t="inlineStr"/>
      <c r="Q39" s="18" t="inlineStr">
        <is>
          <t>Chưa test</t>
        </is>
      </c>
      <c r="R39" s="15" t="inlineStr"/>
    </row>
    <row r="40" ht="30" customHeight="1">
      <c r="A40" s="14" t="inlineStr">
        <is>
          <t>TC-SEC-039</t>
        </is>
      </c>
      <c r="B40" s="15" t="inlineStr">
        <is>
          <t>Bảo mật &amp; Yêu cầu phi chức năng</t>
        </is>
      </c>
      <c r="C40" s="15" t="inlineStr">
        <is>
          <t>Giới hạn tần suất</t>
        </is>
      </c>
      <c r="D40" s="15" t="inlineStr">
        <is>
          <t>Không có khóa tạm theo tài khoản: chỉ giới hạn theo IP ở login/forgot/contact/newsletter</t>
        </is>
      </c>
      <c r="E40" s="15" t="inlineStr">
        <is>
          <t>Bảo mật</t>
        </is>
      </c>
      <c r="F40" s="20" t="inlineStr">
        <is>
          <t>Trung bình</t>
        </is>
      </c>
      <c r="G40" s="20" t="inlineStr">
        <is>
          <t>Kế hoạch</t>
        </is>
      </c>
      <c r="H40" s="16" t="inlineStr">
        <is>
          <t>Không</t>
        </is>
      </c>
      <c r="I40" s="15" t="inlineStr">
        <is>
          <t>Chưa làm: khóa tạm tài khoản sau N lần sai, captcha, rate limit theo tài khoản (đối lập với các case cũ mô tả 'tạm khóa')</t>
        </is>
      </c>
      <c r="J40" s="15" t="inlineStr">
        <is>
          <t>1. Từ 2 IP khác nhau lần lượt đăng nhập sai member1 nhiều lần</t>
        </is>
      </c>
      <c r="K40" s="15" t="inlineStr">
        <is>
          <t>-</t>
        </is>
      </c>
      <c r="L40" s="15" t="inlineStr">
        <is>
          <t>Sau khi làm: đăng nhập sai liên tiếp theo tài khoản bị khóa tạm kể cả đổi IP; hiện tại chỉ có giới hạn 10 request/15 phút/IP.</t>
        </is>
      </c>
      <c r="M40" s="15" t="inlineStr"/>
      <c r="N40" s="18" t="inlineStr">
        <is>
          <t>Chưa test</t>
        </is>
      </c>
      <c r="O40" s="15" t="inlineStr"/>
      <c r="P40" s="15" t="inlineStr"/>
      <c r="Q40" s="18" t="inlineStr">
        <is>
          <t>Chưa test</t>
        </is>
      </c>
      <c r="R40" s="15" t="inlineStr"/>
    </row>
    <row r="41" ht="30" customHeight="1">
      <c r="A41" s="14" t="inlineStr">
        <is>
          <t>TC-SEC-040</t>
        </is>
      </c>
      <c r="B41" s="15" t="inlineStr">
        <is>
          <t>Bảo mật &amp; Yêu cầu phi chức năng</t>
        </is>
      </c>
      <c r="C41" s="15" t="inlineStr">
        <is>
          <t>Giới hạn tần suất</t>
        </is>
      </c>
      <c r="D41" s="15" t="inlineStr">
        <is>
          <t>Xác minh mật khẩu ở change-password và DELETE /auth/me chưa có rate limit (dò mật khẩu bằng token hợp lệ)</t>
        </is>
      </c>
      <c r="E41" s="15" t="inlineStr">
        <is>
          <t>Bảo mật</t>
        </is>
      </c>
      <c r="F41" s="20" t="inlineStr">
        <is>
          <t>Trung bình</t>
        </is>
      </c>
      <c r="G41" s="20" t="inlineStr">
        <is>
          <t>Kế hoạch</t>
        </is>
      </c>
      <c r="H41" s="16" t="inlineStr">
        <is>
          <t>Không</t>
        </is>
      </c>
      <c r="I41" s="15" t="inlineStr">
        <is>
          <t>Chưa làm: rate limit riêng cho các endpoint xác minh mật khẩu</t>
        </is>
      </c>
      <c r="J41" s="15" t="inlineStr">
        <is>
          <t>1. Dùng token hợp lệ của user mới, gọi POST /api/auth/change-password sai mật khẩu hiện tại 30 lần liên tiếp</t>
        </is>
      </c>
      <c r="K41" s="15" t="inlineStr">
        <is>
          <t>30 lần sai</t>
        </is>
      </c>
      <c r="L41" s="15" t="inlineStr">
        <is>
          <t>Hiện tại mọi lần trả 400 'Mật khẩu hiện tại không đúng' và không bao giờ 429 (khoảng hở). Sau khi làm: trả 429 sau ngưỡng.</t>
        </is>
      </c>
      <c r="M41" s="15" t="inlineStr"/>
      <c r="N41" s="18" t="inlineStr">
        <is>
          <t>Chưa test</t>
        </is>
      </c>
      <c r="O41" s="15" t="inlineStr"/>
      <c r="P41" s="15" t="inlineStr"/>
      <c r="Q41" s="18" t="inlineStr">
        <is>
          <t>Chưa test</t>
        </is>
      </c>
      <c r="R41" s="15" t="inlineStr"/>
    </row>
    <row r="42" ht="45" customHeight="1">
      <c r="A42" s="14" t="inlineStr">
        <is>
          <t>TC-SEC-041</t>
        </is>
      </c>
      <c r="B42" s="15" t="inlineStr">
        <is>
          <t>Bảo mật &amp; Yêu cầu phi chức năng</t>
        </is>
      </c>
      <c r="C42" s="15" t="inlineStr">
        <is>
          <t>XSS</t>
        </is>
      </c>
      <c r="D42" s="15" t="inlineStr">
        <is>
          <t>Tên hồ sơ chứa thẻ HTML: lưu nguyên văn, hiển thị dạng chữ ở mọi nơi, không chạy script</t>
        </is>
      </c>
      <c r="E42" s="15" t="inlineStr">
        <is>
          <t>Bảo mật</t>
        </is>
      </c>
      <c r="F42" s="16" t="inlineStr">
        <is>
          <t>Cao</t>
        </is>
      </c>
      <c r="G42" s="17" t="inlineStr">
        <is>
          <t>Đã hoàn thiện</t>
        </is>
      </c>
      <c r="H42" s="17" t="inlineStr">
        <is>
          <t>Có</t>
        </is>
      </c>
      <c r="I42"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42" s="15" t="inlineStr">
        <is>
          <t>1. PATCH /api/auth/me {firstName:"&lt;img src=x onerror=alert('xss')&gt;"}
2. Mở /users/&lt;id member2&gt;, tab Thành viên của photo, bảng xếp hạng, chuông thông báo của member1 sau khi member2 thích bài
3. Trả tên về 'Mai'</t>
        </is>
      </c>
      <c r="K42" s="15" t="inlineStr">
        <is>
          <t>firstName = &lt;img src=x onerror=alert('xss')&gt;</t>
        </is>
      </c>
      <c r="L42" s="15" t="inlineStr">
        <is>
          <t>PATCH 200 (tên lưu nguyên văn, giới hạn 80 ký tự); mọi nơi hiển thị tên thấy đúng chuỗi ký tự `&lt;img src=x ...&gt;` dạng chữ, không có thẻ img thật trong DOM, không có dialog alert.</t>
        </is>
      </c>
      <c r="M42" s="15" t="inlineStr"/>
      <c r="N42" s="18" t="inlineStr">
        <is>
          <t>Chưa test</t>
        </is>
      </c>
      <c r="O42" s="15" t="inlineStr"/>
      <c r="P42" s="15" t="inlineStr"/>
      <c r="Q42" s="18" t="inlineStr">
        <is>
          <t>Chưa test</t>
        </is>
      </c>
      <c r="R42" s="15" t="inlineStr"/>
    </row>
    <row r="43" ht="45" customHeight="1">
      <c r="A43" s="14" t="inlineStr">
        <is>
          <t>TC-SEC-042</t>
        </is>
      </c>
      <c r="B43" s="15" t="inlineStr">
        <is>
          <t>Bảo mật &amp; Yêu cầu phi chức năng</t>
        </is>
      </c>
      <c r="C43" s="15" t="inlineStr">
        <is>
          <t>XSS</t>
        </is>
      </c>
      <c r="D43" s="15" t="inlineStr">
        <is>
          <t>Nội dung bài viết chứa &lt;script&gt; và HTML: hiển thị chữ thô, không render thẻ</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3" s="15" t="inlineStr">
        <is>
          <t>1. POST /api/courses/photo/posts {content:"&lt;script&gt;alert(1)&lt;/script&gt;&lt;b&gt;đậm&lt;/b&gt;&lt;a href='javascript:alert(2)'&gt;bấm&lt;/a&gt;"}
2. Mở /courses/photo/community, xem bài mới ở bảng tin và ở trang chi tiết bài
3. Chia sẻ bài (GET /api/posts/&lt;id&gt;/share)</t>
        </is>
      </c>
      <c r="K43" s="15" t="inlineStr">
        <is>
          <t>content có script/b/a</t>
        </is>
      </c>
      <c r="L43" s="15" t="inlineStr">
        <is>
          <t>201, content được lưu nguyên văn; bảng tin hiển thị đúng chuỗi thô, không có phần tử &lt;script&gt;, &lt;b&gt;, &lt;a&gt; trong DOM từ nội dung; không có dialog; excerpt của share cũng là chữ thô.</t>
        </is>
      </c>
      <c r="M43" s="15" t="inlineStr"/>
      <c r="N43" s="18" t="inlineStr">
        <is>
          <t>Chưa test</t>
        </is>
      </c>
      <c r="O43" s="15" t="inlineStr"/>
      <c r="P43" s="15" t="inlineStr"/>
      <c r="Q43" s="18" t="inlineStr">
        <is>
          <t>Chưa test</t>
        </is>
      </c>
      <c r="R43" s="15" t="inlineStr"/>
    </row>
    <row r="44" ht="45" customHeight="1">
      <c r="A44" s="14" t="inlineStr">
        <is>
          <t>TC-SEC-043</t>
        </is>
      </c>
      <c r="B44" s="15" t="inlineStr">
        <is>
          <t>Bảo mật &amp; Yêu cầu phi chức năng</t>
        </is>
      </c>
      <c r="C44" s="15" t="inlineStr">
        <is>
          <t>XSS</t>
        </is>
      </c>
      <c r="D44" s="15" t="inlineStr">
        <is>
          <t>Bình luận chứa HTML/JS: không thực thi ở danh sách bình luận và thông báo</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4" s="15" t="inlineStr">
        <is>
          <t>1. POST /api/posts/seed-post-photo-m1-image/comments {content:"&lt;img src=x onerror=alert('xss')&gt;"}
2. member1: mở chuông thông báo (body "...đã bình luận: &lt;img ...") và trang bài
3. mod: mở hàng đợi kiểm duyệt sau khi member3 báo cáo bình luận này</t>
        </is>
      </c>
      <c r="K44" s="15" t="inlineStr">
        <is>
          <t>content = &lt;img src=x onerror=alert('xss')&gt;</t>
        </is>
      </c>
      <c r="L44" s="15" t="inlineStr">
        <is>
          <t>201; chỗ nào hiển thị bình luận (danh sách, thông báo post_commented, targetExcerpt trong hàng đợi kiểm duyệt) đều là chữ thô; không dialog alert; không có thẻ img thật.</t>
        </is>
      </c>
      <c r="M44" s="15" t="inlineStr"/>
      <c r="N44" s="18" t="inlineStr">
        <is>
          <t>Chưa test</t>
        </is>
      </c>
      <c r="O44" s="15" t="inlineStr"/>
      <c r="P44" s="15" t="inlineStr"/>
      <c r="Q44" s="18" t="inlineStr">
        <is>
          <t>Chưa test</t>
        </is>
      </c>
      <c r="R44" s="15" t="inlineStr"/>
    </row>
    <row r="45" ht="60" customHeight="1">
      <c r="A45" s="14" t="inlineStr">
        <is>
          <t>TC-SEC-044</t>
        </is>
      </c>
      <c r="B45" s="15" t="inlineStr">
        <is>
          <t>Bảo mật &amp; Yêu cầu phi chức năng</t>
        </is>
      </c>
      <c r="C45" s="15" t="inlineStr">
        <is>
          <t>XSS</t>
        </is>
      </c>
      <c r="D45" s="15" t="inlineStr">
        <is>
          <t>Tin nhắn trực tiếp: BE từ chối thẻ HTML (400) nhưng cho phép dấu &lt; &gt; thông thường</t>
        </is>
      </c>
      <c r="E45" s="15" t="inlineStr">
        <is>
          <t>Bảo mật</t>
        </is>
      </c>
      <c r="F45" s="16" t="inlineStr">
        <is>
          <t>Cao</t>
        </is>
      </c>
      <c r="G45" s="17" t="inlineStr">
        <is>
          <t>Đã hoàn thiện</t>
        </is>
      </c>
      <c r="H45" s="17" t="inlineStr">
        <is>
          <t>Có</t>
        </is>
      </c>
      <c r="I45" s="15" t="inlineStr">
        <is>
          <t>Đã chạy `npm run db:reset` (Postgres :5435 + seed), BE :4000, FE :5173. member1 đăng nhập; hội thoại seed-conv-member1-member2.</t>
        </is>
      </c>
      <c r="J45" s="15" t="inlineStr">
        <is>
          <t>1. POST /api/conversations/seed-conv-member1-member2/messages {content:"&lt;script&gt;alert(1)&lt;/script&gt;"}
2. {content:"&lt;b&gt;x&lt;/b&gt;"}
3. {content:"1 &lt; 2 &gt; 0"}
4. {content:"&lt;3 nhớ bạn"}</t>
        </is>
      </c>
      <c r="K45" s="15" t="inlineStr">
        <is>
          <t>-</t>
        </is>
      </c>
      <c r="L45" s="15" t="inlineStr">
        <is>
          <t>Hai lần đầu: 400 BAD_REQUEST "Tin nhắn không được chứa mã HTML"; hai lần sau: 201 (regex chỉ bắt thẻ `&lt;tên ...&gt;`); tin 201 hiển thị dạng chữ.</t>
        </is>
      </c>
      <c r="M45" s="15" t="inlineStr"/>
      <c r="N45" s="18" t="inlineStr">
        <is>
          <t>Chưa test</t>
        </is>
      </c>
      <c r="O45" s="15" t="inlineStr"/>
      <c r="P45" s="15" t="inlineStr"/>
      <c r="Q45" s="18" t="inlineStr">
        <is>
          <t>Chưa test</t>
        </is>
      </c>
      <c r="R45" s="15" t="inlineStr"/>
    </row>
    <row r="46" ht="45" customHeight="1">
      <c r="A46" s="14" t="inlineStr">
        <is>
          <t>TC-SEC-045</t>
        </is>
      </c>
      <c r="B46" s="15" t="inlineStr">
        <is>
          <t>Bảo mật &amp; Yêu cầu phi chức năng</t>
        </is>
      </c>
      <c r="C46" s="15" t="inlineStr">
        <is>
          <t>XSS</t>
        </is>
      </c>
      <c r="D46" s="15" t="inlineStr">
        <is>
          <t>Tên cộng đồng chứa HTML: hiển thị chữ thô ở danh sách, tiêu đề, hộp thoại xác nhận xóa và thông báo</t>
        </is>
      </c>
      <c r="E46" s="15" t="inlineStr">
        <is>
          <t>Bảo mật</t>
        </is>
      </c>
      <c r="F46" s="16" t="inlineStr">
        <is>
          <t>Cao</t>
        </is>
      </c>
      <c r="G46" s="17" t="inlineStr">
        <is>
          <t>Đã hoàn thiện</t>
        </is>
      </c>
      <c r="H46" s="17" t="inlineStr">
        <is>
          <t>Có</t>
        </is>
      </c>
      <c r="I46"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6"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6" s="15" t="inlineStr">
        <is>
          <t>title = &lt;svg onload=alert(1)&gt;</t>
        </is>
      </c>
      <c r="L46" s="15" t="inlineStr">
        <is>
          <t>201; slug tạo từ tên đã bỏ ký tự đặc biệt (dạng svg-onload-alert-1); mọi nơi hiển thị tên là chữ thô; hộp thoại xóa yêu cầu gõ đúng chuỗi ký tự; không dialog alert.</t>
        </is>
      </c>
      <c r="M46" s="15" t="inlineStr"/>
      <c r="N46" s="18" t="inlineStr">
        <is>
          <t>Chưa test</t>
        </is>
      </c>
      <c r="O46" s="15" t="inlineStr"/>
      <c r="P46" s="15" t="inlineStr"/>
      <c r="Q46" s="18" t="inlineStr">
        <is>
          <t>Chưa test</t>
        </is>
      </c>
      <c r="R46" s="15" t="inlineStr"/>
    </row>
    <row r="47" ht="45" customHeight="1">
      <c r="A47" s="14" t="inlineStr">
        <is>
          <t>TC-SEC-046</t>
        </is>
      </c>
      <c r="B47" s="15" t="inlineStr">
        <is>
          <t>Bảo mật &amp; Yêu cầu phi chức năng</t>
        </is>
      </c>
      <c r="C47" s="15" t="inlineStr">
        <is>
          <t>XSS</t>
        </is>
      </c>
      <c r="D47" s="15" t="inlineStr">
        <is>
          <t>Snippet tìm kiếm: server trả Segment {text, match}, FE render text node — chuỗi &lt;script&gt; không chạy</t>
        </is>
      </c>
      <c r="E47" s="15" t="inlineStr">
        <is>
          <t>Bảo mật</t>
        </is>
      </c>
      <c r="F47" s="16" t="inlineStr">
        <is>
          <t>Cao</t>
        </is>
      </c>
      <c r="G47" s="17" t="inlineStr">
        <is>
          <t>Đã hoàn thiện</t>
        </is>
      </c>
      <c r="H47" s="17" t="inlineStr">
        <is>
          <t>Có</t>
        </is>
      </c>
      <c r="I47"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7" s="15" t="inlineStr">
        <is>
          <t>1. GET /api/search?q=&lt;b&gt;x&lt;/b&gt;
2. Mở /search?q=%3Cb%3Ex%3C%2Fb%3E và ô tìm kiếm topbar (gợi ý)
3. Tìm q=&lt;script&gt;</t>
        </is>
      </c>
      <c r="K47" s="15" t="inlineStr">
        <is>
          <t>q = &lt;b&gt;x&lt;/b&gt;</t>
        </is>
      </c>
      <c r="L47" s="15" t="inlineStr">
        <is>
          <t>200; data[].snippet là mảng Segment {text, match} (không có HTML trong JSON); giao diện hiển thị chữ thô với đoạn khớp bôi đậm bằng &lt;mark&gt; do FE tạo; không có dialog; q &lt; 2 ký tự → 400 VALIDATION_ERROR.</t>
        </is>
      </c>
      <c r="M47" s="15" t="inlineStr"/>
      <c r="N47" s="18" t="inlineStr">
        <is>
          <t>Chưa test</t>
        </is>
      </c>
      <c r="O47" s="15" t="inlineStr"/>
      <c r="P47" s="15" t="inlineStr"/>
      <c r="Q47" s="18" t="inlineStr">
        <is>
          <t>Chưa test</t>
        </is>
      </c>
      <c r="R47" s="15" t="inlineStr"/>
    </row>
    <row r="48" ht="30" customHeight="1">
      <c r="A48" s="14" t="inlineStr">
        <is>
          <t>TC-SEC-047</t>
        </is>
      </c>
      <c r="B48" s="15" t="inlineStr">
        <is>
          <t>Bảo mật &amp; Yêu cầu phi chức năng</t>
        </is>
      </c>
      <c r="C48" s="15" t="inlineStr">
        <is>
          <t>XSS</t>
        </is>
      </c>
      <c r="D48" s="15" t="inlineStr">
        <is>
          <t>Thẻ (tag) và lựa chọn poll chứa HTML: hiển thị chữ thô</t>
        </is>
      </c>
      <c r="E48" s="15" t="inlineStr">
        <is>
          <t>Bảo mật</t>
        </is>
      </c>
      <c r="F48" s="20" t="inlineStr">
        <is>
          <t>Trung bình</t>
        </is>
      </c>
      <c r="G48" s="17" t="inlineStr">
        <is>
          <t>Đã hoàn thiện</t>
        </is>
      </c>
      <c r="H48" s="17" t="inlineStr">
        <is>
          <t>Có</t>
        </is>
      </c>
      <c r="I48"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8" s="15" t="inlineStr">
        <is>
          <t>1. POST /api/courses/photo/posts {content:'poll xss', tags:["#&lt;img src=x onerror=alert(1)&gt;"], poll:{options:["&lt;img src=x onerror=alert('xss')&gt;","B"]}}
2. Xem bài ở bảng tin, lọc theo thẻ, bình chọn</t>
        </is>
      </c>
      <c r="K48" s="15" t="inlineStr">
        <is>
          <t>tag ≤ 30 ký tự</t>
        </is>
      </c>
      <c r="L48" s="15" t="inlineStr">
        <is>
          <t>201; thẻ và lựa chọn poll là chữ thô; bộ lọc thẻ (`tag` query) hoạt động; không dialog. Thẻ &gt; 30 ký tự → 400 VALIDATION_ERROR.</t>
        </is>
      </c>
      <c r="M48" s="15" t="inlineStr"/>
      <c r="N48" s="18" t="inlineStr">
        <is>
          <t>Chưa test</t>
        </is>
      </c>
      <c r="O48" s="15" t="inlineStr"/>
      <c r="P48" s="15" t="inlineStr"/>
      <c r="Q48" s="18" t="inlineStr">
        <is>
          <t>Chưa test</t>
        </is>
      </c>
      <c r="R48" s="15" t="inlineStr"/>
    </row>
    <row r="49" ht="60" customHeight="1">
      <c r="A49" s="14" t="inlineStr">
        <is>
          <t>TC-SEC-048</t>
        </is>
      </c>
      <c r="B49" s="15" t="inlineStr">
        <is>
          <t>Bảo mật &amp; Yêu cầu phi chức năng</t>
        </is>
      </c>
      <c r="C49" s="15" t="inlineStr">
        <is>
          <t>XSS</t>
        </is>
      </c>
      <c r="D49" s="15" t="inlineStr">
        <is>
          <t>URL độc hại trong imageUrl của bài viết / avatar / website: schema từ chối với 400</t>
        </is>
      </c>
      <c r="E49" s="15" t="inlineStr">
        <is>
          <t>Bảo mật</t>
        </is>
      </c>
      <c r="F49" s="16" t="inlineStr">
        <is>
          <t>Cao</t>
        </is>
      </c>
      <c r="G49" s="17" t="inlineStr">
        <is>
          <t>Đã hoàn thiện</t>
        </is>
      </c>
      <c r="H49" s="17" t="inlineStr">
        <is>
          <t>Có</t>
        </is>
      </c>
      <c r="I49" s="15" t="inlineStr">
        <is>
          <t>Đã chạy `npm run db:reset` (Postgres :5435 + seed), BE :4000, FE :5173. member1 đăng nhập.</t>
        </is>
      </c>
      <c r="J49" s="15" t="inlineStr">
        <is>
          <t>1. POST /api/courses/photo/posts {content:'x', imageUrl:'javascript:alert(1)'}
2. PATCH /api/auth/me {avatarUrl:'javascript:alert(1)'}
3. PATCH /api/auth/me {website:'javascript:alert(1)'}
4. PATCH /api/auth/me {avatarUrl:'/files/../etc/passwd'}</t>
        </is>
      </c>
      <c r="K49" s="15" t="inlineStr">
        <is>
          <t>URL javascript:</t>
        </is>
      </c>
      <c r="L49"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9" s="15" t="inlineStr"/>
      <c r="N49" s="18" t="inlineStr">
        <is>
          <t>Chưa test</t>
        </is>
      </c>
      <c r="O49" s="15" t="inlineStr"/>
      <c r="P49" s="15" t="inlineStr"/>
      <c r="Q49" s="18" t="inlineStr">
        <is>
          <t>Chưa test</t>
        </is>
      </c>
      <c r="R49" s="15" t="inlineStr"/>
    </row>
    <row r="50" ht="45" customHeight="1">
      <c r="A50" s="14" t="inlineStr">
        <is>
          <t>TC-SEC-049</t>
        </is>
      </c>
      <c r="B50" s="15" t="inlineStr">
        <is>
          <t>Bảo mật &amp; Yêu cầu phi chức năng</t>
        </is>
      </c>
      <c r="C50" s="15" t="inlineStr">
        <is>
          <t>XSS</t>
        </is>
      </c>
      <c r="D50" s="15" t="inlineStr">
        <is>
          <t>Email hệ thống: tên người dùng được escape HTML trong thư đặt lại mật khẩu/xác thực email</t>
        </is>
      </c>
      <c r="E50" s="15" t="inlineStr">
        <is>
          <t>Bảo mật</t>
        </is>
      </c>
      <c r="F50" s="20" t="inlineStr">
        <is>
          <t>Trung bình</t>
        </is>
      </c>
      <c r="G50" s="17" t="inlineStr">
        <is>
          <t>Đã hoàn thiện</t>
        </is>
      </c>
      <c r="H50" s="17" t="inlineStr">
        <is>
          <t>Có</t>
        </is>
      </c>
      <c r="I50" s="15" t="inlineStr">
        <is>
          <t>Đã chạy `npm run db:reset` (Postgres :5435 + seed), BE :4000, FE :5173. Đăng ký user tên `&lt;b&gt;Evil&lt;/b&gt;`, email xss1@sofinhub.test.</t>
        </is>
      </c>
      <c r="J50" s="15" t="inlineStr">
        <is>
          <t>1. POST /api/auth/register {firstName:'&lt;b&gt;Evil&lt;/b&gt;', lastName:'X', email:'xss1@sofinhub.test', password:'Passw0rd!x'}
2. POST /api/auth/send-verification (Bearer) và POST /api/auth/forgot-password
3. GET /api/dev/outbox?to=xss1@sofinhub.test</t>
        </is>
      </c>
      <c r="K50" s="15" t="inlineStr">
        <is>
          <t>firstName = &lt;b&gt;Evil&lt;/b&gt;</t>
        </is>
      </c>
      <c r="L50" s="15" t="inlineStr">
        <is>
          <t>Trường html của thư chứa `&amp;lt;b&amp;gt;Evil&amp;lt;/b&amp;gt;` (đã escape), không chứa thẻ &lt;b&gt; thật; link có dạng {FRONTEND_URL}/verify-email?token=... hoặc /reset-password?token=...</t>
        </is>
      </c>
      <c r="M50" s="15" t="inlineStr"/>
      <c r="N50" s="18" t="inlineStr">
        <is>
          <t>Chưa test</t>
        </is>
      </c>
      <c r="O50" s="15" t="inlineStr"/>
      <c r="P50" s="15" t="inlineStr"/>
      <c r="Q50" s="18" t="inlineStr">
        <is>
          <t>Chưa test</t>
        </is>
      </c>
      <c r="R50" s="15" t="inlineStr"/>
    </row>
    <row r="51" ht="45" customHeight="1">
      <c r="A51" s="14" t="inlineStr">
        <is>
          <t>TC-SEC-050</t>
        </is>
      </c>
      <c r="B51" s="15" t="inlineStr">
        <is>
          <t>Bảo mật &amp; Yêu cầu phi chức năng</t>
        </is>
      </c>
      <c r="C51" s="15" t="inlineStr">
        <is>
          <t>Header bảo mật</t>
        </is>
      </c>
      <c r="D51" s="15" t="inlineStr">
        <is>
          <t>Phản hồi API có header helmet và không lộ X-Powered-By</t>
        </is>
      </c>
      <c r="E51" s="15" t="inlineStr">
        <is>
          <t>Bảo mật</t>
        </is>
      </c>
      <c r="F51" s="16" t="inlineStr">
        <is>
          <t>Cao</t>
        </is>
      </c>
      <c r="G51" s="17" t="inlineStr">
        <is>
          <t>Đã hoàn thiện</t>
        </is>
      </c>
      <c r="H51" s="17" t="inlineStr">
        <is>
          <t>Có</t>
        </is>
      </c>
      <c r="I51" s="15" t="inlineStr">
        <is>
          <t>BE chạy :4000.</t>
        </is>
      </c>
      <c r="J51" s="15" t="inlineStr">
        <is>
          <t>1. GET http://localhost:4000/api/courses
2. Đọc toàn bộ response headers
3. GET /health và GET /api/khong-co (404) cũng kiểm tra</t>
        </is>
      </c>
      <c r="K51" s="15" t="inlineStr">
        <is>
          <t>-</t>
        </is>
      </c>
      <c r="L51" s="15" t="inlineStr">
        <is>
          <t>Có X-Content-Type-Options: nosniff, Strict-Transport-Security, X-Frame-Options: SAMEORIGIN, Content-Security-Policy (mặc định helmet), Cross-Origin-Opener-Policy, Referrer-Policy: no-referrer; KHÔNG có X-Powered-By; header này có cả ở phản hồi lỗi 404.</t>
        </is>
      </c>
      <c r="M51" s="15" t="inlineStr"/>
      <c r="N51" s="18" t="inlineStr">
        <is>
          <t>Chưa test</t>
        </is>
      </c>
      <c r="O51" s="15" t="inlineStr"/>
      <c r="P51" s="15" t="inlineStr"/>
      <c r="Q51" s="18" t="inlineStr">
        <is>
          <t>Chưa test</t>
        </is>
      </c>
      <c r="R51" s="15" t="inlineStr"/>
    </row>
    <row r="52" ht="30" customHeight="1">
      <c r="A52" s="14" t="inlineStr">
        <is>
          <t>TC-SEC-051</t>
        </is>
      </c>
      <c r="B52" s="15" t="inlineStr">
        <is>
          <t>Bảo mật &amp; Yêu cầu phi chức năng</t>
        </is>
      </c>
      <c r="C52" s="15" t="inlineStr">
        <is>
          <t>Header bảo mật</t>
        </is>
      </c>
      <c r="D52" s="15" t="inlineStr">
        <is>
          <t>Phản hồi nén (compression) không làm mất header bảo mật; JSON có Content-Type chuẩn</t>
        </is>
      </c>
      <c r="E52" s="15" t="inlineStr">
        <is>
          <t>Bảo mật</t>
        </is>
      </c>
      <c r="F52" s="17" t="inlineStr">
        <is>
          <t>Thấp</t>
        </is>
      </c>
      <c r="G52" s="17" t="inlineStr">
        <is>
          <t>Đã hoàn thiện</t>
        </is>
      </c>
      <c r="H52" s="17" t="inlineStr">
        <is>
          <t>Có</t>
        </is>
      </c>
      <c r="I52" s="15" t="inlineStr">
        <is>
          <t>BE chạy :4000.</t>
        </is>
      </c>
      <c r="J52" s="15" t="inlineStr">
        <is>
          <t>1. GET /api/courses với Accept-Encoding: gzip
2. Kiểm Content-Encoding và Content-Type</t>
        </is>
      </c>
      <c r="K52" s="15" t="inlineStr">
        <is>
          <t>-</t>
        </is>
      </c>
      <c r="L52" s="15" t="inlineStr">
        <is>
          <t>Content-Type: application/json; charset=utf-8; body gzip khi đủ lớn; các header helmet vẫn có.</t>
        </is>
      </c>
      <c r="M52" s="15" t="inlineStr"/>
      <c r="N52" s="18" t="inlineStr">
        <is>
          <t>Chưa test</t>
        </is>
      </c>
      <c r="O52" s="15" t="inlineStr"/>
      <c r="P52" s="15" t="inlineStr"/>
      <c r="Q52" s="18" t="inlineStr">
        <is>
          <t>Chưa test</t>
        </is>
      </c>
      <c r="R52" s="15" t="inlineStr"/>
    </row>
    <row r="53" ht="45" customHeight="1">
      <c r="A53" s="14" t="inlineStr">
        <is>
          <t>TC-SEC-052</t>
        </is>
      </c>
      <c r="B53" s="15" t="inlineStr">
        <is>
          <t>Bảo mật &amp; Yêu cầu phi chức năng</t>
        </is>
      </c>
      <c r="C53" s="15" t="inlineStr">
        <is>
          <t>Header bảo mật</t>
        </is>
      </c>
      <c r="D53" s="15" t="inlineStr">
        <is>
          <t>Cookie refresh_token có HttpOnly, Path=/api/auth, SameSite=Lax (dev), Secure/None chỉ khi production</t>
        </is>
      </c>
      <c r="E53" s="15" t="inlineStr">
        <is>
          <t>Bảo mật</t>
        </is>
      </c>
      <c r="F53" s="16" t="inlineStr">
        <is>
          <t>Cao</t>
        </is>
      </c>
      <c r="G53" s="17" t="inlineStr">
        <is>
          <t>Đã hoàn thiện</t>
        </is>
      </c>
      <c r="H53" s="20" t="inlineStr">
        <is>
          <t>Một phần</t>
        </is>
      </c>
      <c r="I53" s="15" t="inlineStr">
        <is>
          <t>Đã chạy `npm run db:reset` (Postgres :5435 + seed), BE :4000, FE :5173. Đăng nhập member1 bằng request context để đọc Set-Cookie.</t>
        </is>
      </c>
      <c r="J53" s="15" t="inlineStr">
        <is>
          <t>1. POST /api/auth/login, đọc header Set-Cookie
2. Trong trình duyệt: page.evaluate(() =&gt; document.cookie)
3. POST /api/auth/logout rồi xem cookie bị xóa</t>
        </is>
      </c>
      <c r="K53" s="15" t="inlineStr">
        <is>
          <t>-</t>
        </is>
      </c>
      <c r="L53" s="15" t="inlineStr">
        <is>
          <t>Set-Cookie: refresh_token=...; Path=/api/auth; HttpOnly; SameSite=Lax; Max-Age=30 ngày (2592000). document.cookie không chứa refresh_token. Production: SameSite=None; Secure. Logout xóa cookie (clearCookie cùng path).</t>
        </is>
      </c>
      <c r="M53" s="15" t="inlineStr"/>
      <c r="N53" s="18" t="inlineStr">
        <is>
          <t>Chưa test</t>
        </is>
      </c>
      <c r="O53" s="15" t="inlineStr"/>
      <c r="P53" s="15" t="inlineStr"/>
      <c r="Q53" s="18" t="inlineStr">
        <is>
          <t>Chưa test</t>
        </is>
      </c>
      <c r="R53" s="15" t="inlineStr"/>
    </row>
    <row r="54" ht="45" customHeight="1">
      <c r="A54" s="14" t="inlineStr">
        <is>
          <t>TC-SEC-053</t>
        </is>
      </c>
      <c r="B54" s="15" t="inlineStr">
        <is>
          <t>Bảo mật &amp; Yêu cầu phi chức năng</t>
        </is>
      </c>
      <c r="C54" s="15" t="inlineStr">
        <is>
          <t>Header bảo mật</t>
        </is>
      </c>
      <c r="D54" s="15" t="inlineStr">
        <is>
          <t>CORS: chỉ origin được cấu hình nhận header Access-Control-Allow-Origin</t>
        </is>
      </c>
      <c r="E54" s="15" t="inlineStr">
        <is>
          <t>Bảo mật</t>
        </is>
      </c>
      <c r="F54" s="16" t="inlineStr">
        <is>
          <t>Cao</t>
        </is>
      </c>
      <c r="G54" s="17" t="inlineStr">
        <is>
          <t>Đã hoàn thiện</t>
        </is>
      </c>
      <c r="H54" s="17" t="inlineStr">
        <is>
          <t>Có</t>
        </is>
      </c>
      <c r="I54" s="15" t="inlineStr">
        <is>
          <t>CORS_ORIGIN mặc định http://localhost:5173.</t>
        </is>
      </c>
      <c r="J54" s="15" t="inlineStr">
        <is>
          <t>1. GET /api/courses với Origin: http://localhost:5173
2. GET /api/courses với Origin: http://evil.example
3. OPTIONS /api/auth/login với Origin evil + Access-Control-Request-Method: POST</t>
        </is>
      </c>
      <c r="K54" s="15" t="inlineStr">
        <is>
          <t>-</t>
        </is>
      </c>
      <c r="L54" s="15" t="inlineStr">
        <is>
          <t>Origin 5173: có Access-Control-Allow-Origin: http://localhost:5173 và Allow-Credentials: true, Vary: Origin; origin lạ: không có Allow-Origin (trình duyệt chặn đọc); preflight từ origin lạ không có Allow-Origin.</t>
        </is>
      </c>
      <c r="M54" s="15" t="inlineStr"/>
      <c r="N54" s="18" t="inlineStr">
        <is>
          <t>Chưa test</t>
        </is>
      </c>
      <c r="O54" s="15" t="inlineStr"/>
      <c r="P54" s="15" t="inlineStr"/>
      <c r="Q54" s="18" t="inlineStr">
        <is>
          <t>Chưa test</t>
        </is>
      </c>
      <c r="R54" s="15" t="inlineStr"/>
    </row>
    <row r="55" ht="30" customHeight="1">
      <c r="A55" s="14" t="inlineStr">
        <is>
          <t>TC-SEC-054</t>
        </is>
      </c>
      <c r="B55" s="15" t="inlineStr">
        <is>
          <t>Bảo mật &amp; Yêu cầu phi chức năng</t>
        </is>
      </c>
      <c r="C55" s="15" t="inlineStr">
        <is>
          <t>Header bảo mật</t>
        </is>
      </c>
      <c r="D55" s="15" t="inlineStr">
        <is>
          <t>CORS_ORIGIN nhiều giá trị ngăn cách bằng dấu phẩy, chuẩn hóa khoảng trắng</t>
        </is>
      </c>
      <c r="E55" s="15" t="inlineStr">
        <is>
          <t>Bảo mật</t>
        </is>
      </c>
      <c r="F55" s="20" t="inlineStr">
        <is>
          <t>Trung bình</t>
        </is>
      </c>
      <c r="G55" s="17" t="inlineStr">
        <is>
          <t>Đã hoàn thiện</t>
        </is>
      </c>
      <c r="H55" s="16" t="inlineStr">
        <is>
          <t>Không</t>
        </is>
      </c>
      <c r="I55" s="15" t="inlineStr">
        <is>
          <t>Có quyền sửa backend/.env.</t>
        </is>
      </c>
      <c r="J55" s="15" t="inlineStr">
        <is>
          <t>1. Đặt CORS_ORIGIN=http://localhost:5173, https://app.sofinhub.test rồi restart
2. GET /api/courses với từng Origin trong danh sách và một origin ngoài</t>
        </is>
      </c>
      <c r="K55" s="15" t="inlineStr">
        <is>
          <t>-</t>
        </is>
      </c>
      <c r="L55" s="15" t="inlineStr">
        <is>
          <t>Cả hai origin trong danh sách nhận Allow-Origin đúng bằng origin gửi lên (có khoảng trắng sau dấu phẩy vẫn khớp nhờ trim); origin ngoài danh sách không nhận.</t>
        </is>
      </c>
      <c r="M55" s="15" t="inlineStr"/>
      <c r="N55" s="18" t="inlineStr">
        <is>
          <t>Chưa test</t>
        </is>
      </c>
      <c r="O55" s="15" t="inlineStr"/>
      <c r="P55" s="15" t="inlineStr"/>
      <c r="Q55" s="18" t="inlineStr">
        <is>
          <t>Chưa test</t>
        </is>
      </c>
      <c r="R55" s="15" t="inlineStr"/>
    </row>
    <row r="56" ht="45" customHeight="1">
      <c r="A56" s="14" t="inlineStr">
        <is>
          <t>TC-SEC-055</t>
        </is>
      </c>
      <c r="B56" s="15" t="inlineStr">
        <is>
          <t>Bảo mật &amp; Yêu cầu phi chức năng</t>
        </is>
      </c>
      <c r="C56" s="15" t="inlineStr">
        <is>
          <t>Rate limit</t>
        </is>
      </c>
      <c r="D56" s="15" t="inlineStr">
        <is>
          <t>Giới hạn đăng nhập: từ lần đăng nhập SAI thứ 11 trong 15 phút từ một IP trả 429 TOO_MANY_REQUESTS</t>
        </is>
      </c>
      <c r="E56" s="15" t="inlineStr">
        <is>
          <t>Bảo mật</t>
        </is>
      </c>
      <c r="F56" s="16" t="inlineStr">
        <is>
          <t>Cao</t>
        </is>
      </c>
      <c r="G56" s="17" t="inlineStr">
        <is>
          <t>Đã hoàn thiện</t>
        </is>
      </c>
      <c r="H56" s="17" t="inlineStr">
        <is>
          <t>Có</t>
        </is>
      </c>
      <c r="I56"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6" s="15" t="inlineStr">
        <is>
          <t>1. Gửi 10 POST /api/auth/login với mật khẩu sai cho member1@sofinhub.test
2. Gửi lượt sai thứ 11 (và thử 1 lần đúng mật khẩu khi IP đã bị chặn)
3. Đọc header RateLimit-*</t>
        </is>
      </c>
      <c r="K56" s="15" t="inlineStr">
        <is>
          <t>email member1@sofinhub.test, password sai 'Sai!Mat1'</t>
        </is>
      </c>
      <c r="L56"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6" s="15" t="inlineStr"/>
      <c r="N56" s="18" t="inlineStr">
        <is>
          <t>Chưa test</t>
        </is>
      </c>
      <c r="O56" s="15" t="inlineStr"/>
      <c r="P56" s="15" t="inlineStr"/>
      <c r="Q56" s="18" t="inlineStr">
        <is>
          <t>Chưa test</t>
        </is>
      </c>
      <c r="R56" s="15" t="inlineStr"/>
    </row>
    <row r="57" ht="45" customHeight="1">
      <c r="A57" s="14" t="inlineStr">
        <is>
          <t>TC-SEC-056</t>
        </is>
      </c>
      <c r="B57" s="15" t="inlineStr">
        <is>
          <t>Bảo mật &amp; Yêu cầu phi chức năng</t>
        </is>
      </c>
      <c r="C57" s="15" t="inlineStr">
        <is>
          <t>Rate limit</t>
        </is>
      </c>
      <c r="D57" s="15" t="inlineStr">
        <is>
          <t>Giới hạn quên mật khẩu: lượt thứ 6 trong 15 phút bị 429, phản hồi không lộ email có tồn tại hay không</t>
        </is>
      </c>
      <c r="E57" s="15" t="inlineStr">
        <is>
          <t>Bảo mật</t>
        </is>
      </c>
      <c r="F57" s="16" t="inlineStr">
        <is>
          <t>Cao</t>
        </is>
      </c>
      <c r="G57" s="17" t="inlineStr">
        <is>
          <t>Đã hoàn thiện</t>
        </is>
      </c>
      <c r="H57" s="17" t="inlineStr">
        <is>
          <t>Có</t>
        </is>
      </c>
      <c r="I57" s="15" t="inlineStr">
        <is>
          <t>BE chạy dev (ngưỡng 5 lượt / 15 phút / IP).</t>
        </is>
      </c>
      <c r="J57" s="15" t="inlineStr">
        <is>
          <t>1. POST /api/auth/forgot-password với email tồn tại (member2@sofinhub.test)
2. POST với email không tồn tại (khong-co@sofinhub.test)
3. Gửi thêm cho đủ 6 lượt</t>
        </is>
      </c>
      <c r="K57" s="15" t="inlineStr">
        <is>
          <t>-</t>
        </is>
      </c>
      <c r="L57" s="15" t="inlineStr">
        <is>
          <t>Lượt 1-2 trả cùng một thông điệp chung (không phân biệt email có hay không); lượt 6: 429 TOO_MANY_REQUESTS "Bạn yêu cầu quá nhiều lần, vui lòng thử lại sau ít phút".</t>
        </is>
      </c>
      <c r="M57" s="15" t="inlineStr"/>
      <c r="N57" s="18" t="inlineStr">
        <is>
          <t>Chưa test</t>
        </is>
      </c>
      <c r="O57" s="15" t="inlineStr"/>
      <c r="P57" s="15" t="inlineStr"/>
      <c r="Q57" s="18" t="inlineStr">
        <is>
          <t>Chưa test</t>
        </is>
      </c>
      <c r="R57" s="15" t="inlineStr"/>
    </row>
    <row r="58" ht="30" customHeight="1">
      <c r="A58" s="14" t="inlineStr">
        <is>
          <t>TC-SEC-057</t>
        </is>
      </c>
      <c r="B58" s="15" t="inlineStr">
        <is>
          <t>Bảo mật &amp; Yêu cầu phi chức năng</t>
        </is>
      </c>
      <c r="C58" s="15" t="inlineStr">
        <is>
          <t>Rate limit</t>
        </is>
      </c>
      <c r="D58" s="15" t="inlineStr">
        <is>
          <t>Không có rate limit toàn cục cho API: 100 request liên tiếp vào /api/courses vẫn 200</t>
        </is>
      </c>
      <c r="E58" s="15" t="inlineStr">
        <is>
          <t>Hiệu năng</t>
        </is>
      </c>
      <c r="F58" s="20" t="inlineStr">
        <is>
          <t>Trung bình</t>
        </is>
      </c>
      <c r="G58" s="20" t="inlineStr">
        <is>
          <t>Kế hoạch</t>
        </is>
      </c>
      <c r="H58" s="17" t="inlineStr">
        <is>
          <t>Có</t>
        </is>
      </c>
      <c r="I58" s="15" t="inlineStr">
        <is>
          <t>Chưa làm: rate limit toàn cục / theo IP cho mọi route (chỉ có limiter riêng cho login, forgot-password, contact, newsletter, tìm kiếm, tin nhắn).</t>
        </is>
      </c>
      <c r="J58" s="15" t="inlineStr">
        <is>
          <t>1. Gửi 100 GET /api/courses trong 10 giây từ một IP
2. Đếm số phản hồi 429</t>
        </is>
      </c>
      <c r="K58" s="15" t="inlineStr">
        <is>
          <t>-</t>
        </is>
      </c>
      <c r="L58" s="15" t="inlineStr">
        <is>
          <t>Hiện tại: 0 phản hồi 429 (chưa có giới hạn toàn cục). Khi làm xong: vượt ngưỡng cấu hình trả 429 TOO_MANY_REQUESTS kèm header Retry-After/RateLimit-*; API.md đã ghi thiếu 'Retry-After cho 429'.</t>
        </is>
      </c>
      <c r="M58" s="15" t="inlineStr"/>
      <c r="N58" s="18" t="inlineStr">
        <is>
          <t>Chưa test</t>
        </is>
      </c>
      <c r="O58" s="15" t="inlineStr"/>
      <c r="P58" s="15" t="inlineStr"/>
      <c r="Q58" s="18" t="inlineStr">
        <is>
          <t>Chưa test</t>
        </is>
      </c>
      <c r="R58" s="15" t="inlineStr"/>
    </row>
    <row r="59" ht="75" customHeight="1">
      <c r="A59" s="14" t="inlineStr">
        <is>
          <t>TC-SEC-058</t>
        </is>
      </c>
      <c r="B59" s="15" t="inlineStr">
        <is>
          <t>Bảo mật &amp; Yêu cầu phi chức năng</t>
        </is>
      </c>
      <c r="C59" s="15" t="inlineStr">
        <is>
          <t>Định dạng lỗi</t>
        </is>
      </c>
      <c r="D59" s="15" t="inlineStr">
        <is>
          <t>Mọi lỗi có dạng {error:{code,message}}: 400, 401, 403, 404, 409 không thiếu trường</t>
        </is>
      </c>
      <c r="E59" s="15" t="inlineStr">
        <is>
          <t>Chức năng</t>
        </is>
      </c>
      <c r="F59" s="16" t="inlineStr">
        <is>
          <t>Cao</t>
        </is>
      </c>
      <c r="G59" s="17" t="inlineStr">
        <is>
          <t>Đã hoàn thiện</t>
        </is>
      </c>
      <c r="H59" s="17" t="inlineStr">
        <is>
          <t>Có</t>
        </is>
      </c>
      <c r="I59" s="15" t="inlineStr">
        <is>
          <t>Đã chạy `npm run db:reset` (Postgres :5435 + seed), BE :4000, FE :5173. member1 đăng nhập.</t>
        </is>
      </c>
      <c r="J59" s="15" t="inlineStr">
        <is>
          <t>1. 400: POST /api/auth/login {} 
2. 401: GET /api/auth/me không token
3. 403: GET /api/courses/photo/reports (member1)
4. 404: GET /api/posts/khong-co
5. 409: POST /api/auth/register với email đã có</t>
        </is>
      </c>
      <c r="K59" s="15" t="inlineStr">
        <is>
          <t>-</t>
        </is>
      </c>
      <c r="L59" s="15" t="inlineStr">
        <is>
          <t>Mỗi phản hồi: JSON {error:{code,message[,details]}} với code lần lượt VALIDATION_ERROR (details là flatten của zod), UNAUTHORIZED, FORBIDDEN, NOT_FOUND, CONFLICT; message tiếng Việt; không có trường stack/trace/path hay tên file.</t>
        </is>
      </c>
      <c r="M59" s="15" t="inlineStr"/>
      <c r="N59" s="18" t="inlineStr">
        <is>
          <t>Chưa test</t>
        </is>
      </c>
      <c r="O59" s="15" t="inlineStr"/>
      <c r="P59" s="15" t="inlineStr"/>
      <c r="Q59" s="18" t="inlineStr">
        <is>
          <t>Chưa test</t>
        </is>
      </c>
      <c r="R59" s="15" t="inlineStr"/>
    </row>
    <row r="60" ht="60" customHeight="1">
      <c r="A60" s="14" t="inlineStr">
        <is>
          <t>TC-SEC-059</t>
        </is>
      </c>
      <c r="B60" s="15" t="inlineStr">
        <is>
          <t>Bảo mật &amp; Yêu cầu phi chức năng</t>
        </is>
      </c>
      <c r="C60" s="15" t="inlineStr">
        <is>
          <t>Định dạng lỗi</t>
        </is>
      </c>
      <c r="D60" s="15" t="inlineStr">
        <is>
          <t>Route lạ trả 404 NOT_FOUND kèm method và đường dẫn</t>
        </is>
      </c>
      <c r="E60" s="15" t="inlineStr">
        <is>
          <t>Chức năng</t>
        </is>
      </c>
      <c r="F60" s="20" t="inlineStr">
        <is>
          <t>Trung bình</t>
        </is>
      </c>
      <c r="G60" s="17" t="inlineStr">
        <is>
          <t>Đã hoàn thiện</t>
        </is>
      </c>
      <c r="H60" s="17" t="inlineStr">
        <is>
          <t>Có</t>
        </is>
      </c>
      <c r="I60" s="15" t="inlineStr">
        <is>
          <t>BE chạy.</t>
        </is>
      </c>
      <c r="J60" s="15" t="inlineStr">
        <is>
          <t>1. GET /api/khong-ton-tai
2. POST /khong-ton-tai (ngoài /api)
3. DELETE /api/courses (method không có)
4. GET /api/courses/photo/khong-co</t>
        </is>
      </c>
      <c r="K60" s="15" t="inlineStr">
        <is>
          <t>-</t>
        </is>
      </c>
      <c r="L60" s="15" t="inlineStr">
        <is>
          <t>Cả 4: 404 với {error:{code:"NOT_FOUND", message:"Không tìm thấy &lt;METHOD&gt; &lt;path&gt;"}} (vd. "Không tìm thấy GET /api/khong-ton-tai"); không trả HTML mặc định của Express.</t>
        </is>
      </c>
      <c r="M60" s="15" t="inlineStr"/>
      <c r="N60" s="18" t="inlineStr">
        <is>
          <t>Chưa test</t>
        </is>
      </c>
      <c r="O60" s="15" t="inlineStr"/>
      <c r="P60" s="15" t="inlineStr"/>
      <c r="Q60" s="18" t="inlineStr">
        <is>
          <t>Chưa test</t>
        </is>
      </c>
      <c r="R60" s="15" t="inlineStr"/>
    </row>
    <row r="61" ht="30" customHeight="1">
      <c r="A61" s="14" t="inlineStr">
        <is>
          <t>TC-SEC-060</t>
        </is>
      </c>
      <c r="B61" s="15" t="inlineStr">
        <is>
          <t>Bảo mật &amp; Yêu cầu phi chức năng</t>
        </is>
      </c>
      <c r="C61" s="15" t="inlineStr">
        <is>
          <t>Định dạng lỗi</t>
        </is>
      </c>
      <c r="D61" s="15" t="inlineStr">
        <is>
          <t>JSON sai cú pháp trong body trả 400 BAD_REQUEST (đã sửa, trước đây 500)</t>
        </is>
      </c>
      <c r="E61" s="15" t="inlineStr">
        <is>
          <t>Bảo mật</t>
        </is>
      </c>
      <c r="F61" s="16" t="inlineStr">
        <is>
          <t>Cao</t>
        </is>
      </c>
      <c r="G61" s="17" t="inlineStr">
        <is>
          <t>Đã hoàn thiện</t>
        </is>
      </c>
      <c r="H61" s="17" t="inlineStr">
        <is>
          <t>Có</t>
        </is>
      </c>
      <c r="I61" s="15" t="inlineStr">
        <is>
          <t>BE chạy dev. errorHandler nay map lỗi parse của express.json (SyntaxError) thành 400 BAD_REQUEST.</t>
        </is>
      </c>
      <c r="J61" s="15" t="inlineStr">
        <is>
          <t>1. POST /api/auth/login với Content-Type: application/json, body `{"email": "a@b.c", `
2. Kiểm status, error.code, error.message, có lộ đường dẫn file/stack không</t>
        </is>
      </c>
      <c r="K61" s="15" t="inlineStr">
        <is>
          <t>body JSON cụt</t>
        </is>
      </c>
      <c r="L61" s="15" t="inlineStr">
        <is>
          <t>400 với {error:{code:"BAD_REQUEST", message:"Nội dung gửi lên không phải JSON hợp lệ"}} (không còn 500 INTERNAL_ERROR; lỗi này đã được sửa). Body không chứa stack trace hay đường dẫn file.</t>
        </is>
      </c>
      <c r="M61" s="15" t="inlineStr"/>
      <c r="N61" s="18" t="inlineStr">
        <is>
          <t>Chưa test</t>
        </is>
      </c>
      <c r="O61" s="15" t="inlineStr"/>
      <c r="P61" s="15" t="inlineStr"/>
      <c r="Q61" s="18" t="inlineStr">
        <is>
          <t>Chưa test</t>
        </is>
      </c>
      <c r="R61" s="15" t="inlineStr"/>
    </row>
    <row r="62" ht="45" customHeight="1">
      <c r="A62" s="14" t="inlineStr">
        <is>
          <t>TC-SEC-061</t>
        </is>
      </c>
      <c r="B62" s="15" t="inlineStr">
        <is>
          <t>Bảo mật &amp; Yêu cầu phi chức năng</t>
        </is>
      </c>
      <c r="C62" s="15" t="inlineStr">
        <is>
          <t>Định dạng lỗi</t>
        </is>
      </c>
      <c r="D62" s="15" t="inlineStr">
        <is>
          <t>Payload lớn hơn 1MB trả 413 PAYLOAD_TOO_LARGE (đã sửa, trước đây 500)</t>
        </is>
      </c>
      <c r="E62" s="15" t="inlineStr">
        <is>
          <t>Bảo mật</t>
        </is>
      </c>
      <c r="F62" s="16" t="inlineStr">
        <is>
          <t>Cao</t>
        </is>
      </c>
      <c r="G62" s="17" t="inlineStr">
        <is>
          <t>Đã hoàn thiện</t>
        </is>
      </c>
      <c r="H62" s="17" t="inlineStr">
        <is>
          <t>Có</t>
        </is>
      </c>
      <c r="I62" s="15" t="inlineStr">
        <is>
          <t>express.json({limit:'1mb'}); errorHandler nay map PayloadTooLargeError thành 413.</t>
        </is>
      </c>
      <c r="J62" s="15" t="inlineStr">
        <is>
          <t>1. POST /api/courses/photo/posts (member1) với body JSON dài ~1.2MB (content 'a' × 1.2 triệu)
2. Kiểm status và body
3. Sau đó gọi GET /health để chắc BE còn sống</t>
        </is>
      </c>
      <c r="K62" s="15" t="inlineStr">
        <is>
          <t>content 1.2MB</t>
        </is>
      </c>
      <c r="L62"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62" s="15" t="inlineStr"/>
      <c r="N62" s="18" t="inlineStr">
        <is>
          <t>Chưa test</t>
        </is>
      </c>
      <c r="O62" s="15" t="inlineStr"/>
      <c r="P62" s="15" t="inlineStr"/>
      <c r="Q62" s="18" t="inlineStr">
        <is>
          <t>Chưa test</t>
        </is>
      </c>
      <c r="R62" s="15" t="inlineStr"/>
    </row>
    <row r="63" ht="45" customHeight="1">
      <c r="A63" s="14" t="inlineStr">
        <is>
          <t>TC-SEC-062</t>
        </is>
      </c>
      <c r="B63" s="15" t="inlineStr">
        <is>
          <t>Bảo mật &amp; Yêu cầu phi chức năng</t>
        </is>
      </c>
      <c r="C63" s="15" t="inlineStr">
        <is>
          <t>Định dạng lỗi</t>
        </is>
      </c>
      <c r="D63" s="15" t="inlineStr">
        <is>
          <t>Content-Type không phải JSON hoặc body rỗng: validate trả 400 VALIDATION_ERROR</t>
        </is>
      </c>
      <c r="E63" s="15" t="inlineStr">
        <is>
          <t>Chức năng</t>
        </is>
      </c>
      <c r="F63" s="20" t="inlineStr">
        <is>
          <t>Trung bình</t>
        </is>
      </c>
      <c r="G63" s="17" t="inlineStr">
        <is>
          <t>Đã hoàn thiện</t>
        </is>
      </c>
      <c r="H63" s="17" t="inlineStr">
        <is>
          <t>Có</t>
        </is>
      </c>
      <c r="I63" s="15" t="inlineStr">
        <is>
          <t>BE chạy.</t>
        </is>
      </c>
      <c r="J63" s="15" t="inlineStr">
        <is>
          <t>1. POST /api/auth/register với Content-Type: text/plain, body `firstName=A`
2. POST /api/auth/register không body
3. POST /api/auth/register body `[]`</t>
        </is>
      </c>
      <c r="K63" s="15" t="inlineStr">
        <is>
          <t>-</t>
        </is>
      </c>
      <c r="L63" s="15" t="inlineStr">
        <is>
          <t>Cả 3: 400 VALIDATION_ERROR "Tham số không hợp lệ" (req.body không phải object hợp lệ); không 500, không tạo user.</t>
        </is>
      </c>
      <c r="M63" s="15" t="inlineStr"/>
      <c r="N63" s="18" t="inlineStr">
        <is>
          <t>Chưa test</t>
        </is>
      </c>
      <c r="O63" s="15" t="inlineStr"/>
      <c r="P63" s="15" t="inlineStr"/>
      <c r="Q63" s="18" t="inlineStr">
        <is>
          <t>Chưa test</t>
        </is>
      </c>
      <c r="R63" s="15" t="inlineStr"/>
    </row>
    <row r="64" ht="45" customHeight="1">
      <c r="A64" s="14" t="inlineStr">
        <is>
          <t>TC-SEC-063</t>
        </is>
      </c>
      <c r="B64" s="15" t="inlineStr">
        <is>
          <t>Bảo mật &amp; Yêu cầu phi chức năng</t>
        </is>
      </c>
      <c r="C64" s="15" t="inlineStr">
        <is>
          <t>Định dạng lỗi</t>
        </is>
      </c>
      <c r="D64" s="15" t="inlineStr">
        <is>
          <t>Lỗi 500 không lộ stack trace hay chi tiết nội bộ ở production</t>
        </is>
      </c>
      <c r="E64" s="15" t="inlineStr">
        <is>
          <t>Bảo mật</t>
        </is>
      </c>
      <c r="F64" s="16" t="inlineStr">
        <is>
          <t>Cao</t>
        </is>
      </c>
      <c r="G64" s="17" t="inlineStr">
        <is>
          <t>Đã hoàn thiện</t>
        </is>
      </c>
      <c r="H64" s="16" t="inlineStr">
        <is>
          <t>Không</t>
        </is>
      </c>
      <c r="I64" s="15" t="inlineStr">
        <is>
          <t>Chạy BE với NODE_ENV=production (JWT secret riêng) và tạo lỗi nội bộ (vd. dừng Postgres rồi gọi API).</t>
        </is>
      </c>
      <c r="J64" s="15" t="inlineStr">
        <is>
          <t>1. GET /api/courses/photo khi Postgres dừng
2. Đọc body và header phản hồi
3. Đối chiếu log console phía server</t>
        </is>
      </c>
      <c r="K64" s="15" t="inlineStr">
        <is>
          <t>-</t>
        </is>
      </c>
      <c r="L64" s="15" t="inlineStr">
        <is>
          <t>Body đúng {error:{code:"INTERNAL_ERROR", message:"Lỗi hệ thống"}}; không có stack, tên bảng, chuỗi kết nối hay mật khẩu DB; chi tiết lỗi chỉ ở log server. (Ở dev message là thông điệp lỗi thật.)</t>
        </is>
      </c>
      <c r="M64" s="15" t="inlineStr"/>
      <c r="N64" s="18" t="inlineStr">
        <is>
          <t>Chưa test</t>
        </is>
      </c>
      <c r="O64" s="15" t="inlineStr"/>
      <c r="P64" s="15" t="inlineStr"/>
      <c r="Q64" s="18" t="inlineStr">
        <is>
          <t>Chưa test</t>
        </is>
      </c>
      <c r="R64" s="15" t="inlineStr"/>
    </row>
    <row r="65" ht="75" customHeight="1">
      <c r="A65" s="14" t="inlineStr">
        <is>
          <t>TC-SEC-064</t>
        </is>
      </c>
      <c r="B65" s="15" t="inlineStr">
        <is>
          <t>Bảo mật &amp; Yêu cầu phi chức năng</t>
        </is>
      </c>
      <c r="C65" s="15" t="inlineStr">
        <is>
          <t>SQL injection</t>
        </is>
      </c>
      <c r="D65" s="15" t="inlineStr">
        <is>
          <t>Chuỗi SQL injection trong tham số truy vấn và path không gây lỗi hay lộ dữ liệu (Prisma tham số hóa)</t>
        </is>
      </c>
      <c r="E65" s="15" t="inlineStr">
        <is>
          <t>Bảo mật</t>
        </is>
      </c>
      <c r="F65" s="16" t="inlineStr">
        <is>
          <t>Cao</t>
        </is>
      </c>
      <c r="G65" s="17" t="inlineStr">
        <is>
          <t>Đã hoàn thiện</t>
        </is>
      </c>
      <c r="H65" s="17" t="inlineStr">
        <is>
          <t>Có</t>
        </is>
      </c>
      <c r="I65" s="15" t="inlineStr">
        <is>
          <t>Đã chạy `npm run db:reset` (Postgres :5435 + seed), BE :4000, FE :5173. member1 đăng nhập.</t>
        </is>
      </c>
      <c r="J65" s="15" t="inlineStr">
        <is>
          <t>1. GET /api/search?q=' OR 1=1 --
2. GET /api/courses/photo'%20OR%20'1'='1
3. GET /api/courses/photo/posts?tag='; DROP TABLE "User";--
4. GET /api/courses?q=' UNION SELECT * FROM "User" --
5. Sau đó đăng nhập lại member1 và GET /api/courses</t>
        </is>
      </c>
      <c r="K65" s="15" t="inlineStr">
        <is>
          <t>các payload SQLi kinh điển</t>
        </is>
      </c>
      <c r="L65" s="15" t="inlineStr">
        <is>
          <t>Không lỗi 500: search 200 với danh sách rỗng/khớp chuỗi thô; id lạ 404 NOT_FOUND; tag hợp lệ 200 rỗng; bảng User còn nguyên (đăng nhập lại thành công); không có dữ liệu người dùng trong kết quả.</t>
        </is>
      </c>
      <c r="M65" s="15" t="inlineStr"/>
      <c r="N65" s="18" t="inlineStr">
        <is>
          <t>Chưa test</t>
        </is>
      </c>
      <c r="O65" s="15" t="inlineStr"/>
      <c r="P65" s="15" t="inlineStr"/>
      <c r="Q65" s="18" t="inlineStr">
        <is>
          <t>Chưa test</t>
        </is>
      </c>
      <c r="R65" s="15" t="inlineStr"/>
    </row>
    <row r="66" ht="45" customHeight="1">
      <c r="A66" s="14" t="inlineStr">
        <is>
          <t>TC-SEC-065</t>
        </is>
      </c>
      <c r="B66" s="15" t="inlineStr">
        <is>
          <t>Bảo mật &amp; Yêu cầu phi chức năng</t>
        </is>
      </c>
      <c r="C66" s="15" t="inlineStr">
        <is>
          <t>SQL injection</t>
        </is>
      </c>
      <c r="D66" s="15" t="inlineStr">
        <is>
          <t>SQL injection qua body đăng nhập/đăng ký bị chặn ở validate hoặc so khớp tham số hóa</t>
        </is>
      </c>
      <c r="E66" s="15" t="inlineStr">
        <is>
          <t>Bảo mật</t>
        </is>
      </c>
      <c r="F66" s="16" t="inlineStr">
        <is>
          <t>Cao</t>
        </is>
      </c>
      <c r="G66" s="17" t="inlineStr">
        <is>
          <t>Đã hoàn thiện</t>
        </is>
      </c>
      <c r="H66" s="17" t="inlineStr">
        <is>
          <t>Có</t>
        </is>
      </c>
      <c r="I66" s="15" t="inlineStr">
        <is>
          <t>Đã chạy `npm run db:reset` (Postgres :5435 + seed), BE :4000, FE :5173. Không cần token.</t>
        </is>
      </c>
      <c r="J66" s="15" t="inlineStr">
        <is>
          <t>1. POST /api/auth/login {email:"member1@sofinhub.test' OR '1'='1", password:"x"}
2. POST /api/auth/login {email:"member1@sofinhub.test", password:"' OR '1'='1"}
3. POST /api/auth/register {firstName:"Robert'); DROP TABLE \"User\";--", lastName:"T", email:"sqli@sofinhub.test", password:"Passw0rd!x"}</t>
        </is>
      </c>
      <c r="K66" s="15" t="inlineStr">
        <is>
          <t>-</t>
        </is>
      </c>
      <c r="L66" s="15" t="inlineStr">
        <is>
          <t>Lần 1: 400 VALIDATION_ERROR ("Email không hợp lệ"); lần 2: 401 UNAUTHORIZED "Email hoặc mật khẩu không đúng" (không đăng nhập được); lần 3: 200 và tên lưu nguyên văn; bảng User vẫn còn.</t>
        </is>
      </c>
      <c r="M66" s="15" t="inlineStr"/>
      <c r="N66" s="18" t="inlineStr">
        <is>
          <t>Chưa test</t>
        </is>
      </c>
      <c r="O66" s="15" t="inlineStr"/>
      <c r="P66" s="15" t="inlineStr"/>
      <c r="Q66" s="18" t="inlineStr">
        <is>
          <t>Chưa test</t>
        </is>
      </c>
      <c r="R66" s="15" t="inlineStr"/>
    </row>
    <row r="67" ht="75" customHeight="1">
      <c r="A67" s="14" t="inlineStr">
        <is>
          <t>TC-SEC-066</t>
        </is>
      </c>
      <c r="B67" s="15" t="inlineStr">
        <is>
          <t>Bảo mật &amp; Yêu cầu phi chức năng</t>
        </is>
      </c>
      <c r="C67" s="15" t="inlineStr">
        <is>
          <t>SQL injection</t>
        </is>
      </c>
      <c r="D67" s="15" t="inlineStr">
        <is>
          <t>Tham số phân trang/lọc sai kiểu bị 400 thay vì lỗi DB</t>
        </is>
      </c>
      <c r="E67" s="15" t="inlineStr">
        <is>
          <t>Bảo mật</t>
        </is>
      </c>
      <c r="F67" s="20" t="inlineStr">
        <is>
          <t>Trung bình</t>
        </is>
      </c>
      <c r="G67" s="17" t="inlineStr">
        <is>
          <t>Đã hoàn thiện</t>
        </is>
      </c>
      <c r="H67" s="17" t="inlineStr">
        <is>
          <t>Có</t>
        </is>
      </c>
      <c r="I67" s="15" t="inlineStr">
        <is>
          <t>Đã chạy `npm run db:reset` (Postgres :5435 + seed), BE :4000, FE :5173. member1 đăng nhập.</t>
        </is>
      </c>
      <c r="J67" s="15" t="inlineStr">
        <is>
          <t>1. GET /api/courses/photo/posts?page=abc
2. GET /api/courses/photo/posts?limit=-1
3. GET /api/courses/photo/posts?limit=1;DROP
4. GET /api/courses/photo/posts?sort=latest'--
5. GET /api/notifications?page=0</t>
        </is>
      </c>
      <c r="K67" s="15" t="inlineStr">
        <is>
          <t>-</t>
        </is>
      </c>
      <c r="L67" s="15" t="inlineStr">
        <is>
          <t>Cả 5: 400 VALIDATION_ERROR "Tham số không hợp lệ" với details chỉ rõ trường; không 500.</t>
        </is>
      </c>
      <c r="M67" s="15" t="inlineStr"/>
      <c r="N67" s="18" t="inlineStr">
        <is>
          <t>Chưa test</t>
        </is>
      </c>
      <c r="O67" s="15" t="inlineStr"/>
      <c r="P67" s="15" t="inlineStr"/>
      <c r="Q67" s="18" t="inlineStr">
        <is>
          <t>Chưa test</t>
        </is>
      </c>
      <c r="R67" s="15" t="inlineStr"/>
    </row>
    <row r="68" ht="75" customHeight="1">
      <c r="A68" s="14" t="inlineStr">
        <is>
          <t>TC-SEC-067</t>
        </is>
      </c>
      <c r="B68" s="15" t="inlineStr">
        <is>
          <t>Bảo mật &amp; Yêu cầu phi chức năng</t>
        </is>
      </c>
      <c r="C68" s="15" t="inlineStr">
        <is>
          <t>Dữ liệu nhạy cảm</t>
        </is>
      </c>
      <c r="D68" s="15" t="inlineStr">
        <is>
          <t>Response người dùng không chứa passwordHash, tokenVersion, isDemo, email của người khác</t>
        </is>
      </c>
      <c r="E68" s="15" t="inlineStr">
        <is>
          <t>Bảo mật</t>
        </is>
      </c>
      <c r="F68" s="16" t="inlineStr">
        <is>
          <t>Cao</t>
        </is>
      </c>
      <c r="G68" s="17" t="inlineStr">
        <is>
          <t>Đã hoàn thiện</t>
        </is>
      </c>
      <c r="H68" s="17" t="inlineStr">
        <is>
          <t>Có</t>
        </is>
      </c>
      <c r="I68" s="15" t="inlineStr">
        <is>
          <t>Đã chạy `npm run db:reset` (Postgres :5435 + seed), BE :4000, FE :5173. member1 đăng nhập.</t>
        </is>
      </c>
      <c r="J68" s="15" t="inlineStr">
        <is>
          <t>1. GET /api/auth/me
2. GET /api/users/&lt;id member2&gt;
3. GET /api/courses/photo/members
4. GET /api/courses/photo/members/&lt;id member2&gt;
5. Tìm chuỗi passwordHash|tokenVersion|isDemo|email trong từng body</t>
        </is>
      </c>
      <c r="K68" s="15" t="inlineStr">
        <is>
          <t>-</t>
        </is>
      </c>
      <c r="L68" s="15" t="inlineStr">
        <is>
          <t>/auth/me có email của CHÍNH member1 nhưng không có passwordHash/tokenVersion/isDemo; hồ sơ công khai và danh sách thành viên KHÔNG có email hay trường nội bộ; không lộ mã phiên của người khác.</t>
        </is>
      </c>
      <c r="M68" s="15" t="inlineStr"/>
      <c r="N68" s="18" t="inlineStr">
        <is>
          <t>Chưa test</t>
        </is>
      </c>
      <c r="O68" s="15" t="inlineStr"/>
      <c r="P68" s="15" t="inlineStr"/>
      <c r="Q68" s="18" t="inlineStr">
        <is>
          <t>Chưa test</t>
        </is>
      </c>
      <c r="R68" s="15" t="inlineStr"/>
    </row>
    <row r="69" ht="45" customHeight="1">
      <c r="A69" s="14" t="inlineStr">
        <is>
          <t>TC-SEC-068</t>
        </is>
      </c>
      <c r="B69" s="15" t="inlineStr">
        <is>
          <t>Bảo mật &amp; Yêu cầu phi chức năng</t>
        </is>
      </c>
      <c r="C69" s="15" t="inlineStr">
        <is>
          <t>Dữ liệu nhạy cảm</t>
        </is>
      </c>
      <c r="D69" s="15" t="inlineStr">
        <is>
          <t>Mật khẩu và token không xuất hiện trong URL, log phản hồi hay thông báo lỗi</t>
        </is>
      </c>
      <c r="E69" s="15" t="inlineStr">
        <is>
          <t>Bảo mật</t>
        </is>
      </c>
      <c r="F69" s="20" t="inlineStr">
        <is>
          <t>Trung bình</t>
        </is>
      </c>
      <c r="G69" s="17" t="inlineStr">
        <is>
          <t>Đã hoàn thiện</t>
        </is>
      </c>
      <c r="H69" s="17" t="inlineStr">
        <is>
          <t>Có</t>
        </is>
      </c>
      <c r="I69" s="15" t="inlineStr">
        <is>
          <t xml:space="preserve">Đã chạy `npm run db:reset` (Postgres :5435 + seed), BE :4000, FE :5173. </t>
        </is>
      </c>
      <c r="J69" s="15" t="inlineStr">
        <is>
          <t>1. Đăng nhập trên UI /login, kiểm tab Network: URL và query
2. POST /api/auth/login sai mật khẩu, đọc message lỗi
3. POST /api/auth/forgot-password và đọc response</t>
        </is>
      </c>
      <c r="K69" s="15" t="inlineStr">
        <is>
          <t>-</t>
        </is>
      </c>
      <c r="L69"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9" s="15" t="inlineStr"/>
      <c r="N69" s="18" t="inlineStr">
        <is>
          <t>Chưa test</t>
        </is>
      </c>
      <c r="O69" s="15" t="inlineStr"/>
      <c r="P69" s="15" t="inlineStr"/>
      <c r="Q69" s="18" t="inlineStr">
        <is>
          <t>Chưa test</t>
        </is>
      </c>
      <c r="R69" s="15" t="inlineStr"/>
    </row>
    <row r="70" ht="60" customHeight="1">
      <c r="A70" s="14" t="inlineStr">
        <is>
          <t>TC-SEC-069</t>
        </is>
      </c>
      <c r="B70" s="15" t="inlineStr">
        <is>
          <t>Bảo mật &amp; Yêu cầu phi chức năng</t>
        </is>
      </c>
      <c r="C70" s="15" t="inlineStr">
        <is>
          <t>Responsive</t>
        </is>
      </c>
      <c r="D70" s="15" t="inlineStr">
        <is>
          <t>Khu cộng đồng /courses/photo/community trên mobile 375px và tablet 768px</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member1.</t>
        </is>
      </c>
      <c r="J70" s="15" t="inlineStr">
        <is>
          <t>1. Mở /courses/photo/community ở 375px
2. Kiểm topbar (logo, ô tìm kiếm, menu avatar), sidebar, bảng tin, nút đăng bài
3. Lặp lại ở 768px
4. Cuộn ngang thử</t>
        </is>
      </c>
      <c r="K70" s="15" t="inlineStr">
        <is>
          <t>-</t>
        </is>
      </c>
      <c r="L70"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70" s="15" t="inlineStr"/>
      <c r="N70" s="18" t="inlineStr">
        <is>
          <t>Chưa test</t>
        </is>
      </c>
      <c r="O70" s="15" t="inlineStr"/>
      <c r="P70" s="15" t="inlineStr"/>
      <c r="Q70" s="18" t="inlineStr">
        <is>
          <t>Chưa test</t>
        </is>
      </c>
      <c r="R70" s="15" t="inlineStr"/>
    </row>
    <row r="71" ht="45" customHeight="1">
      <c r="A71" s="14" t="inlineStr">
        <is>
          <t>TC-SEC-070</t>
        </is>
      </c>
      <c r="B71" s="15" t="inlineStr">
        <is>
          <t>Bảo mật &amp; Yêu cầu phi chức năng</t>
        </is>
      </c>
      <c r="C71" s="15" t="inlineStr">
        <is>
          <t>Responsive</t>
        </is>
      </c>
      <c r="D71" s="15" t="inlineStr">
        <is>
          <t>Lớp học /courses/photo/community/lop-hoc trên mobile và tablet</t>
        </is>
      </c>
      <c r="E71" s="15" t="inlineStr">
        <is>
          <t>Giao diện</t>
        </is>
      </c>
      <c r="F71" s="20" t="inlineStr">
        <is>
          <t>Trung bình</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member1.</t>
        </is>
      </c>
      <c r="J71" s="15" t="inlineStr">
        <is>
          <t>1. Mở tab Lớp học ở 375px
2. Mở một bài học (LessonPage) và bấm Bài trước/Bài sau
3. Lặp lại ở 768px</t>
        </is>
      </c>
      <c r="K71" s="15" t="inlineStr">
        <is>
          <t>-</t>
        </is>
      </c>
      <c r="L71" s="15" t="inlineStr">
        <is>
          <t>Danh sách module và thanh tiến độ vừa màn hình; trình phát/nội dung bài không tràn ngang; nút điều hướng bài học bấm được; mod thấy nút chỉnh sửa nhưng không vỡ layout.</t>
        </is>
      </c>
      <c r="M71" s="15" t="inlineStr"/>
      <c r="N71" s="18" t="inlineStr">
        <is>
          <t>Chưa test</t>
        </is>
      </c>
      <c r="O71" s="15" t="inlineStr"/>
      <c r="P71" s="15" t="inlineStr"/>
      <c r="Q71" s="18" t="inlineStr">
        <is>
          <t>Chưa test</t>
        </is>
      </c>
      <c r="R71" s="15" t="inlineStr"/>
    </row>
    <row r="72" ht="60" customHeight="1">
      <c r="A72" s="14" t="inlineStr">
        <is>
          <t>TC-SEC-071</t>
        </is>
      </c>
      <c r="B72" s="15" t="inlineStr">
        <is>
          <t>Bảo mật &amp; Yêu cầu phi chức năng</t>
        </is>
      </c>
      <c r="C72" s="15" t="inlineStr">
        <is>
          <t>Responsive</t>
        </is>
      </c>
      <c r="D72" s="15" t="inlineStr">
        <is>
          <t>Lịch &amp; sự kiện /courses/photo/community/lich trên mobile và tablet</t>
        </is>
      </c>
      <c r="E72" s="15" t="inlineStr">
        <is>
          <t>Giao diện</t>
        </is>
      </c>
      <c r="F72" s="20" t="inlineStr">
        <is>
          <t>Trung bình</t>
        </is>
      </c>
      <c r="G72" s="17" t="inlineStr">
        <is>
          <t>Đã hoàn thiện</t>
        </is>
      </c>
      <c r="H72" s="20" t="inlineStr">
        <is>
          <t>Một phần</t>
        </is>
      </c>
      <c r="I72" s="15" t="inlineStr">
        <is>
          <t>Đã chạy `npm run db:reset` (Postgres :5435 + seed), BE :4000, FE :5173. Viewport 375x812 (mobile) và 768x1024 (tablet); đăng nhập tài khoản phù hợp; bật cuộn dọc kiểm tra. member1; sự kiện seed-event-photo-limited (3 chỗ).</t>
        </is>
      </c>
      <c r="J72" s="15" t="inlineStr">
        <is>
          <t>1. Mở tab Lịch ở 375px
2. Mở chi tiết sự kiện, bấm RSVP
3. Mod: mở form tạo sự kiện
4. Lặp lại ở 768px</t>
        </is>
      </c>
      <c r="K72" s="15" t="inlineStr">
        <is>
          <t>-</t>
        </is>
      </c>
      <c r="L72" s="15" t="inlineStr">
        <is>
          <t>Lưới lịch/danh sách sự kiện không tràn ngang; hộp thoại chi tiết và form tạo sự kiện nằm trong viewport, cuộn được; nút RSVP/.ics đọc được.</t>
        </is>
      </c>
      <c r="M72" s="15" t="inlineStr"/>
      <c r="N72" s="18" t="inlineStr">
        <is>
          <t>Chưa test</t>
        </is>
      </c>
      <c r="O72" s="15" t="inlineStr"/>
      <c r="P72" s="15" t="inlineStr"/>
      <c r="Q72" s="18" t="inlineStr">
        <is>
          <t>Chưa test</t>
        </is>
      </c>
      <c r="R72" s="15" t="inlineStr"/>
    </row>
    <row r="73" ht="60" customHeight="1">
      <c r="A73" s="14" t="inlineStr">
        <is>
          <t>TC-SEC-072</t>
        </is>
      </c>
      <c r="B73" s="15" t="inlineStr">
        <is>
          <t>Bảo mật &amp; Yêu cầu phi chức năng</t>
        </is>
      </c>
      <c r="C73" s="15" t="inlineStr">
        <is>
          <t>Responsive</t>
        </is>
      </c>
      <c r="D73" s="15" t="inlineStr">
        <is>
          <t>Tin nhắn /messages trên mobile và tablet</t>
        </is>
      </c>
      <c r="E73" s="15" t="inlineStr">
        <is>
          <t>Giao diện</t>
        </is>
      </c>
      <c r="F73" s="20" t="inlineStr">
        <is>
          <t>Trung bình</t>
        </is>
      </c>
      <c r="G73" s="17" t="inlineStr">
        <is>
          <t>Đã hoàn thiện</t>
        </is>
      </c>
      <c r="H73" s="20" t="inlineStr">
        <is>
          <t>Một phần</t>
        </is>
      </c>
      <c r="I73" s="15" t="inlineStr">
        <is>
          <t>Đã chạy `npm run db:reset` (Postgres :5435 + seed), BE :4000, FE :5173. Viewport 375x812 (mobile) và 768x1024 (tablet); đăng nhập tài khoản phù hợp; bật cuộn dọc kiểm tra. member1, hội thoại seed-conv-member1-member2.</t>
        </is>
      </c>
      <c r="J73" s="15" t="inlineStr">
        <is>
          <t>1. Mở /messages ở 375px
2. Mở hội thoại, gõ tin, Enter/Shift+Enter
3. Quay lại danh sách
4. Lặp lại ở 768px</t>
        </is>
      </c>
      <c r="K73" s="15" t="inlineStr">
        <is>
          <t>-</t>
        </is>
      </c>
      <c r="L73" s="15" t="inlineStr">
        <is>
          <t>Ở mobile danh sách và khung chat không chen nhau tràn ngang (chuyển qua lại được); ô nhập luôn thấy khi bàn phím ảo mở; tin dài tự xuống dòng; nút thu hồi/tải tin cũ vẫn dùng được.</t>
        </is>
      </c>
      <c r="M73" s="15" t="inlineStr"/>
      <c r="N73" s="18" t="inlineStr">
        <is>
          <t>Chưa test</t>
        </is>
      </c>
      <c r="O73" s="15" t="inlineStr"/>
      <c r="P73" s="15" t="inlineStr"/>
      <c r="Q73" s="18" t="inlineStr">
        <is>
          <t>Chưa test</t>
        </is>
      </c>
      <c r="R73" s="15" t="inlineStr"/>
    </row>
    <row r="74" ht="45" customHeight="1">
      <c r="A74" s="14" t="inlineStr">
        <is>
          <t>TC-SEC-073</t>
        </is>
      </c>
      <c r="B74" s="15" t="inlineStr">
        <is>
          <t>Bảo mật &amp; Yêu cầu phi chức năng</t>
        </is>
      </c>
      <c r="C74" s="15" t="inlineStr">
        <is>
          <t>Responsive</t>
        </is>
      </c>
      <c r="D74" s="15" t="inlineStr">
        <is>
          <t>Thanh toán /courses/paid-demo/checkout và /billing trên mobile và tablet</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Viewport 375x812 (mobile) và 768x1024 (tablet); đăng nhập tài khoản phù hợp; bật cuộn dọc kiểm tra. newbie (checkout) và member1 (billing).</t>
        </is>
      </c>
      <c r="J74" s="15" t="inlineStr">
        <is>
          <t>1. Mở /courses/paid-demo/checkout ở 375px, chọn phương thức
2. Mở /billing: bảng lịch sử thanh toán, hộp thoại hóa đơn, hộp thoại hủy gói
3. Lặp lại ở 768px</t>
        </is>
      </c>
      <c r="K74" s="15" t="inlineStr">
        <is>
          <t>-</t>
        </is>
      </c>
      <c r="L74" s="15" t="inlineStr">
        <is>
          <t>Form thanh toán và nút "Bắt đầu dùng thử" không tràn; bảng lịch sử cuộn ngang trong khung hoặc chuyển dạng thẻ (không làm rộng cả trang); hộp thoại hóa đơn cuộn được.</t>
        </is>
      </c>
      <c r="M74" s="15" t="inlineStr"/>
      <c r="N74" s="18" t="inlineStr">
        <is>
          <t>Chưa test</t>
        </is>
      </c>
      <c r="O74" s="15" t="inlineStr"/>
      <c r="P74" s="15" t="inlineStr"/>
      <c r="Q74" s="18" t="inlineStr">
        <is>
          <t>Chưa test</t>
        </is>
      </c>
      <c r="R74" s="15" t="inlineStr"/>
    </row>
    <row r="75" ht="60" customHeight="1">
      <c r="A75" s="14" t="inlineStr">
        <is>
          <t>TC-SEC-074</t>
        </is>
      </c>
      <c r="B75" s="15" t="inlineStr">
        <is>
          <t>Bảo mật &amp; Yêu cầu phi chức năng</t>
        </is>
      </c>
      <c r="C75" s="15" t="inlineStr">
        <is>
          <t>Responsive</t>
        </is>
      </c>
      <c r="D75" s="15" t="inlineStr">
        <is>
          <t>Khu quản trị /admin và kiểm duyệt trên mobile và tablet</t>
        </is>
      </c>
      <c r="E75" s="15" t="inlineStr">
        <is>
          <t>Giao diện</t>
        </is>
      </c>
      <c r="F75" s="17" t="inlineStr">
        <is>
          <t>Thấp</t>
        </is>
      </c>
      <c r="G75" s="17" t="inlineStr">
        <is>
          <t>Đã hoàn thiện</t>
        </is>
      </c>
      <c r="H75" s="20" t="inlineStr">
        <is>
          <t>Một phần</t>
        </is>
      </c>
      <c r="I75" s="15" t="inlineStr">
        <is>
          <t>Đã chạy `npm run db:reset` (Postgres :5435 + seed), BE :4000, FE :5173. Viewport 375x812 (mobile) và 768x1024 (tablet); đăng nhập tài khoản phù hợp; bật cuộn dọc kiểm tra. admin@sofinhub.test; mod cho trang kiểm duyệt.</t>
        </is>
      </c>
      <c r="J75" s="15" t="inlineStr">
        <is>
          <t>1. Mở /admin ở 375px: cuộn hàng 4 tab
2. Mở mỗi tab, bấm nút Duyệt/Từ chối
3. Mở /courses/photo/community/kiem-duyet với mod
4. Lặp lại ở 768px</t>
        </is>
      </c>
      <c r="K75" s="15" t="inlineStr">
        <is>
          <t>-</t>
        </is>
      </c>
      <c r="L75" s="15" t="inlineStr">
        <is>
          <t>4 tab xuống dòng (flex-wrap) không tràn; bảng/hàng yêu cầu đọc được; các nút hành động (Bỏ qua, Ẩn nội dung, Cấm thành viên) không bị che, hộp thoại xác nhận nằm giữa màn hình.</t>
        </is>
      </c>
      <c r="M75" s="15" t="inlineStr"/>
      <c r="N75" s="18" t="inlineStr">
        <is>
          <t>Chưa test</t>
        </is>
      </c>
      <c r="O75" s="15" t="inlineStr"/>
      <c r="P75" s="15" t="inlineStr"/>
      <c r="Q75" s="18" t="inlineStr">
        <is>
          <t>Chưa test</t>
        </is>
      </c>
      <c r="R75" s="15" t="inlineStr"/>
    </row>
    <row r="76" ht="30" customHeight="1">
      <c r="A76" s="14" t="inlineStr">
        <is>
          <t>TC-SEC-075</t>
        </is>
      </c>
      <c r="B76" s="15" t="inlineStr">
        <is>
          <t>Bảo mật &amp; Yêu cầu phi chức năng</t>
        </is>
      </c>
      <c r="C76" s="15" t="inlineStr">
        <is>
          <t>Trạng thái giao diện</t>
        </is>
      </c>
      <c r="D76" s="15" t="inlineStr">
        <is>
          <t>Trạng thái loading: trang Quản trị và Kiểm duyệt hiện chữ đang tải khi API chậm</t>
        </is>
      </c>
      <c r="E76" s="15" t="inlineStr">
        <is>
          <t>Giao diện</t>
        </is>
      </c>
      <c r="F76" s="17" t="inlineStr">
        <is>
          <t>Thấp</t>
        </is>
      </c>
      <c r="G76" s="17" t="inlineStr">
        <is>
          <t>Đã hoàn thiện</t>
        </is>
      </c>
      <c r="H76" s="20" t="inlineStr">
        <is>
          <t>Một phần</t>
        </is>
      </c>
      <c r="I76" s="15" t="inlineStr">
        <is>
          <t>Đã chạy `npm run db:reset` (Postgres :5435 + seed), BE :4000, FE :5173. Throttle mạng chậm (Playwright route.fulfill trễ 3s cho /api/admin/refunds và /api/courses/photo/reports).</t>
        </is>
      </c>
      <c r="J76" s="15" t="inlineStr">
        <is>
          <t>1. admin: mở /admin
2. mod: mở /courses/photo/community/kiem-duyet</t>
        </is>
      </c>
      <c r="K76" s="15" t="inlineStr">
        <is>
          <t>-</t>
        </is>
      </c>
      <c r="L76" s="15" t="inlineStr">
        <is>
          <t>/admin hiện "Đang kiểm tra quyền…" rồi mới hiện tab; kiểm duyệt hiện "Đang tải báo cáo…"; không nhấp nháy nội dung sai (ví dụ không hiện "Bạn không có quyền" khi đang tải).</t>
        </is>
      </c>
      <c r="M76" s="15" t="inlineStr"/>
      <c r="N76" s="18" t="inlineStr">
        <is>
          <t>Chưa test</t>
        </is>
      </c>
      <c r="O76" s="15" t="inlineStr"/>
      <c r="P76" s="15" t="inlineStr"/>
      <c r="Q76" s="18" t="inlineStr">
        <is>
          <t>Chưa test</t>
        </is>
      </c>
      <c r="R76" s="15" t="inlineStr"/>
    </row>
    <row r="77" ht="75" customHeight="1">
      <c r="A77" s="14" t="inlineStr">
        <is>
          <t>TC-SEC-076</t>
        </is>
      </c>
      <c r="B77" s="15" t="inlineStr">
        <is>
          <t>Bảo mật &amp; Yêu cầu phi chức năng</t>
        </is>
      </c>
      <c r="C77" s="15" t="inlineStr">
        <is>
          <t>Trạng thái giao diện</t>
        </is>
      </c>
      <c r="D77" s="15" t="inlineStr">
        <is>
          <t>Trạng thái rỗng: danh sách rỗng hiển thị thông điệp thân thiện thay vì bảng trống</t>
        </is>
      </c>
      <c r="E77" s="15" t="inlineStr">
        <is>
          <t>Giao diện</t>
        </is>
      </c>
      <c r="F77" s="17" t="inlineStr">
        <is>
          <t>Thấp</t>
        </is>
      </c>
      <c r="G77" s="17" t="inlineStr">
        <is>
          <t>Đã hoàn thiện</t>
        </is>
      </c>
      <c r="H77" s="20" t="inlineStr">
        <is>
          <t>Một phần</t>
        </is>
      </c>
      <c r="I77" s="15" t="inlineStr">
        <is>
          <t>Đã chạy `npm run db:reset` (Postgres :5435 + seed), BE :4000, FE :5173. Tài khoản newbie (chưa có thông báo, hội thoại, giao dịch).</t>
        </is>
      </c>
      <c r="J77" s="15" t="inlineStr">
        <is>
          <t>1. Mở /notifications
2. Mở /messages
3. Mở /billing
4. Mở /me/communities
5. mod: kiểm duyệt tab "Đã bỏ qua" khi chưa có báo cáo dismiss</t>
        </is>
      </c>
      <c r="K77" s="15" t="inlineStr">
        <is>
          <t>-</t>
        </is>
      </c>
      <c r="L77" s="15" t="inlineStr">
        <is>
          <t>Mỗi trang hiện thông điệp rỗng tiếng Việt rõ ràng (không lỗi, không spinner vô hạn, không bảng trống); nút hành động chính (vd. khám phá cộng đồng) nếu có vẫn hoạt động.</t>
        </is>
      </c>
      <c r="M77" s="15" t="inlineStr"/>
      <c r="N77" s="18" t="inlineStr">
        <is>
          <t>Chưa test</t>
        </is>
      </c>
      <c r="O77" s="15" t="inlineStr"/>
      <c r="P77" s="15" t="inlineStr"/>
      <c r="Q77" s="18" t="inlineStr">
        <is>
          <t>Chưa test</t>
        </is>
      </c>
      <c r="R77" s="15" t="inlineStr"/>
    </row>
    <row r="78" ht="45" customHeight="1">
      <c r="A78" s="14" t="inlineStr">
        <is>
          <t>TC-SEC-077</t>
        </is>
      </c>
      <c r="B78" s="15" t="inlineStr">
        <is>
          <t>Bảo mật &amp; Yêu cầu phi chức năng</t>
        </is>
      </c>
      <c r="C78" s="15" t="inlineStr">
        <is>
          <t>Trạng thái giao diện</t>
        </is>
      </c>
      <c r="D78" s="15" t="inlineStr">
        <is>
          <t>Lỗi mạng/BE tắt: giao diện hiện thông báo lỗi, không trắng trang</t>
        </is>
      </c>
      <c r="E78" s="15" t="inlineStr">
        <is>
          <t>Giao diện</t>
        </is>
      </c>
      <c r="F78" s="20" t="inlineStr">
        <is>
          <t>Trung bình</t>
        </is>
      </c>
      <c r="G78" s="17" t="inlineStr">
        <is>
          <t>Đã hoàn thiện</t>
        </is>
      </c>
      <c r="H78" s="20" t="inlineStr">
        <is>
          <t>Một phần</t>
        </is>
      </c>
      <c r="I78" s="15" t="inlineStr">
        <is>
          <t>Đã chạy `npm run db:reset` (Postgres :5435 + seed), BE :4000, FE :5173. member1 đã đăng nhập; chặn /api/** bằng page.route(abort) hoặc tắt BE.</t>
        </is>
      </c>
      <c r="J78" s="15" t="inlineStr">
        <is>
          <t>1. Mở /courses/photo/community rồi chặn API và tải lại
2. Thử đăng bài khi mạng lỗi
3. Mở /billing, /notifications, /admin (admin)</t>
        </is>
      </c>
      <c r="K78" s="15" t="inlineStr">
        <is>
          <t>-</t>
        </is>
      </c>
      <c r="L78"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8" s="15" t="inlineStr"/>
      <c r="N78" s="18" t="inlineStr">
        <is>
          <t>Chưa test</t>
        </is>
      </c>
      <c r="O78" s="15" t="inlineStr"/>
      <c r="P78" s="15" t="inlineStr"/>
      <c r="Q78" s="18" t="inlineStr">
        <is>
          <t>Chưa test</t>
        </is>
      </c>
      <c r="R78" s="15" t="inlineStr"/>
    </row>
    <row r="79" ht="60" customHeight="1">
      <c r="A79" s="14" t="inlineStr">
        <is>
          <t>TC-SEC-078</t>
        </is>
      </c>
      <c r="B79" s="15" t="inlineStr">
        <is>
          <t>Bảo mật &amp; Yêu cầu phi chức năng</t>
        </is>
      </c>
      <c r="C79" s="15" t="inlineStr">
        <is>
          <t>Trạng thái giao diện</t>
        </is>
      </c>
      <c r="D79" s="15" t="inlineStr">
        <is>
          <t>Trang 404 của FE cho URL lạ và cho id sai</t>
        </is>
      </c>
      <c r="E79" s="15" t="inlineStr">
        <is>
          <t>Giao diện</t>
        </is>
      </c>
      <c r="F79" s="17" t="inlineStr">
        <is>
          <t>Thấp</t>
        </is>
      </c>
      <c r="G79" s="17" t="inlineStr">
        <is>
          <t>Đã hoàn thiện</t>
        </is>
      </c>
      <c r="H79" s="17" t="inlineStr">
        <is>
          <t>Có</t>
        </is>
      </c>
      <c r="I79" s="15" t="inlineStr">
        <is>
          <t xml:space="preserve">Đã chạy `npm run db:reset` (Postgres :5435 + seed), BE :4000, FE :5173. </t>
        </is>
      </c>
      <c r="J79" s="15" t="inlineStr">
        <is>
          <t>1. Mở /khong-co-trang-nay
2. Mở /courses/id-khong-ton-tai
3. Mở /users/id-khong-ton-tai (đã đăng nhập)
4. Mở /invite/MA-SAI</t>
        </is>
      </c>
      <c r="K79" s="15" t="inlineStr">
        <is>
          <t>-</t>
        </is>
      </c>
      <c r="L79" s="15" t="inlineStr">
        <is>
          <t>URL lạ hiện NotFoundPage; /courses/id-sai và /users/id-sai và /invite/MA-SAI hiện thông báo không tìm thấy ("Không tìm thấy lời mời") tương ứng với API 404, không trắng trang.</t>
        </is>
      </c>
      <c r="M79" s="15" t="inlineStr"/>
      <c r="N79" s="18" t="inlineStr">
        <is>
          <t>Chưa test</t>
        </is>
      </c>
      <c r="O79" s="15" t="inlineStr"/>
      <c r="P79" s="15" t="inlineStr"/>
      <c r="Q79" s="18" t="inlineStr">
        <is>
          <t>Chưa test</t>
        </is>
      </c>
      <c r="R79" s="15" t="inlineStr"/>
    </row>
    <row r="80" ht="45" customHeight="1">
      <c r="A80" s="14" t="inlineStr">
        <is>
          <t>TC-SEC-079</t>
        </is>
      </c>
      <c r="B80" s="15" t="inlineStr">
        <is>
          <t>Bảo mật &amp; Yêu cầu phi chức năng</t>
        </is>
      </c>
      <c r="C80" s="15" t="inlineStr">
        <is>
          <t>Truy cập (a11y)</t>
        </is>
      </c>
      <c r="D80" s="15" t="inlineStr">
        <is>
          <t>Bàn phím: Tab đi qua form đăng nhập, focus nhìn thấy được, Enter gửi form, Esc đóng hộp thoại</t>
        </is>
      </c>
      <c r="E80" s="15" t="inlineStr">
        <is>
          <t>Giao diện</t>
        </is>
      </c>
      <c r="F80" s="20" t="inlineStr">
        <is>
          <t>Trung bình</t>
        </is>
      </c>
      <c r="G80" s="17" t="inlineStr">
        <is>
          <t>Đã hoàn thiện</t>
        </is>
      </c>
      <c r="H80" s="20" t="inlineStr">
        <is>
          <t>Một phần</t>
        </is>
      </c>
      <c r="I80" s="15" t="inlineStr">
        <is>
          <t>Đã chạy `npm run db:reset` (Postgres :5435 + seed), BE :4000, FE :5173. Chưa đăng nhập.</t>
        </is>
      </c>
      <c r="J80" s="15" t="inlineStr">
        <is>
          <t>1. Mở /login, bấm Tab tuần tự qua email, mật khẩu, nút đăng nhập, liên kết
2. Nhấn Enter khi con trỏ ở ô mật khẩu
3. Đăng nhập owner, mở hộp thoại xác nhận (vd. Xóa cộng đồng ở Cài đặt) rồi nhấn Esc</t>
        </is>
      </c>
      <c r="K80" s="15" t="inlineStr">
        <is>
          <t>-</t>
        </is>
      </c>
      <c r="L80" s="15" t="inlineStr">
        <is>
          <t>Thứ tự focus hợp lý, mỗi phần tử có viền focus nhìn thấy; Enter gửi form; hộp thoại đóng bằng Esc và focus quay về nút gọi (nếu chưa hỗ trợ, ghi nhận là lỗi a11y).</t>
        </is>
      </c>
      <c r="M80" s="15" t="inlineStr"/>
      <c r="N80" s="18" t="inlineStr">
        <is>
          <t>Chưa test</t>
        </is>
      </c>
      <c r="O80" s="15" t="inlineStr"/>
      <c r="P80" s="15" t="inlineStr"/>
      <c r="Q80" s="18" t="inlineStr">
        <is>
          <t>Chưa test</t>
        </is>
      </c>
      <c r="R80" s="15" t="inlineStr"/>
    </row>
    <row r="81" ht="45" customHeight="1">
      <c r="A81" s="14" t="inlineStr">
        <is>
          <t>TC-SEC-080</t>
        </is>
      </c>
      <c r="B81" s="15" t="inlineStr">
        <is>
          <t>Bảo mật &amp; Yêu cầu phi chức năng</t>
        </is>
      </c>
      <c r="C81" s="15" t="inlineStr">
        <is>
          <t>Truy cập (a11y)</t>
        </is>
      </c>
      <c r="D81" s="15" t="inlineStr">
        <is>
          <t>Nhãn truy cập: nút chỉ có biểu tượng có aria-label, ngôn ngữ trang là vi</t>
        </is>
      </c>
      <c r="E81" s="15" t="inlineStr">
        <is>
          <t>Giao diện</t>
        </is>
      </c>
      <c r="F81" s="17" t="inlineStr">
        <is>
          <t>Thấp</t>
        </is>
      </c>
      <c r="G81" s="17" t="inlineStr">
        <is>
          <t>Đã hoàn thiện</t>
        </is>
      </c>
      <c r="H81" s="20" t="inlineStr">
        <is>
          <t>Một phần</t>
        </is>
      </c>
      <c r="I81" s="15" t="inlineStr">
        <is>
          <t>Đã chạy `npm run db:reset` (Postgres :5435 + seed), BE :4000, FE :5173. member1 đăng nhập.</t>
        </is>
      </c>
      <c r="J81"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81" s="15" t="inlineStr">
        <is>
          <t>-</t>
        </is>
      </c>
      <c r="L81" s="15" t="inlineStr">
        <is>
          <t>Nút avatar truy cập được theo tên "Tài khoản"; ô ghi chú kiểm duyệt có nhãn; &lt;html lang="vi"&gt;; ảnh có alt (logo alt="SofinHub"); không có nút chỉ biểu tượng mà thiếu tên truy cập (liệt kê các nút thiếu nếu có).</t>
        </is>
      </c>
      <c r="M81" s="15" t="inlineStr"/>
      <c r="N81" s="18" t="inlineStr">
        <is>
          <t>Chưa test</t>
        </is>
      </c>
      <c r="O81" s="15" t="inlineStr"/>
      <c r="P81" s="15" t="inlineStr"/>
      <c r="Q81" s="18" t="inlineStr">
        <is>
          <t>Chưa test</t>
        </is>
      </c>
      <c r="R81" s="15" t="inlineStr"/>
    </row>
    <row r="82" ht="30" customHeight="1">
      <c r="A82" s="14" t="inlineStr">
        <is>
          <t>TC-SEC-081</t>
        </is>
      </c>
      <c r="B82" s="15" t="inlineStr">
        <is>
          <t>Bảo mật &amp; Yêu cầu phi chức năng</t>
        </is>
      </c>
      <c r="C82" s="15" t="inlineStr">
        <is>
          <t>Truy cập (a11y)</t>
        </is>
      </c>
      <c r="D82" s="15" t="inlineStr">
        <is>
          <t>Tương phản màu và cỡ chữ tối thiểu ở trang chính (kiểm bằng công cụ)</t>
        </is>
      </c>
      <c r="E82" s="15" t="inlineStr">
        <is>
          <t>Giao diện</t>
        </is>
      </c>
      <c r="F82" s="17" t="inlineStr">
        <is>
          <t>Thấp</t>
        </is>
      </c>
      <c r="G82" s="20" t="inlineStr">
        <is>
          <t>Kế hoạch</t>
        </is>
      </c>
      <c r="H82" s="16" t="inlineStr">
        <is>
          <t>Không</t>
        </is>
      </c>
      <c r="I82" s="15" t="inlineStr">
        <is>
          <t>Cài đặt tiện ích kiểm tương phản (axe DevTools / Lighthouse).</t>
        </is>
      </c>
      <c r="J82" s="15" t="inlineStr">
        <is>
          <t>1. Chạy Lighthouse Accessibility trên /, /courses/photo, /login, /courses/photo/community
2. Ghi điểm và các lỗi contrast/aria</t>
        </is>
      </c>
      <c r="K82" s="15" t="inlineStr">
        <is>
          <t>-</t>
        </is>
      </c>
      <c r="L82" s="15" t="inlineStr">
        <is>
          <t>Điểm Accessibility &gt;= 90 mục tiêu (giá trị tạm, chưa chốt); danh sách lỗi contrast/aria được ghi lại để sửa.</t>
        </is>
      </c>
      <c r="M82" s="15" t="inlineStr"/>
      <c r="N82" s="18" t="inlineStr">
        <is>
          <t>Chưa test</t>
        </is>
      </c>
      <c r="O82" s="15" t="inlineStr"/>
      <c r="P82" s="15" t="inlineStr"/>
      <c r="Q82" s="18" t="inlineStr">
        <is>
          <t>Chưa test</t>
        </is>
      </c>
      <c r="R82" s="15" t="inlineStr"/>
    </row>
  </sheetData>
  <autoFilter ref="A1:R82"/>
  <conditionalFormatting sqref="N2:N8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2" showDropDown="0" showInputMessage="0" showErrorMessage="0" allowBlank="1" type="list">
      <formula1>"Chưa test,Pass,Fail,Blocked,N/A"</formula1>
    </dataValidation>
    <dataValidation sqref="Q2:Q82" showDropDown="0" showInputMessage="0" showErrorMessage="0" allowBlank="1" type="list">
      <formula1>"Chưa test,Pass,Fail,Blocked,N/A"</formula1>
    </dataValidation>
    <dataValidation sqref="F2:F82" showDropDown="0" showInputMessage="0" showErrorMessage="0" allowBlank="1" type="list">
      <formula1>"Cao,Trung bình,Thấp"</formula1>
    </dataValidation>
    <dataValidation sqref="G2:G82" showDropDown="0" showInputMessage="0" showErrorMessage="0" allowBlank="1" type="list">
      <formula1>"Đã hoàn thiện,Kế hoạch"</formula1>
    </dataValidation>
    <dataValidation sqref="H2:H82" showDropDown="0" showInputMessage="0" showErrorMessage="0" allowBlank="1" type="list">
      <formula1>"Có,Một phần,Không"</formula1>
    </dataValidation>
  </dataValidations>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9" r:id="rId4"/>
    <hyperlink xmlns:r="http://schemas.openxmlformats.org/officeDocument/2006/relationships" ref="O10" r:id="rId5"/>
    <hyperlink xmlns:r="http://schemas.openxmlformats.org/officeDocument/2006/relationships" ref="O11" r:id="rId6"/>
    <hyperlink xmlns:r="http://schemas.openxmlformats.org/officeDocument/2006/relationships" ref="O12" r:id="rId7"/>
  </hyperlink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TC-INTEG-001</t>
        </is>
      </c>
      <c r="B2" s="15" t="inlineStr">
        <is>
          <t>API / Tích hợp &amp; Concurrency</t>
        </is>
      </c>
      <c r="C2" s="15" t="inlineStr">
        <is>
          <t>Concurrency</t>
        </is>
      </c>
      <c r="D2" s="15" t="inlineStr">
        <is>
          <t>2 người thanh toán cùng lúc cho suất cuối cùng của sự kiện giới hạn số lượng</t>
        </is>
      </c>
      <c r="E2" s="15" t="inlineStr">
        <is>
          <t>Chức năng</t>
        </is>
      </c>
      <c r="F2" s="16" t="inlineStr">
        <is>
          <t>Cao</t>
        </is>
      </c>
      <c r="G2" s="17" t="inlineStr">
        <is>
          <t>Đã hoàn thiện</t>
        </is>
      </c>
      <c r="H2" s="20" t="inlineStr">
        <is>
          <t>Một phần</t>
        </is>
      </c>
      <c r="I2" s="15" t="inlineStr">
        <is>
          <t>Sự kiện chỉ còn đúng 1 chỗ trống</t>
        </is>
      </c>
      <c r="J2" s="15" t="inlineStr">
        <is>
          <t>1. 2 tài khoản khác nhau bấm 'Đăng ký tham dự' gần như đồng thời khi chỉ còn 1 chỗ trống</t>
        </is>
      </c>
      <c r="K2" s="15" t="inlineStr">
        <is>
          <t>Chỉ còn 1 chỗ trống</t>
        </is>
      </c>
      <c r="L2" s="15" t="inlineStr">
        <is>
          <t>Chỉ đúng 1 người đăng ký thành công, người còn lại nhận thông báo đã hết chỗ/vào danh sách chờ, không vượt giới hạn (race condition)</t>
        </is>
      </c>
      <c r="M2" s="15" t="inlineStr"/>
      <c r="N2" s="18" t="inlineStr">
        <is>
          <t>Chưa test</t>
        </is>
      </c>
      <c r="O2" s="15" t="inlineStr"/>
      <c r="P2" s="15" t="inlineStr"/>
      <c r="Q2" s="18" t="inlineStr">
        <is>
          <t>Chưa test</t>
        </is>
      </c>
      <c r="R2" s="15" t="inlineStr"/>
    </row>
    <row r="3" ht="30" customHeight="1">
      <c r="A3" s="14" t="inlineStr">
        <is>
          <t>TC-INTEG-002</t>
        </is>
      </c>
      <c r="B3" s="15" t="inlineStr">
        <is>
          <t>API / Tích hợp &amp; Concurrency</t>
        </is>
      </c>
      <c r="C3" s="15" t="inlineStr">
        <is>
          <t>Concurrency</t>
        </is>
      </c>
      <c r="D3" s="15" t="inlineStr">
        <is>
          <t>2 Owner/Admin cùng chỉnh sửa 1 module khóa học đồng thời</t>
        </is>
      </c>
      <c r="E3" s="15" t="inlineStr">
        <is>
          <t>Chức năng</t>
        </is>
      </c>
      <c r="F3" s="20" t="inlineStr">
        <is>
          <t>Trung bình</t>
        </is>
      </c>
      <c r="G3" s="17" t="inlineStr">
        <is>
          <t>Đã hoàn thiện</t>
        </is>
      </c>
      <c r="H3" s="17" t="inlineStr">
        <is>
          <t>Có</t>
        </is>
      </c>
      <c r="I3" s="15" t="inlineStr">
        <is>
          <t>2 tài khoản có quyền soạn thảo cùng 1 khóa học</t>
        </is>
      </c>
      <c r="J3" s="15" t="inlineStr">
        <is>
          <t>1. 2 tài khoản mở cùng 1 module để sửa
2. Cả 2 cùng lưu thay đổi gần như đồng thời với nội dung khác nhau</t>
        </is>
      </c>
      <c r="K3" s="15" t="inlineStr">
        <is>
          <t>-</t>
        </is>
      </c>
      <c r="L3" s="15" t="inlineStr">
        <is>
          <t>Hệ thống xử lý nhất quán: last-write-wins có cảnh báo hoặc báo xung đột — không làm mất dữ liệu âm thầm khó hiểu</t>
        </is>
      </c>
      <c r="M3" s="15" t="inlineStr"/>
      <c r="N3" s="18" t="inlineStr">
        <is>
          <t>Chưa test</t>
        </is>
      </c>
      <c r="O3" s="15" t="inlineStr"/>
      <c r="P3" s="15" t="inlineStr"/>
      <c r="Q3" s="18" t="inlineStr">
        <is>
          <t>Chưa test</t>
        </is>
      </c>
      <c r="R3" s="15" t="inlineStr"/>
    </row>
    <row r="4" ht="30" customHeight="1">
      <c r="A4" s="14" t="inlineStr">
        <is>
          <t>TC-INTEG-003</t>
        </is>
      </c>
      <c r="B4" s="15" t="inlineStr">
        <is>
          <t>API / Tích hợp &amp; Concurrency</t>
        </is>
      </c>
      <c r="C4" s="15" t="inlineStr">
        <is>
          <t>Webhook</t>
        </is>
      </c>
      <c r="D4" s="15" t="inlineStr">
        <is>
          <t>Webhook thanh toán đến trước khi trình duyệt người dùng redirect quay lại</t>
        </is>
      </c>
      <c r="E4" s="15" t="inlineStr">
        <is>
          <t>Tích hợp</t>
        </is>
      </c>
      <c r="F4" s="16" t="inlineStr">
        <is>
          <t>Cao</t>
        </is>
      </c>
      <c r="G4" s="17" t="inlineStr">
        <is>
          <t>Đã hoàn thiện</t>
        </is>
      </c>
      <c r="H4" s="20" t="inlineStr">
        <is>
          <t>Một phần</t>
        </is>
      </c>
      <c r="I4" s="15" t="inlineStr">
        <is>
          <t>Giả lập cổng thanh toán gửi webhook nhanh hơn thời gian redirect trình duyệt</t>
        </is>
      </c>
      <c r="J4" s="15" t="inlineStr">
        <is>
          <t>1. Kích hoạt thanh toán
2. Giả lập webhook xác nhận thành công tới hệ thống trước khi người dùng được redirect về trang kết quả</t>
        </is>
      </c>
      <c r="K4" s="15" t="inlineStr">
        <is>
          <t>-</t>
        </is>
      </c>
      <c r="L4" s="15" t="inlineStr">
        <is>
          <t>Hệ thống vẫn cấp quyền truy cập đúng dựa trên webhook, trang kết quả khi người dùng quay lại hiển thị đúng trạng thái đã thành công</t>
        </is>
      </c>
      <c r="M4" s="15" t="inlineStr"/>
      <c r="N4" s="18" t="inlineStr">
        <is>
          <t>Chưa test</t>
        </is>
      </c>
      <c r="O4" s="15" t="inlineStr"/>
      <c r="P4" s="15" t="inlineStr"/>
      <c r="Q4" s="18" t="inlineStr">
        <is>
          <t>Chưa test</t>
        </is>
      </c>
      <c r="R4" s="15" t="inlineStr"/>
    </row>
    <row r="5" ht="30" customHeight="1">
      <c r="A5" s="14" t="inlineStr">
        <is>
          <t>TC-INTEG-004</t>
        </is>
      </c>
      <c r="B5" s="15" t="inlineStr">
        <is>
          <t>API / Tích hợp &amp; Concurrency</t>
        </is>
      </c>
      <c r="C5" s="15" t="inlineStr">
        <is>
          <t>Webhook</t>
        </is>
      </c>
      <c r="D5" s="15" t="inlineStr">
        <is>
          <t>Cổng thanh toán retry webhook do không nhận được phản hồi 200 kịp thời</t>
        </is>
      </c>
      <c r="E5" s="15" t="inlineStr">
        <is>
          <t>Tích hợp</t>
        </is>
      </c>
      <c r="F5" s="20" t="inlineStr">
        <is>
          <t>Trung bình</t>
        </is>
      </c>
      <c r="G5" s="17" t="inlineStr">
        <is>
          <t>Đã hoàn thiện</t>
        </is>
      </c>
      <c r="H5" s="20" t="inlineStr">
        <is>
          <t>Một phần</t>
        </is>
      </c>
      <c r="I5" s="15" t="inlineStr">
        <is>
          <t>Endpoint webhook phản hồi chậm/timeout ở lần gọi đầu</t>
        </is>
      </c>
      <c r="J5" s="15" t="inlineStr">
        <is>
          <t>1. Giả lập endpoint webhook xử lý chậm gây timeout ở request đầu tiên
2. Quan sát cổng thanh toán gửi lại request retry</t>
        </is>
      </c>
      <c r="K5" s="15" t="inlineStr">
        <is>
          <t>-</t>
        </is>
      </c>
      <c r="L5" s="15" t="inlineStr">
        <is>
          <t>Request retry được xử lý idempotent đúng như case webhook trùng lặp, không cấp quyền/tính phí thêm lần nữa</t>
        </is>
      </c>
      <c r="M5" s="15" t="inlineStr"/>
      <c r="N5" s="18" t="inlineStr">
        <is>
          <t>Chưa test</t>
        </is>
      </c>
      <c r="O5" s="15" t="inlineStr"/>
      <c r="P5" s="15" t="inlineStr"/>
      <c r="Q5" s="18" t="inlineStr">
        <is>
          <t>Chưa test</t>
        </is>
      </c>
      <c r="R5" s="15" t="inlineStr"/>
    </row>
    <row r="6" ht="30" customHeight="1">
      <c r="A6" s="14" t="inlineStr">
        <is>
          <t>TC-INTEG-005</t>
        </is>
      </c>
      <c r="B6" s="15" t="inlineStr">
        <is>
          <t>API / Tích hợp &amp; Concurrency</t>
        </is>
      </c>
      <c r="C6" s="15" t="inlineStr">
        <is>
          <t>Transaction rollback</t>
        </is>
      </c>
      <c r="D6" s="15" t="inlineStr">
        <is>
          <t>Thanh toán thành công nhưng cấp quyền truy cập thất bại — hệ thống xử lý nhất quán</t>
        </is>
      </c>
      <c r="E6" s="15" t="inlineStr">
        <is>
          <t>Chức năng</t>
        </is>
      </c>
      <c r="F6" s="16" t="inlineStr">
        <is>
          <t>Cao</t>
        </is>
      </c>
      <c r="G6" s="20" t="inlineStr">
        <is>
          <t>Kế hoạch</t>
        </is>
      </c>
      <c r="H6" s="16" t="inlineStr">
        <is>
          <t>Không</t>
        </is>
      </c>
      <c r="I6" s="15" t="inlineStr">
        <is>
          <t>Giả lập lỗi ở bước cấp quyền sau khi ghi nhận thanh toán thành công</t>
        </is>
      </c>
      <c r="J6" s="15" t="inlineStr">
        <is>
          <t>1. Giả lập lỗi hệ thống ngay sau khi ghi nhận thanh toán thành công nhưng trước khi cấp quyền truy cập hoàn tất</t>
        </is>
      </c>
      <c r="K6" s="15" t="inlineStr">
        <is>
          <t>-</t>
        </is>
      </c>
      <c r="L6" s="15" t="inlineStr">
        <is>
          <t>Có cơ chế retry/đối soát đảm bảo người dùng vẫn được cấp quyền đúng với số tiền đã thanh toán, hoặc cảnh báo cho vận hành xử lý thủ công — không để mất tiền mà không có quyền truy cập</t>
        </is>
      </c>
      <c r="M6" s="15" t="inlineStr"/>
      <c r="N6" s="18" t="inlineStr">
        <is>
          <t>Chưa test</t>
        </is>
      </c>
      <c r="O6" s="15" t="inlineStr"/>
      <c r="P6" s="15" t="inlineStr"/>
      <c r="Q6" s="18" t="inlineStr">
        <is>
          <t>Chưa test</t>
        </is>
      </c>
      <c r="R6" s="15" t="inlineStr"/>
    </row>
    <row r="7" ht="30" customHeight="1">
      <c r="A7" s="14" t="inlineStr">
        <is>
          <t>TC-INTEG-006</t>
        </is>
      </c>
      <c r="B7" s="15" t="inlineStr">
        <is>
          <t>API / Tích hợp &amp; Concurrency</t>
        </is>
      </c>
      <c r="C7" s="15" t="inlineStr">
        <is>
          <t>Idempotency</t>
        </is>
      </c>
      <c r="D7" s="15" t="inlineStr">
        <is>
          <t>Submit form tạo cộng đồng 2 lần do double-click không tạo 2 bản ghi</t>
        </is>
      </c>
      <c r="E7" s="15" t="inlineStr">
        <is>
          <t>Chức năng</t>
        </is>
      </c>
      <c r="F7" s="16" t="inlineStr">
        <is>
          <t>Cao</t>
        </is>
      </c>
      <c r="G7" s="17" t="inlineStr">
        <is>
          <t>Đã hoàn thiện</t>
        </is>
      </c>
      <c r="H7" s="17" t="inlineStr">
        <is>
          <t>Có</t>
        </is>
      </c>
      <c r="I7" s="15" t="inlineStr">
        <is>
          <t>-</t>
        </is>
      </c>
      <c r="J7" s="15" t="inlineStr">
        <is>
          <t>1. Điền form tạo cộng đồng
2. Bấm nút Tạo 2 lần liên tiếp thật nhanh (double-click) hoặc submit lại sau khi mạng chập chờn</t>
        </is>
      </c>
      <c r="K7" s="15" t="inlineStr">
        <is>
          <t>-</t>
        </is>
      </c>
      <c r="L7" s="15" t="inlineStr">
        <is>
          <t>Chỉ tạo đúng 1 cộng đồng, không tạo bản ghi trùng lặp</t>
        </is>
      </c>
      <c r="M7" s="15" t="inlineStr"/>
      <c r="N7" s="18" t="inlineStr">
        <is>
          <t>Chưa test</t>
        </is>
      </c>
      <c r="O7" s="15" t="inlineStr"/>
      <c r="P7" s="15" t="inlineStr"/>
      <c r="Q7" s="18" t="inlineStr">
        <is>
          <t>Chưa test</t>
        </is>
      </c>
      <c r="R7" s="15" t="inlineStr"/>
    </row>
    <row r="8" ht="30" customHeight="1">
      <c r="A8" s="14" t="inlineStr">
        <is>
          <t>TC-INTEG-007</t>
        </is>
      </c>
      <c r="B8" s="15" t="inlineStr">
        <is>
          <t>API / Tích hợp &amp; Concurrency</t>
        </is>
      </c>
      <c r="C8" s="15" t="inlineStr">
        <is>
          <t>Bên thứ 3 lỗi</t>
        </is>
      </c>
      <c r="D8" s="15" t="inlineStr">
        <is>
          <t>Cổng thanh toán gián đoạn — người dùng nhận lỗi rõ ràng, không bị trừ tiền mà không rõ trạng thái</t>
        </is>
      </c>
      <c r="E8" s="15" t="inlineStr">
        <is>
          <t>Tích hợp</t>
        </is>
      </c>
      <c r="F8" s="16" t="inlineStr">
        <is>
          <t>Cao</t>
        </is>
      </c>
      <c r="G8" s="20" t="inlineStr">
        <is>
          <t>Kế hoạch</t>
        </is>
      </c>
      <c r="H8" s="20" t="inlineStr">
        <is>
          <t>Một phần</t>
        </is>
      </c>
      <c r="I8" s="15" t="inlineStr">
        <is>
          <t>Giả lập cổng thanh toán trả lỗi/timeout</t>
        </is>
      </c>
      <c r="J8" s="15" t="inlineStr">
        <is>
          <t>1. Kích hoạt thanh toán trong lúc giả lập cổng thanh toán không phản hồi/lỗi</t>
        </is>
      </c>
      <c r="K8" s="15" t="inlineStr">
        <is>
          <t>-</t>
        </is>
      </c>
      <c r="L8" s="15" t="inlineStr">
        <is>
          <t>Hiển thị thông báo lỗi rõ ràng, giao dịch ở trạng thái thất bại/chưa xác định được xử lý minh bạch (không cấp quyền khi chưa có xác nhận thành công)</t>
        </is>
      </c>
      <c r="M8" s="15" t="inlineStr"/>
      <c r="N8" s="18" t="inlineStr">
        <is>
          <t>Chưa test</t>
        </is>
      </c>
      <c r="O8" s="15" t="inlineStr"/>
      <c r="P8" s="15" t="inlineStr"/>
      <c r="Q8" s="18" t="inlineStr">
        <is>
          <t>Chưa test</t>
        </is>
      </c>
      <c r="R8" s="15" t="inlineStr"/>
    </row>
    <row r="9" ht="30" customHeight="1">
      <c r="A9" s="14" t="inlineStr">
        <is>
          <t>TC-INTEG-008</t>
        </is>
      </c>
      <c r="B9" s="15" t="inlineStr">
        <is>
          <t>API / Tích hợp &amp; Concurrency</t>
        </is>
      </c>
      <c r="C9" s="15" t="inlineStr">
        <is>
          <t>Bên thứ 3 lỗi</t>
        </is>
      </c>
      <c r="D9" s="15" t="inlineStr">
        <is>
          <t>Dịch vụ gửi email lỗi không làm gián đoạn luồng nghiệp vụ chính</t>
        </is>
      </c>
      <c r="E9" s="15" t="inlineStr">
        <is>
          <t>Tích hợp</t>
        </is>
      </c>
      <c r="F9" s="20" t="inlineStr">
        <is>
          <t>Trung bình</t>
        </is>
      </c>
      <c r="G9" s="20" t="inlineStr">
        <is>
          <t>Kế hoạch</t>
        </is>
      </c>
      <c r="H9" s="16" t="inlineStr">
        <is>
          <t>Không</t>
        </is>
      </c>
      <c r="I9" s="15" t="inlineStr">
        <is>
          <t>Giả lập dịch vụ email tạm thời lỗi</t>
        </is>
      </c>
      <c r="J9" s="15" t="inlineStr">
        <is>
          <t>1. Giả lập email service lỗi/timeout
2. Thực hiện đăng ký tài khoản hoặc thanh toán thành công</t>
        </is>
      </c>
      <c r="K9" s="15" t="inlineStr">
        <is>
          <t>-</t>
        </is>
      </c>
      <c r="L9" s="15" t="inlineStr">
        <is>
          <t>Đăng ký/thanh toán vẫn hoàn tất thành công, email được đưa vào hàng đợi thử gửi lại sau, không chặn luồng chính</t>
        </is>
      </c>
      <c r="M9" s="15" t="inlineStr"/>
      <c r="N9" s="18" t="inlineStr">
        <is>
          <t>Chưa test</t>
        </is>
      </c>
      <c r="O9" s="15" t="inlineStr"/>
      <c r="P9" s="15" t="inlineStr"/>
      <c r="Q9" s="18" t="inlineStr">
        <is>
          <t>Chưa test</t>
        </is>
      </c>
      <c r="R9" s="15" t="inlineStr"/>
    </row>
    <row r="10" ht="30" customHeight="1">
      <c r="A10" s="14" t="inlineStr">
        <is>
          <t>TC-INTEG-009</t>
        </is>
      </c>
      <c r="B10" s="15" t="inlineStr">
        <is>
          <t>API / Tích hợp &amp; Concurrency</t>
        </is>
      </c>
      <c r="C10" s="15" t="inlineStr">
        <is>
          <t>Real-time</t>
        </is>
      </c>
      <c r="D10" s="15" t="inlineStr">
        <is>
          <t>Tin nhắn/thông báo real-time tự kết nối lại sau khi mất mạng tạm thời</t>
        </is>
      </c>
      <c r="E10" s="15" t="inlineStr">
        <is>
          <t>Tích hợp</t>
        </is>
      </c>
      <c r="F10" s="20" t="inlineStr">
        <is>
          <t>Trung bình</t>
        </is>
      </c>
      <c r="G10" s="20" t="inlineStr">
        <is>
          <t>Kế hoạch</t>
        </is>
      </c>
      <c r="H10" s="20" t="inlineStr">
        <is>
          <t>Một phần</t>
        </is>
      </c>
      <c r="I10" s="15" t="inlineStr">
        <is>
          <t>Đang mở kết nối real-time (WebSocket) cho chat/thông báo</t>
        </is>
      </c>
      <c r="J10" s="15" t="inlineStr">
        <is>
          <t>1. Đang trong phiên chat/nhận thông báo real-time
2. Ngắt mạng trong vài giây rồi kết nối lại</t>
        </is>
      </c>
      <c r="K10" s="15" t="inlineStr">
        <is>
          <t>-</t>
        </is>
      </c>
      <c r="L10" s="15" t="inlineStr">
        <is>
          <t>Kết nối tự động thiết lập lại, không mất tin nhắn/thông báo phát sinh trong lúc mất kết nối (đồng bộ lại khi online)</t>
        </is>
      </c>
      <c r="M10" s="15" t="inlineStr"/>
      <c r="N10" s="18" t="inlineStr">
        <is>
          <t>Chưa test</t>
        </is>
      </c>
      <c r="O10" s="15" t="inlineStr"/>
      <c r="P10" s="15" t="inlineStr"/>
      <c r="Q10" s="18" t="inlineStr">
        <is>
          <t>Chưa test</t>
        </is>
      </c>
      <c r="R10" s="15" t="inlineStr"/>
    </row>
    <row r="11" ht="45" customHeight="1">
      <c r="A11" s="14" t="inlineStr">
        <is>
          <t>TC-INTEG-010</t>
        </is>
      </c>
      <c r="B11" s="15" t="inlineStr">
        <is>
          <t>API / Tích hợp &amp; Concurrency</t>
        </is>
      </c>
      <c r="C11" s="15" t="inlineStr">
        <is>
          <t>Phân trang dưới tải</t>
        </is>
      </c>
      <c r="D11" s="15" t="inlineStr">
        <is>
          <t>Phân trang không trùng/thiếu dữ liệu khi có bản ghi mới thêm liên tục khi đang cuộn</t>
        </is>
      </c>
      <c r="E11" s="15" t="inlineStr">
        <is>
          <t>Chức năng</t>
        </is>
      </c>
      <c r="F11" s="17" t="inlineStr">
        <is>
          <t>Thấp</t>
        </is>
      </c>
      <c r="G11" s="17" t="inlineStr">
        <is>
          <t>Đã hoàn thiện</t>
        </is>
      </c>
      <c r="H11" s="17" t="inlineStr">
        <is>
          <t>Có</t>
        </is>
      </c>
      <c r="I11" s="15" t="inlineStr">
        <is>
          <t>Bảng tin/danh sách đang có dữ liệu mới liên tục được thêm vào</t>
        </is>
      </c>
      <c r="J11" s="15" t="inlineStr">
        <is>
          <t>1. Người dùng đang xem trang 1 danh sách
2. Trong lúc đó có bài viết/khóa học mới được thêm vào hệ thống
3. Chuyển sang trang 2</t>
        </is>
      </c>
      <c r="K11" s="15" t="inlineStr">
        <is>
          <t>-</t>
        </is>
      </c>
      <c r="L11" s="15" t="inlineStr">
        <is>
          <t>Không hiển thị trùng lặp bản ghi giữa các trang, không bị nhảy/mất bản ghi một cách bất thường</t>
        </is>
      </c>
      <c r="M11" s="15" t="inlineStr"/>
      <c r="N11" s="18" t="inlineStr">
        <is>
          <t>Chưa test</t>
        </is>
      </c>
      <c r="O11" s="15" t="inlineStr"/>
      <c r="P11" s="15" t="inlineStr"/>
      <c r="Q11" s="18" t="inlineStr">
        <is>
          <t>Chưa test</t>
        </is>
      </c>
      <c r="R11" s="15" t="inlineStr"/>
    </row>
    <row r="12" ht="30" customHeight="1">
      <c r="A12" s="14" t="inlineStr">
        <is>
          <t>TC-INTEG-011</t>
        </is>
      </c>
      <c r="B12" s="15" t="inlineStr">
        <is>
          <t>API / Tích hợp &amp; Concurrency</t>
        </is>
      </c>
      <c r="C12" s="15" t="inlineStr">
        <is>
          <t>Refresh token race condition</t>
        </is>
      </c>
      <c r="D12" s="15" t="inlineStr">
        <is>
          <t>Nhiều request song song cùng dùng 1 refresh token không tạo lỗi/session thừa</t>
        </is>
      </c>
      <c r="E12" s="15" t="inlineStr">
        <is>
          <t>Bảo mật</t>
        </is>
      </c>
      <c r="F12" s="20" t="inlineStr">
        <is>
          <t>Trung bình</t>
        </is>
      </c>
      <c r="G12" s="17" t="inlineStr">
        <is>
          <t>Đã hoàn thiện</t>
        </is>
      </c>
      <c r="H12" s="17" t="inlineStr">
        <is>
          <t>Có</t>
        </is>
      </c>
      <c r="I12" s="15" t="inlineStr">
        <is>
          <t>Access token vừa hết hạn, có nhiều tab/request gọi API gần như đồng thời</t>
        </is>
      </c>
      <c r="J12" s="15" t="inlineStr">
        <is>
          <t>1. Mở nhiều tab cùng 1 tài khoản khi access token vừa hết hạn
2. Cả nhiều tab cùng lúc gọi API refresh token gần như đồng thời</t>
        </is>
      </c>
      <c r="K12" s="15" t="inlineStr">
        <is>
          <t>-</t>
        </is>
      </c>
      <c r="L12" s="15" t="inlineStr">
        <is>
          <t>Hệ thống xử lý nhất quán (chỉ 1 request refresh thành công, các request khác nhận lại access token mới hợp lệ hoặc lỗi rõ ràng để retry), không văng lỗi hàng loạt hay tạo token thừa không kiểm soát</t>
        </is>
      </c>
      <c r="M12" s="15" t="inlineStr"/>
      <c r="N12" s="18" t="inlineStr">
        <is>
          <t>Chưa test</t>
        </is>
      </c>
      <c r="O12" s="15" t="inlineStr"/>
      <c r="P12" s="15" t="inlineStr"/>
      <c r="Q12" s="18" t="inlineStr">
        <is>
          <t>Chưa test</t>
        </is>
      </c>
      <c r="R12" s="15" t="inlineStr"/>
    </row>
    <row r="13" ht="30" customHeight="1">
      <c r="A13" s="14" t="inlineStr">
        <is>
          <t>TC-INTEG-012</t>
        </is>
      </c>
      <c r="B13" s="15" t="inlineStr">
        <is>
          <t>API / Tích hợp &amp; Concurrency</t>
        </is>
      </c>
      <c r="C13" s="15" t="inlineStr">
        <is>
          <t>Hiệu năng tải cao</t>
        </is>
      </c>
      <c r="D13" s="15" t="inlineStr">
        <is>
          <t>Hệ thống ổn định khi nhiều người dùng tìm kiếm/khám phá đồng thời (load test cơ bản)</t>
        </is>
      </c>
      <c r="E13" s="15" t="inlineStr">
        <is>
          <t>Hiệu năng</t>
        </is>
      </c>
      <c r="F13" s="20" t="inlineStr">
        <is>
          <t>Trung bình</t>
        </is>
      </c>
      <c r="G13" s="20" t="inlineStr">
        <is>
          <t>Kế hoạch</t>
        </is>
      </c>
      <c r="H13" s="16" t="inlineStr">
        <is>
          <t>Không</t>
        </is>
      </c>
      <c r="I13" s="15" t="inlineStr">
        <is>
          <t>Môi trường test có công cụ load test</t>
        </is>
      </c>
      <c r="J13" s="15" t="inlineStr">
        <is>
          <t>1. Dùng công cụ load test giả lập ~100-200 người dùng đồng thời gọi API tìm kiếm/trang khám phá trong vài phút</t>
        </is>
      </c>
      <c r="K13" s="15" t="inlineStr">
        <is>
          <t>~100-200 concurrent users</t>
        </is>
      </c>
      <c r="L13" s="15" t="inlineStr">
        <is>
          <t>Thời gian phản hồi vẫn ở mức chấp nhận được, không có lỗi 5xx hàng loạt, hệ thống không sập</t>
        </is>
      </c>
      <c r="M13" s="15" t="inlineStr"/>
      <c r="N13" s="18" t="inlineStr">
        <is>
          <t>Chưa test</t>
        </is>
      </c>
      <c r="O13" s="15" t="inlineStr"/>
      <c r="P13" s="15" t="inlineStr"/>
      <c r="Q13" s="18" t="inlineStr">
        <is>
          <t>Chưa test</t>
        </is>
      </c>
      <c r="R13" s="15" t="inlineStr"/>
    </row>
    <row r="14" ht="30" customHeight="1">
      <c r="A14" s="14" t="inlineStr">
        <is>
          <t>TC-INTEG-013</t>
        </is>
      </c>
      <c r="B14" s="15" t="inlineStr">
        <is>
          <t>API / Tích hợp &amp; Concurrency</t>
        </is>
      </c>
      <c r="C14" s="15" t="inlineStr">
        <is>
          <t>Đối soát dữ liệu</t>
        </is>
      </c>
      <c r="D14" s="15" t="inlineStr">
        <is>
          <t>Số liệu doanh thu Owner khớp với tổng giao dịch thực tế ghi nhận ở cổng thanh toán</t>
        </is>
      </c>
      <c r="E14" s="15" t="inlineStr">
        <is>
          <t>Tích hợp</t>
        </is>
      </c>
      <c r="F14" s="16" t="inlineStr">
        <is>
          <t>Cao</t>
        </is>
      </c>
      <c r="G14" s="20" t="inlineStr">
        <is>
          <t>Kế hoạch</t>
        </is>
      </c>
      <c r="H14" s="16" t="inlineStr">
        <is>
          <t>Không</t>
        </is>
      </c>
      <c r="I14" s="15" t="inlineStr">
        <is>
          <t>Có nhiều giao dịch đã phát sinh trong kỳ</t>
        </is>
      </c>
      <c r="J14" s="15" t="inlineStr">
        <is>
          <t>1. Lấy báo cáo giao dịch từ cổng thanh toán trong 1 khoảng thời gian
2. Đối chiếu với số liệu hiển thị ở trang Doanh thu của Owner tương ứng</t>
        </is>
      </c>
      <c r="K14" s="15" t="inlineStr">
        <is>
          <t>-</t>
        </is>
      </c>
      <c r="L14" s="15" t="inlineStr">
        <is>
          <t>Số liệu khớp nhau (sau khi trừ đúng hoa hồng/phí cổng thanh toán theo công thức đã định), không lệch số</t>
        </is>
      </c>
      <c r="M14" s="15" t="inlineStr"/>
      <c r="N14" s="18" t="inlineStr">
        <is>
          <t>Chưa test</t>
        </is>
      </c>
      <c r="O14" s="15" t="inlineStr"/>
      <c r="P14" s="15" t="inlineStr"/>
      <c r="Q14" s="18" t="inlineStr">
        <is>
          <t>Chưa test</t>
        </is>
      </c>
      <c r="R14" s="15" t="inlineStr"/>
    </row>
    <row r="15" ht="45" customHeight="1">
      <c r="A15" s="14" t="inlineStr">
        <is>
          <t>TC-INTEG-014</t>
        </is>
      </c>
      <c r="B15" s="15" t="inlineStr">
        <is>
          <t>API / Tích hợp &amp; Concurrency</t>
        </is>
      </c>
      <c r="C15" s="15" t="inlineStr">
        <is>
          <t>Concurrency: RSVP</t>
        </is>
      </c>
      <c r="D15" s="15" t="inlineStr">
        <is>
          <t>Hai member RSVP song song vào chỗ cuối (seed-event-photo-limited): chỉ một người được giữ chỗ</t>
        </is>
      </c>
      <c r="E15" s="15" t="inlineStr">
        <is>
          <t>Tích hợp</t>
        </is>
      </c>
      <c r="F15" s="16" t="inlineStr">
        <is>
          <t>Cao</t>
        </is>
      </c>
      <c r="G15" s="17" t="inlineStr">
        <is>
          <t>Đã hoàn thiện</t>
        </is>
      </c>
      <c r="H15" s="17" t="inlineStr">
        <is>
          <t>Có</t>
        </is>
      </c>
      <c r="I15" s="15" t="inlineStr">
        <is>
          <t>Đã chạy `npm run db:reset` (Postgres :5435 + seed), BE :4000, FE :5173. Sự kiện seed-event-photo-limited: sức chứa 3, đã có 2 người (member2 + demo-photo-1) → còn đúng 1 chỗ. member1 và member3 đều chưa RSVP.</t>
        </is>
      </c>
      <c r="J15" s="15" t="inlineStr">
        <is>
          <t>1. Lấy token member1 và member3
2. Gửi đồng thời (Promise.all) POST /api/events/seed-event-photo-limited/rsvp bằng cả hai token
3. GET /api/events/seed-event-photo-limited bằng owner</t>
        </is>
      </c>
      <c r="K15" s="15" t="inlineStr">
        <is>
          <t>2 request song song</t>
        </is>
      </c>
      <c r="L15"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15" s="15" t="inlineStr"/>
      <c r="N15" s="18" t="inlineStr">
        <is>
          <t>Chưa test</t>
        </is>
      </c>
      <c r="O15" s="15" t="inlineStr"/>
      <c r="P15" s="15" t="inlineStr"/>
      <c r="Q15" s="18" t="inlineStr">
        <is>
          <t>Chưa test</t>
        </is>
      </c>
      <c r="R15" s="15" t="inlineStr"/>
    </row>
    <row r="16" ht="30" customHeight="1">
      <c r="A16" s="14" t="inlineStr">
        <is>
          <t>TC-INTEG-015</t>
        </is>
      </c>
      <c r="B16" s="15" t="inlineStr">
        <is>
          <t>API / Tích hợp &amp; Concurrency</t>
        </is>
      </c>
      <c r="C16" s="15" t="inlineStr">
        <is>
          <t>Concurrency: RSVP</t>
        </is>
      </c>
      <c r="D16" s="15" t="inlineStr">
        <is>
          <t>Sự kiện đã đầy (seed-event-photo-full 2/2) và sự kiện đã qua (seed-event-photo-past) từ chối RSVP</t>
        </is>
      </c>
      <c r="E16" s="15" t="inlineStr">
        <is>
          <t>Chức năng</t>
        </is>
      </c>
      <c r="F16" s="20" t="inlineStr">
        <is>
          <t>Trung bình</t>
        </is>
      </c>
      <c r="G16" s="17" t="inlineStr">
        <is>
          <t>Đã hoàn thiện</t>
        </is>
      </c>
      <c r="H16" s="17" t="inlineStr">
        <is>
          <t>Có</t>
        </is>
      </c>
      <c r="I16" s="15" t="inlineStr">
        <is>
          <t>Đã chạy `npm run db:reset` (Postgres :5435 + seed), BE :4000, FE :5173. member1 đăng nhập.</t>
        </is>
      </c>
      <c r="J16" s="15" t="inlineStr">
        <is>
          <t>1. POST /api/events/seed-event-photo-full/rsvp
2. POST /api/events/seed-event-photo-past/rsvp</t>
        </is>
      </c>
      <c r="K16" s="15" t="inlineStr">
        <is>
          <t>-</t>
        </is>
      </c>
      <c r="L16" s="15" t="inlineStr">
        <is>
          <t>Sự kiện đầy: 409 CONFLICT "Sự kiện đã đủ số lượng đăng ký"; sự kiện đã qua: 400 BAD_REQUEST "Sự kiện đã diễn ra, không thể đăng ký"; rsvpCount không đổi.</t>
        </is>
      </c>
      <c r="M16" s="15" t="inlineStr"/>
      <c r="N16" s="18" t="inlineStr">
        <is>
          <t>Chưa test</t>
        </is>
      </c>
      <c r="O16" s="15" t="inlineStr"/>
      <c r="P16" s="15" t="inlineStr"/>
      <c r="Q16" s="18" t="inlineStr">
        <is>
          <t>Chưa test</t>
        </is>
      </c>
      <c r="R16" s="15" t="inlineStr"/>
    </row>
    <row r="17" ht="30" customHeight="1">
      <c r="A17" s="14" t="inlineStr">
        <is>
          <t>TC-INTEG-016</t>
        </is>
      </c>
      <c r="B17" s="15" t="inlineStr">
        <is>
          <t>API / Tích hợp &amp; Concurrency</t>
        </is>
      </c>
      <c r="C17" s="15" t="inlineStr">
        <is>
          <t>Concurrency: RSVP</t>
        </is>
      </c>
      <c r="D17" s="15" t="inlineStr">
        <is>
          <t>Cùng một user bấm RSVP 2 lần song song: không tạo bản ghi trùng, không 500</t>
        </is>
      </c>
      <c r="E17" s="15" t="inlineStr">
        <is>
          <t>Tích hợp</t>
        </is>
      </c>
      <c r="F17" s="20" t="inlineStr">
        <is>
          <t>Trung bình</t>
        </is>
      </c>
      <c r="G17" s="17" t="inlineStr">
        <is>
          <t>Đã hoàn thiện</t>
        </is>
      </c>
      <c r="H17" s="17" t="inlineStr">
        <is>
          <t>Có</t>
        </is>
      </c>
      <c r="I17" s="15" t="inlineStr">
        <is>
          <t>Đã chạy `npm run db:reset` (Postgres :5435 + seed), BE :4000, FE :5173. member1 đăng nhập; sự kiện seed-event-photo-limited còn chỗ (ghi lại rsvpCount ban đầu N).</t>
        </is>
      </c>
      <c r="J17" s="15" t="inlineStr">
        <is>
          <t>1. Gửi đồng thời 2 POST /api/events/seed-event-photo-limited/rsvp bằng token member1
2. GET lại sự kiện, đọc rsvpCount và danh sách RSVP của member1</t>
        </is>
      </c>
      <c r="K17" s="15" t="inlineStr">
        <is>
          <t>-</t>
        </is>
      </c>
      <c r="L17" s="15" t="inlineStr">
        <is>
          <t>Không lỗi 500; rsvpCount cuối ∈ {N, N+1} (toggle: hai lệnh có thể triệt tiêu nhau) và member1 xuất hiện tối đa 1 lần trong danh sách RSVP (khóa unique). Điểm event_rsvp được cộng tối đa 1 lần.</t>
        </is>
      </c>
      <c r="M17" s="15" t="inlineStr"/>
      <c r="N17" s="18" t="inlineStr">
        <is>
          <t>Chưa test</t>
        </is>
      </c>
      <c r="O17" s="15" t="inlineStr"/>
      <c r="P17" s="15" t="inlineStr"/>
      <c r="Q17" s="18" t="inlineStr">
        <is>
          <t>Chưa test</t>
        </is>
      </c>
      <c r="R17" s="15" t="inlineStr"/>
    </row>
    <row r="18" ht="30" customHeight="1">
      <c r="A18" s="14" t="inlineStr">
        <is>
          <t>TC-INTEG-017</t>
        </is>
      </c>
      <c r="B18" s="15" t="inlineStr">
        <is>
          <t>API / Tích hợp &amp; Concurrency</t>
        </is>
      </c>
      <c r="C18" s="15" t="inlineStr">
        <is>
          <t>Concurrency: RSVP</t>
        </is>
      </c>
      <c r="D18" s="15" t="inlineStr">
        <is>
          <t>Hủy RSVP tường minh (DELETE) idempotent khi gọi lặp</t>
        </is>
      </c>
      <c r="E18" s="15" t="inlineStr">
        <is>
          <t>Chức năng</t>
        </is>
      </c>
      <c r="F18" s="17" t="inlineStr">
        <is>
          <t>Thấp</t>
        </is>
      </c>
      <c r="G18" s="17" t="inlineStr">
        <is>
          <t>Đã hoàn thiện</t>
        </is>
      </c>
      <c r="H18" s="17" t="inlineStr">
        <is>
          <t>Có</t>
        </is>
      </c>
      <c r="I18" s="15" t="inlineStr">
        <is>
          <t>Đã chạy `npm run db:reset` (Postgres :5435 + seed), BE :4000, FE :5173. member2 đã RSVP seed-event-photo-limited.</t>
        </is>
      </c>
      <c r="J18" s="15" t="inlineStr">
        <is>
          <t>1. DELETE /api/events/seed-event-photo-limited/rsvp
2. DELETE lần 2</t>
        </is>
      </c>
      <c r="K18" s="15" t="inlineStr">
        <is>
          <t>-</t>
        </is>
      </c>
      <c r="L18" s="15" t="inlineStr">
        <is>
          <t>Cả hai 200 {rsvped:false, rsvpCount}; lần 1 giảm rsvpCount 1 đơn vị, lần 2 giữ nguyên (chưa đăng ký vẫn 200).</t>
        </is>
      </c>
      <c r="M18" s="15" t="inlineStr"/>
      <c r="N18" s="18" t="inlineStr">
        <is>
          <t>Chưa test</t>
        </is>
      </c>
      <c r="O18" s="15" t="inlineStr"/>
      <c r="P18" s="15" t="inlineStr"/>
      <c r="Q18" s="18" t="inlineStr">
        <is>
          <t>Chưa test</t>
        </is>
      </c>
      <c r="R18" s="15" t="inlineStr"/>
    </row>
    <row r="19" ht="45" customHeight="1">
      <c r="A19" s="14" t="inlineStr">
        <is>
          <t>TC-INTEG-018</t>
        </is>
      </c>
      <c r="B19" s="15" t="inlineStr">
        <is>
          <t>API / Tích hợp &amp; Concurrency</t>
        </is>
      </c>
      <c r="C19" s="15" t="inlineStr">
        <is>
          <t>Concurrency: thanh toán</t>
        </is>
      </c>
      <c r="D19" s="15" t="inlineStr">
        <is>
          <t>Xác nhận thanh toán (confirm) 2 lần song song: chỉ tính tiền và xuất hóa đơn một lần</t>
        </is>
      </c>
      <c r="E19" s="15" t="inlineStr">
        <is>
          <t>Tích hợp</t>
        </is>
      </c>
      <c r="F19" s="16" t="inlineStr">
        <is>
          <t>Cao</t>
        </is>
      </c>
      <c r="G19" s="17" t="inlineStr">
        <is>
          <t>Đã hoàn thiện</t>
        </is>
      </c>
      <c r="H19" s="17" t="inlineStr">
        <is>
          <t>Có</t>
        </is>
      </c>
      <c r="I19" s="15" t="inlineStr">
        <is>
          <t>Đã chạy `npm run db:reset` (Postgres :5435 + seed), BE :4000, FE :5173. newbie đăng nhập; paid-demo giá $19. Tạo giao dịch: POST /api/courses/paid-demo/checkout {method:'stripe'} → lấy payment id (status pending).</t>
        </is>
      </c>
      <c r="J19" s="15" t="inlineStr">
        <is>
          <t>1. Gửi đồng thời 2 POST /api/payments/&lt;id&gt;/confirm bằng token newbie
2. GET /api/me/payments
3. GET /api/payments/&lt;id&gt;/invoice</t>
        </is>
      </c>
      <c r="K19" s="15" t="inlineStr">
        <is>
          <t>method=stripe</t>
        </is>
      </c>
      <c r="L19" s="15" t="inlineStr">
        <is>
          <t>Cổng chỉ bị trừ 1 lần (MockGateway chỉ ghi 1 charge); giao dịch status=succeeded, chỉ có 1 invoiceNumber dạng INV-&lt;năm&gt;-&lt;6 số&gt; (không trùng/không hở dãy); newbie trở thành member paid-demo đúng một lần, có duy nhất 1 Subscription; không có 500.</t>
        </is>
      </c>
      <c r="M19" s="15" t="inlineStr"/>
      <c r="N19" s="18" t="inlineStr">
        <is>
          <t>Chưa test</t>
        </is>
      </c>
      <c r="O19" s="15" t="inlineStr"/>
      <c r="P19" s="15" t="inlineStr"/>
      <c r="Q19" s="18" t="inlineStr">
        <is>
          <t>Chưa test</t>
        </is>
      </c>
      <c r="R19" s="15" t="inlineStr"/>
    </row>
    <row r="20" ht="45" customHeight="1">
      <c r="A20" s="14" t="inlineStr">
        <is>
          <t>TC-INTEG-019</t>
        </is>
      </c>
      <c r="B20" s="15" t="inlineStr">
        <is>
          <t>API / Tích hợp &amp; Concurrency</t>
        </is>
      </c>
      <c r="C20" s="15" t="inlineStr">
        <is>
          <t>Concurrency: thanh toán</t>
        </is>
      </c>
      <c r="D20" s="15" t="inlineStr">
        <is>
          <t>Idempotency-Key: gửi checkout 2 lần với cùng key trả về cùng một giao dịch</t>
        </is>
      </c>
      <c r="E20" s="15" t="inlineStr">
        <is>
          <t>Tích hợp</t>
        </is>
      </c>
      <c r="F20" s="16" t="inlineStr">
        <is>
          <t>Cao</t>
        </is>
      </c>
      <c r="G20" s="17" t="inlineStr">
        <is>
          <t>Đã hoàn thiện</t>
        </is>
      </c>
      <c r="H20" s="17" t="inlineStr">
        <is>
          <t>Có</t>
        </is>
      </c>
      <c r="I20" s="15" t="inlineStr">
        <is>
          <t>Đã chạy `npm run db:reset` (Postgres :5435 + seed), BE :4000, FE :5173. newbie đăng nhập.</t>
        </is>
      </c>
      <c r="J20" s="15" t="inlineStr">
        <is>
          <t>1. POST /api/courses/paid-demo/checkout {method:'stripe'} với header Idempotency-Key: key-abc-1
2. Lặp lại đúng request
3. GET /api/me/payments</t>
        </is>
      </c>
      <c r="K20" s="15" t="inlineStr">
        <is>
          <t>Idempotency-Key: key-abc-1</t>
        </is>
      </c>
      <c r="L20" s="15" t="inlineStr">
        <is>
          <t>Cả hai 201 với cùng payment.id; danh sách giao dịch của newbie chỉ có 1 dòng pending cho lần checkout này; giá lấy từ server ($19 = 1900 cent) dù body có gửi amountCents khác.</t>
        </is>
      </c>
      <c r="M20" s="15" t="inlineStr"/>
      <c r="N20" s="18" t="inlineStr">
        <is>
          <t>Chưa test</t>
        </is>
      </c>
      <c r="O20" s="15" t="inlineStr"/>
      <c r="P20" s="15" t="inlineStr"/>
      <c r="Q20" s="18" t="inlineStr">
        <is>
          <t>Chưa test</t>
        </is>
      </c>
      <c r="R20" s="15" t="inlineStr"/>
    </row>
    <row r="21" ht="30" customHeight="1">
      <c r="A21" s="14" t="inlineStr">
        <is>
          <t>TC-INTEG-020</t>
        </is>
      </c>
      <c r="B21" s="15" t="inlineStr">
        <is>
          <t>API / Tích hợp &amp; Concurrency</t>
        </is>
      </c>
      <c r="C21" s="15" t="inlineStr">
        <is>
          <t>Concurrency: thanh toán</t>
        </is>
      </c>
      <c r="D21" s="15" t="inlineStr">
        <is>
          <t>Idempotency-Key dùng lại cho khóa học khác bị 409</t>
        </is>
      </c>
      <c r="E21" s="15" t="inlineStr">
        <is>
          <t>Chức năng</t>
        </is>
      </c>
      <c r="F21" s="20" t="inlineStr">
        <is>
          <t>Trung bình</t>
        </is>
      </c>
      <c r="G21" s="17" t="inlineStr">
        <is>
          <t>Đã hoàn thiện</t>
        </is>
      </c>
      <c r="H21" s="17" t="inlineStr">
        <is>
          <t>Có</t>
        </is>
      </c>
      <c r="I21" s="15" t="inlineStr">
        <is>
          <t>Đã chạy `npm run db:reset` (Postgres :5435 + seed), BE :4000, FE :5173. newbie đã checkout paid-demo với key-abc-1 (case trước).</t>
        </is>
      </c>
      <c r="J21" s="15" t="inlineStr">
        <is>
          <t>1. POST /api/courses/yt/checkout {method:'stripe'} với Idempotency-Key: key-abc-1</t>
        </is>
      </c>
      <c r="K21" s="15" t="inlineStr">
        <is>
          <t>yt là cộng đồng có phí</t>
        </is>
      </c>
      <c r="L21" s="15" t="inlineStr">
        <is>
          <t>409 CONFLICT, message "Idempotency-Key này đã được dùng cho giao dịch khác"; không tạo giao dịch mới cho yt.</t>
        </is>
      </c>
      <c r="M21" s="15" t="inlineStr"/>
      <c r="N21" s="18" t="inlineStr">
        <is>
          <t>Chưa test</t>
        </is>
      </c>
      <c r="O21" s="15" t="inlineStr"/>
      <c r="P21" s="15" t="inlineStr"/>
      <c r="Q21" s="18" t="inlineStr">
        <is>
          <t>Chưa test</t>
        </is>
      </c>
      <c r="R21" s="15" t="inlineStr"/>
    </row>
    <row r="22" ht="45" customHeight="1">
      <c r="A22" s="14" t="inlineStr">
        <is>
          <t>TC-INTEG-021</t>
        </is>
      </c>
      <c r="B22" s="15" t="inlineStr">
        <is>
          <t>API / Tích hợp &amp; Concurrency</t>
        </is>
      </c>
      <c r="C22" s="15" t="inlineStr">
        <is>
          <t>Concurrency: thanh toán</t>
        </is>
      </c>
      <c r="D22" s="15" t="inlineStr">
        <is>
          <t>Hai checkout song song cùng Idempotency-Key: DB chỉ giữ một giao dịch</t>
        </is>
      </c>
      <c r="E22" s="15" t="inlineStr">
        <is>
          <t>Tích hợp</t>
        </is>
      </c>
      <c r="F22" s="16" t="inlineStr">
        <is>
          <t>Cao</t>
        </is>
      </c>
      <c r="G22" s="17" t="inlineStr">
        <is>
          <t>Đã hoàn thiện</t>
        </is>
      </c>
      <c r="H22" s="17" t="inlineStr">
        <is>
          <t>Có</t>
        </is>
      </c>
      <c r="I22" s="15" t="inlineStr">
        <is>
          <t>Đã chạy `npm run db:reset` (Postgres :5435 + seed), BE :4000, FE :5173. member ngoài paid-demo (đăng ký user mới).</t>
        </is>
      </c>
      <c r="J22" s="15" t="inlineStr">
        <is>
          <t>1. Gửi đồng thời 2 POST /api/courses/paid-demo/checkout cùng header Idempotency-Key: race-1
2. So sánh payment.id hai response
3. GET /api/me/payments</t>
        </is>
      </c>
      <c r="K22" s="15" t="inlineStr">
        <is>
          <t>-</t>
        </is>
      </c>
      <c r="L22" s="15" t="inlineStr">
        <is>
          <t>Cả hai 201 và cùng payment.id (bên thua unique (userId,key) rollback rồi trả giao dịch của bên thắng); chỉ 1 giao dịch pending trong DB.</t>
        </is>
      </c>
      <c r="M22" s="15" t="inlineStr"/>
      <c r="N22" s="18" t="inlineStr">
        <is>
          <t>Chưa test</t>
        </is>
      </c>
      <c r="O22" s="15" t="inlineStr"/>
      <c r="P22" s="15" t="inlineStr"/>
      <c r="Q22" s="18" t="inlineStr">
        <is>
          <t>Chưa test</t>
        </is>
      </c>
      <c r="R22" s="15" t="inlineStr"/>
    </row>
    <row r="23" ht="30" customHeight="1">
      <c r="A23" s="14" t="inlineStr">
        <is>
          <t>TC-INTEG-022</t>
        </is>
      </c>
      <c r="B23" s="15" t="inlineStr">
        <is>
          <t>API / Tích hợp &amp; Concurrency</t>
        </is>
      </c>
      <c r="C23" s="15" t="inlineStr">
        <is>
          <t>Concurrency: thanh toán</t>
        </is>
      </c>
      <c r="D23" s="15" t="inlineStr">
        <is>
          <t>Dùng thử (trial) 2 lần song song: chỉ một lần thành công</t>
        </is>
      </c>
      <c r="E23" s="15" t="inlineStr">
        <is>
          <t>Tích hợp</t>
        </is>
      </c>
      <c r="F23" s="20" t="inlineStr">
        <is>
          <t>Trung bình</t>
        </is>
      </c>
      <c r="G23" s="17" t="inlineStr">
        <is>
          <t>Đã hoàn thiện</t>
        </is>
      </c>
      <c r="H23" s="17" t="inlineStr">
        <is>
          <t>Có</t>
        </is>
      </c>
      <c r="I23" s="15" t="inlineStr">
        <is>
          <t>Đã chạy `npm run db:reset` (Postgres :5435 + seed), BE :4000, FE :5173. user mới chưa từng dùng thử paid-demo.</t>
        </is>
      </c>
      <c r="J23" s="15" t="inlineStr">
        <is>
          <t>1. Gửi đồng thời 2 POST /api/courses/paid-demo/trial
2. GET /api/me/subscriptions</t>
        </is>
      </c>
      <c r="K23" s="15" t="inlineStr">
        <is>
          <t>TRIAL_DAYS=7 (giá trị tạm)</t>
        </is>
      </c>
      <c r="L23" s="15" t="inlineStr">
        <is>
          <t>Một request 201 (Subscription trialing, currentPeriodEnd = now + 7 ngày), một request 409 CONFLICT "Bạn đã dùng thử cộng đồng này rồi" hoặc "Bạn đã tham gia cộng đồng này rồi"; chỉ 1 subscription.</t>
        </is>
      </c>
      <c r="M23" s="15" t="inlineStr"/>
      <c r="N23" s="18" t="inlineStr">
        <is>
          <t>Chưa test</t>
        </is>
      </c>
      <c r="O23" s="15" t="inlineStr"/>
      <c r="P23" s="15" t="inlineStr"/>
      <c r="Q23" s="18" t="inlineStr">
        <is>
          <t>Chưa test</t>
        </is>
      </c>
      <c r="R23" s="15" t="inlineStr"/>
    </row>
    <row r="24" ht="30" customHeight="1">
      <c r="A24" s="14" t="inlineStr">
        <is>
          <t>TC-INTEG-023</t>
        </is>
      </c>
      <c r="B24" s="15" t="inlineStr">
        <is>
          <t>API / Tích hợp &amp; Concurrency</t>
        </is>
      </c>
      <c r="C24" s="15" t="inlineStr">
        <is>
          <t>Concurrency: thanh toán</t>
        </is>
      </c>
      <c r="D24" s="15" t="inlineStr">
        <is>
          <t>Hai lệnh rút tiền song song không vượt số dư (khóa hàng Course)</t>
        </is>
      </c>
      <c r="E24" s="15" t="inlineStr">
        <is>
          <t>Tích hợp</t>
        </is>
      </c>
      <c r="F24" s="16" t="inlineStr">
        <is>
          <t>Cao</t>
        </is>
      </c>
      <c r="G24" s="17" t="inlineStr">
        <is>
          <t>Đã hoàn thiện</t>
        </is>
      </c>
      <c r="H24" s="17" t="inlineStr">
        <is>
          <t>Có</t>
        </is>
      </c>
      <c r="I24" s="15" t="inlineStr">
        <is>
          <t>Đã chạy `npm run db:reset` (Postgres :5435 + seed), BE :4000, FE :5173. owner đăng nhập. Đọc availableBalanceCents = B từ GET /api/courses/paid-demo/revenue; chọn số tiền X sao cho 5000 &lt;= X &lt;= B nhưng 2X &gt; B (điều chỉnh theo B thực tế, ngưỡng tối thiểu $50 là giá trị tạm).</t>
        </is>
      </c>
      <c r="J24" s="15" t="inlineStr">
        <is>
          <t>1. Gửi đồng thời 2 POST /api/courses/paid-demo/payouts với amountCents = X
2. GET /api/courses/paid-demo/revenue</t>
        </is>
      </c>
      <c r="K24" s="15" t="inlineStr">
        <is>
          <t>amountCents = X; method bank VCB/0123456789</t>
        </is>
      </c>
      <c r="L24" s="15" t="inlineStr">
        <is>
          <t>Một request 201 (status requested, số TK ****6789), một request 400 BAD_REQUEST "Số tiền rút vượt quá số dư khả dụng"; availableBalanceCents cuối = B - X (không âm).</t>
        </is>
      </c>
      <c r="M24" s="15" t="inlineStr"/>
      <c r="N24" s="18" t="inlineStr">
        <is>
          <t>Chưa test</t>
        </is>
      </c>
      <c r="O24" s="15" t="inlineStr"/>
      <c r="P24" s="15" t="inlineStr"/>
      <c r="Q24" s="18" t="inlineStr">
        <is>
          <t>Chưa test</t>
        </is>
      </c>
      <c r="R24" s="15" t="inlineStr"/>
    </row>
    <row r="25" ht="30" customHeight="1">
      <c r="A25" s="14" t="inlineStr">
        <is>
          <t>TC-INTEG-024</t>
        </is>
      </c>
      <c r="B25" s="15" t="inlineStr">
        <is>
          <t>API / Tích hợp &amp; Concurrency</t>
        </is>
      </c>
      <c r="C25" s="15" t="inlineStr">
        <is>
          <t>Concurrency: thanh toán</t>
        </is>
      </c>
      <c r="D25" s="15" t="inlineStr">
        <is>
          <t>Hoàn tiền: hai admin duyệt song song cùng yêu cầu chỉ hoàn một lần</t>
        </is>
      </c>
      <c r="E25" s="15" t="inlineStr">
        <is>
          <t>Tích hợp</t>
        </is>
      </c>
      <c r="F25" s="16" t="inlineStr">
        <is>
          <t>Cao</t>
        </is>
      </c>
      <c r="G25" s="17" t="inlineStr">
        <is>
          <t>Đã hoàn thiện</t>
        </is>
      </c>
      <c r="H25" s="17" t="inlineStr">
        <is>
          <t>Có</t>
        </is>
      </c>
      <c r="I25" s="15" t="inlineStr">
        <is>
          <t>Đã chạy `npm run db:reset` (Postgres :5435 + seed), BE :4000, FE :5173. Yêu cầu seed-refund-pending. Hai phiên đăng nhập admin@ (hai token khác nhau).</t>
        </is>
      </c>
      <c r="J25" s="15" t="inlineStr">
        <is>
          <t>1. Gửi đồng thời 2 PATCH /api/admin/refunds/seed-refund-pending {action:'approve'}
2. GET /api/admin/refunds?status=approved</t>
        </is>
      </c>
      <c r="K25" s="15" t="inlineStr">
        <is>
          <t>-</t>
        </is>
      </c>
      <c r="L25" s="15" t="inlineStr">
        <is>
          <t>Một 200 (approved), một 409 "Yêu cầu này đã được xử lý"; giao dịch chỉ ở trạng thái refunded một lần với refundedCents = giá gói; số tiền không bị hoàn 2 lần.</t>
        </is>
      </c>
      <c r="M25" s="15" t="inlineStr"/>
      <c r="N25" s="18" t="inlineStr">
        <is>
          <t>Chưa test</t>
        </is>
      </c>
      <c r="O25" s="15" t="inlineStr"/>
      <c r="P25" s="15" t="inlineStr"/>
      <c r="Q25" s="18" t="inlineStr">
        <is>
          <t>Chưa test</t>
        </is>
      </c>
      <c r="R25" s="15" t="inlineStr"/>
    </row>
    <row r="26" ht="30" customHeight="1">
      <c r="A26" s="14" t="inlineStr">
        <is>
          <t>TC-INTEG-025</t>
        </is>
      </c>
      <c r="B26" s="15" t="inlineStr">
        <is>
          <t>API / Tích hợp &amp; Concurrency</t>
        </is>
      </c>
      <c r="C26" s="15" t="inlineStr">
        <is>
          <t>Concurrency: cộng đồng</t>
        </is>
      </c>
      <c r="D26" s="15" t="inlineStr">
        <is>
          <t>Hai admin duyệt/từ chối cùng một yêu cầu tham gia song song: chỉ một quyết định có hiệu lực</t>
        </is>
      </c>
      <c r="E26" s="15" t="inlineStr">
        <is>
          <t>Tích hợp</t>
        </is>
      </c>
      <c r="F26" s="16" t="inlineStr">
        <is>
          <t>Cao</t>
        </is>
      </c>
      <c r="G26" s="17" t="inlineStr">
        <is>
          <t>Đã hoàn thiện</t>
        </is>
      </c>
      <c r="H26" s="17" t="inlineStr">
        <is>
          <t>Có</t>
        </is>
      </c>
      <c r="I26" s="15" t="inlineStr">
        <is>
          <t>Đã chạy `npm run db:reset` (Postgres :5435 + seed), BE :4000, FE :5173. Yêu cầu pending của newbie ở private-demo (id từ GET /api/courses/private-demo/join-requests?status=pending bằng owner). owner và admin@ đăng nhập.</t>
        </is>
      </c>
      <c r="J26" s="15" t="inlineStr">
        <is>
          <t>1. Đồng thời: owner POST /api/join-requests/&lt;id&gt;/approve và admin POST /api/join-requests/&lt;id&gt;/reject
2. GET lại yêu cầu và danh sách thành viên private-demo</t>
        </is>
      </c>
      <c r="K26" s="15" t="inlineStr">
        <is>
          <t>-</t>
        </is>
      </c>
      <c r="L26" s="15" t="inlineStr">
        <is>
          <t>Một request 200, request kia 409 CONFLICT "Yêu cầu này đã được xử lý"; trạng thái cuối khớp request thắng (approved → newbie có đúng 1 Enrollment; rejected → newbie không có); newbie chỉ nhận 1 thông báo kết quả.</t>
        </is>
      </c>
      <c r="M26" s="15" t="inlineStr"/>
      <c r="N26" s="18" t="inlineStr">
        <is>
          <t>Chưa test</t>
        </is>
      </c>
      <c r="O26" s="15" t="inlineStr"/>
      <c r="P26" s="15" t="inlineStr"/>
      <c r="Q26" s="18" t="inlineStr">
        <is>
          <t>Chưa test</t>
        </is>
      </c>
      <c r="R26" s="15" t="inlineStr"/>
    </row>
    <row r="27" ht="30" customHeight="1">
      <c r="A27" s="14" t="inlineStr">
        <is>
          <t>TC-INTEG-026</t>
        </is>
      </c>
      <c r="B27" s="15" t="inlineStr">
        <is>
          <t>API / Tích hợp &amp; Concurrency</t>
        </is>
      </c>
      <c r="C27" s="15" t="inlineStr">
        <is>
          <t>Concurrency: cộng đồng</t>
        </is>
      </c>
      <c r="D27" s="15" t="inlineStr">
        <is>
          <t>Lời mời 1 lượt: hai người nhận song song, chỉ một người vào được</t>
        </is>
      </c>
      <c r="E27" s="15" t="inlineStr">
        <is>
          <t>Tích hợp</t>
        </is>
      </c>
      <c r="F27" s="16" t="inlineStr">
        <is>
          <t>Cao</t>
        </is>
      </c>
      <c r="G27" s="17" t="inlineStr">
        <is>
          <t>Đã hoàn thiện</t>
        </is>
      </c>
      <c r="H27" s="17" t="inlineStr">
        <is>
          <t>Có</t>
        </is>
      </c>
      <c r="I27" s="15" t="inlineStr">
        <is>
          <t>Đã chạy `npm run db:reset` (Postgres :5435 + seed), BE :4000, FE :5173. owner tạo lời mời cho private-demo: POST /api/courses/private-demo/invites {maxUses:1} → code C. Hai user mới U1, U2 đăng nhập.</t>
        </is>
      </c>
      <c r="J27" s="15" t="inlineStr">
        <is>
          <t>1. Đồng thời U1, U2 POST /api/invites/C/accept
2. GET /api/courses/private-demo/invites bằng owner</t>
        </is>
      </c>
      <c r="K27" s="15" t="inlineStr">
        <is>
          <t>maxUses=1</t>
        </is>
      </c>
      <c r="L27" s="15" t="inlineStr">
        <is>
          <t>Một request 200 {courseId:"private-demo", joined:true}, request kia 410 với error.code=INVITE_EXHAUSTED "Lời mời đã hết lượt sử dụng"; usedCount=1 (không vượt maxUses); cộng đồng chỉ có thêm 1 thành viên.</t>
        </is>
      </c>
      <c r="M27" s="15" t="inlineStr"/>
      <c r="N27" s="18" t="inlineStr">
        <is>
          <t>Chưa test</t>
        </is>
      </c>
      <c r="O27" s="15" t="inlineStr"/>
      <c r="P27" s="15" t="inlineStr"/>
      <c r="Q27" s="18" t="inlineStr">
        <is>
          <t>Chưa test</t>
        </is>
      </c>
      <c r="R27" s="15" t="inlineStr"/>
    </row>
    <row r="28" ht="30" customHeight="1">
      <c r="A28" s="14" t="inlineStr">
        <is>
          <t>TC-INTEG-027</t>
        </is>
      </c>
      <c r="B28" s="15" t="inlineStr">
        <is>
          <t>API / Tích hợp &amp; Concurrency</t>
        </is>
      </c>
      <c r="C28" s="15" t="inlineStr">
        <is>
          <t>Concurrency: cộng đồng</t>
        </is>
      </c>
      <c r="D28" s="15" t="inlineStr">
        <is>
          <t>Cùng một user nhận cùng lời mời 2 lần song song (double-click): usedCount chỉ tăng 1</t>
        </is>
      </c>
      <c r="E28" s="15" t="inlineStr">
        <is>
          <t>Tích hợp</t>
        </is>
      </c>
      <c r="F28" s="20" t="inlineStr">
        <is>
          <t>Trung bình</t>
        </is>
      </c>
      <c r="G28" s="17" t="inlineStr">
        <is>
          <t>Đã hoàn thiện</t>
        </is>
      </c>
      <c r="H28" s="17" t="inlineStr">
        <is>
          <t>Có</t>
        </is>
      </c>
      <c r="I28" s="15" t="inlineStr">
        <is>
          <t>Đã chạy `npm run db:reset` (Postgres :5435 + seed), BE :4000, FE :5173. Lời mời DEMO-VALID (private-demo, tối đa 5 lượt, usedCount=0); user mới U3 đăng nhập.</t>
        </is>
      </c>
      <c r="J28" s="15" t="inlineStr">
        <is>
          <t>1. Đồng thời 2 POST /api/invites/DEMO-VALID/accept bằng token U3
2. GET /api/courses/private-demo/invites bằng owner</t>
        </is>
      </c>
      <c r="K28" s="15" t="inlineStr">
        <is>
          <t>-</t>
        </is>
      </c>
      <c r="L28" s="15" t="inlineStr">
        <is>
          <t>Một request 200 joined:true, request kia 409 CONFLICT "Bạn đã là thành viên của cộng đồng này" (hoặc lượt dùng bị hoàn lại nếu xử lý thất bại); usedCount của DEMO-VALID = 1, không phải 2.</t>
        </is>
      </c>
      <c r="M28" s="15" t="inlineStr"/>
      <c r="N28" s="18" t="inlineStr">
        <is>
          <t>Chưa test</t>
        </is>
      </c>
      <c r="O28" s="15" t="inlineStr"/>
      <c r="P28" s="15" t="inlineStr"/>
      <c r="Q28" s="18" t="inlineStr">
        <is>
          <t>Chưa test</t>
        </is>
      </c>
      <c r="R28" s="15" t="inlineStr"/>
    </row>
    <row r="29" ht="30" customHeight="1">
      <c r="A29" s="14" t="inlineStr">
        <is>
          <t>TC-INTEG-028</t>
        </is>
      </c>
      <c r="B29" s="15" t="inlineStr">
        <is>
          <t>API / Tích hợp &amp; Concurrency</t>
        </is>
      </c>
      <c r="C29" s="15" t="inlineStr">
        <is>
          <t>Concurrency: cộng đồng</t>
        </is>
      </c>
      <c r="D29" s="15" t="inlineStr">
        <is>
          <t>Hai user đăng ký cùng một email song song: một thành công, một 409</t>
        </is>
      </c>
      <c r="E29" s="15" t="inlineStr">
        <is>
          <t>Tích hợp</t>
        </is>
      </c>
      <c r="F29" s="20" t="inlineStr">
        <is>
          <t>Trung bình</t>
        </is>
      </c>
      <c r="G29" s="17" t="inlineStr">
        <is>
          <t>Đã hoàn thiện</t>
        </is>
      </c>
      <c r="H29" s="17" t="inlineStr">
        <is>
          <t>Có</t>
        </is>
      </c>
      <c r="I29" s="15" t="inlineStr">
        <is>
          <t>Đã chạy `npm run db:reset` (Postgres :5435 + seed), BE :4000, FE :5173. Chưa có tài khoản với email race@sofinhub.test.</t>
        </is>
      </c>
      <c r="J29" s="15" t="inlineStr">
        <is>
          <t>1. Đồng thời 2 POST /api/auth/register cùng email race@sofinhub.test, mật khẩu Passw0rd!x
2. Đăng nhập bằng email đó</t>
        </is>
      </c>
      <c r="K29" s="15" t="inlineStr">
        <is>
          <t>email=race@sofinhub.test</t>
        </is>
      </c>
      <c r="L29" s="15" t="inlineStr">
        <is>
          <t>Một request 200 (có accessToken), request kia 409 CONFLICT "Email này đã được đăng ký" (unique ở DB, P2002 được map); DB chỉ có 1 user.</t>
        </is>
      </c>
      <c r="M29" s="15" t="inlineStr"/>
      <c r="N29" s="18" t="inlineStr">
        <is>
          <t>Chưa test</t>
        </is>
      </c>
      <c r="O29" s="15" t="inlineStr"/>
      <c r="P29" s="15" t="inlineStr"/>
      <c r="Q29" s="18" t="inlineStr">
        <is>
          <t>Chưa test</t>
        </is>
      </c>
      <c r="R29" s="15" t="inlineStr"/>
    </row>
    <row r="30" ht="30" customHeight="1">
      <c r="A30" s="14" t="inlineStr">
        <is>
          <t>TC-INTEG-029</t>
        </is>
      </c>
      <c r="B30" s="15" t="inlineStr">
        <is>
          <t>API / Tích hợp &amp; Concurrency</t>
        </is>
      </c>
      <c r="C30" s="15" t="inlineStr">
        <is>
          <t>Concurrency: cộng đồng</t>
        </is>
      </c>
      <c r="D30" s="15" t="inlineStr">
        <is>
          <t>Tin nhắn gửi liên tiếp song song giữ thứ tự và id không trùng (Message.seq)</t>
        </is>
      </c>
      <c r="E30" s="15" t="inlineStr">
        <is>
          <t>Tích hợp</t>
        </is>
      </c>
      <c r="F30" s="20" t="inlineStr">
        <is>
          <t>Trung bình</t>
        </is>
      </c>
      <c r="G30" s="17" t="inlineStr">
        <is>
          <t>Đã hoàn thiện</t>
        </is>
      </c>
      <c r="H30" s="17" t="inlineStr">
        <is>
          <t>Có</t>
        </is>
      </c>
      <c r="I30" s="15" t="inlineStr">
        <is>
          <t>Đã chạy `npm run db:reset` (Postgres :5435 + seed), BE :4000, FE :5173. member1 đăng nhập; hội thoại seed-conv-member1-member2; NODE_ENV≠test nên rate limit 20 tin/phút áp dụng — gửi &lt;= 10 tin.</t>
        </is>
      </c>
      <c r="J30" s="15" t="inlineStr">
        <is>
          <t>1. Gửi đồng thời 10 POST /api/conversations/seed-conv-member1-member2/messages với content 'm1'..'m10'
2. GET /api/conversations/seed-conv-member1-member2/messages?limit=30</t>
        </is>
      </c>
      <c r="K30" s="15" t="inlineStr">
        <is>
          <t>10 tin song song</t>
        </is>
      </c>
      <c r="L30" s="15" t="inlineStr">
        <is>
          <t>Cả 10 request 201 với id khác nhau; GET trả 10 tin mới sắp xếp cũ→mới theo seq không thiếu/không trùng; unreadCount phía member2 tăng đúng 10.</t>
        </is>
      </c>
      <c r="M30" s="15" t="inlineStr"/>
      <c r="N30" s="18" t="inlineStr">
        <is>
          <t>Chưa test</t>
        </is>
      </c>
      <c r="O30" s="15" t="inlineStr"/>
      <c r="P30" s="15" t="inlineStr"/>
      <c r="Q30" s="18" t="inlineStr">
        <is>
          <t>Chưa test</t>
        </is>
      </c>
      <c r="R30" s="15" t="inlineStr"/>
    </row>
    <row r="31" ht="30" customHeight="1">
      <c r="A31" s="14" t="inlineStr">
        <is>
          <t>TC-INTEG-030</t>
        </is>
      </c>
      <c r="B31" s="15" t="inlineStr">
        <is>
          <t>API / Tích hợp &amp; Concurrency</t>
        </is>
      </c>
      <c r="C31" s="15" t="inlineStr">
        <is>
          <t>Concurrency: phiên đăng nhập</t>
        </is>
      </c>
      <c r="D31" s="15" t="inlineStr">
        <is>
          <t>Ba request refresh song song cùng một refresh token: chỉ một thành công, không sinh phiên thừa</t>
        </is>
      </c>
      <c r="E31" s="15" t="inlineStr">
        <is>
          <t>Bảo mật</t>
        </is>
      </c>
      <c r="F31" s="16" t="inlineStr">
        <is>
          <t>Cao</t>
        </is>
      </c>
      <c r="G31" s="17" t="inlineStr">
        <is>
          <t>Đã hoàn thiện</t>
        </is>
      </c>
      <c r="H31" s="17" t="inlineStr">
        <is>
          <t>Có</t>
        </is>
      </c>
      <c r="I31" s="15" t="inlineStr">
        <is>
          <t>Đã chạy `npm run db:reset` (Postgres :5435 + seed), BE :4000, FE :5173. Đăng nhập member1 trong một BrowserContext để có cookie refresh_token; GET /api/auth/sessions ghi lại số phiên S.</t>
        </is>
      </c>
      <c r="J31" s="15" t="inlineStr">
        <is>
          <t>1. Gửi đồng thời 3 POST /api/auth/refresh với cùng cookie
2. GET /api/auth/sessions bằng access token của request thành công</t>
        </is>
      </c>
      <c r="K31" s="15" t="inlineStr">
        <is>
          <t>3 request song song</t>
        </is>
      </c>
      <c r="L31"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31" s="15" t="inlineStr"/>
      <c r="N31" s="18" t="inlineStr">
        <is>
          <t>Chưa test</t>
        </is>
      </c>
      <c r="O31" s="15" t="inlineStr"/>
      <c r="P31" s="15" t="inlineStr"/>
      <c r="Q31" s="18" t="inlineStr">
        <is>
          <t>Chưa test</t>
        </is>
      </c>
      <c r="R31" s="15" t="inlineStr"/>
    </row>
    <row r="32" ht="45" customHeight="1">
      <c r="A32" s="14" t="inlineStr">
        <is>
          <t>TC-INTEG-031</t>
        </is>
      </c>
      <c r="B32" s="15" t="inlineStr">
        <is>
          <t>API / Tích hợp &amp; Concurrency</t>
        </is>
      </c>
      <c r="C32" s="15" t="inlineStr">
        <is>
          <t>Webhook thanh toán</t>
        </is>
      </c>
      <c r="D32" s="15" t="inlineStr">
        <is>
          <t>Webhook chữ ký hợp lệ payment.succeeded: giao dịch pending chuyển succeeded, cấp quyền, phát hành hóa đơn</t>
        </is>
      </c>
      <c r="E32" s="15" t="inlineStr">
        <is>
          <t>Tích hợp</t>
        </is>
      </c>
      <c r="F32" s="16" t="inlineStr">
        <is>
          <t>Cao</t>
        </is>
      </c>
      <c r="G32" s="17" t="inlineStr">
        <is>
          <t>Đã hoàn thiện</t>
        </is>
      </c>
      <c r="H32" s="20" t="inlineStr">
        <is>
          <t>Một phần</t>
        </is>
      </c>
      <c r="I32" s="15" t="inlineStr">
        <is>
          <t>Đã chạy `npm run db:reset` (Postgres :5435 + seed), BE :4000, FE :5173. newbie đăng nhập, tạo giao dịch pending: POST /api/courses/paid-demo/checkout {method:'stripe'} → paymentId. 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2" s="15" t="inlineStr">
        <is>
          <t>1. Dựng raw `{"id":"evt_1","type":"payment.succeeded","data":{"paymentId":"&lt;id&gt;"}}` và ký
2. POST /api/payments/webhook (không Bearer) với header x-sofin-signature và đúng raw body
3. newbie: GET /api/courses/paid-demo/subscription</t>
        </is>
      </c>
      <c r="K32" s="15" t="inlineStr">
        <is>
          <t>event id evt_1</t>
        </is>
      </c>
      <c r="L32" s="15" t="inlineStr">
        <is>
          <t>200 {data:{received:true}} (hoặc {received:true}); giao dịch succeeded, newbie enrolled=true, có invoiceNumber INV-&lt;năm&gt;-&lt;6 số&gt;. Gọi confirm sau đó không tạo hóa đơn thứ hai (webhook đến trước khi trình duyệt quay lại vẫn đúng trạng thái).</t>
        </is>
      </c>
      <c r="M32" s="15" t="inlineStr"/>
      <c r="N32" s="18" t="inlineStr">
        <is>
          <t>Chưa test</t>
        </is>
      </c>
      <c r="O32" s="15" t="inlineStr"/>
      <c r="P32" s="15" t="inlineStr"/>
      <c r="Q32" s="18" t="inlineStr">
        <is>
          <t>Chưa test</t>
        </is>
      </c>
      <c r="R32" s="15" t="inlineStr"/>
    </row>
    <row r="33" ht="30" customHeight="1">
      <c r="A33" s="14" t="inlineStr">
        <is>
          <t>TC-INTEG-032</t>
        </is>
      </c>
      <c r="B33" s="15" t="inlineStr">
        <is>
          <t>API / Tích hợp &amp; Concurrency</t>
        </is>
      </c>
      <c r="C33" s="15" t="inlineStr">
        <is>
          <t>Webhook thanh toán</t>
        </is>
      </c>
      <c r="D33" s="15" t="inlineStr">
        <is>
          <t>Webhook trùng event id: trả 200 duplicate, không xử lý lần hai</t>
        </is>
      </c>
      <c r="E33" s="15" t="inlineStr">
        <is>
          <t>Tích hợp</t>
        </is>
      </c>
      <c r="F33" s="16" t="inlineStr">
        <is>
          <t>Cao</t>
        </is>
      </c>
      <c r="G33" s="17" t="inlineStr">
        <is>
          <t>Đã hoàn thiện</t>
        </is>
      </c>
      <c r="H33" s="20" t="inlineStr">
        <is>
          <t>Một phần</t>
        </is>
      </c>
      <c r="I33" s="15" t="inlineStr">
        <is>
          <t>Đã gửi webhook evt_1 thành công ở case trước. 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3" s="15" t="inlineStr">
        <is>
          <t>1. Gửi lại đúng raw body evt_1 (ký lại với t mới)
2. GET /api/me/payments của newbie</t>
        </is>
      </c>
      <c r="K33" s="15" t="inlineStr">
        <is>
          <t>event id evt_1</t>
        </is>
      </c>
      <c r="L33" s="15" t="inlineStr">
        <is>
          <t>200 {received:true, duplicate:true}; không có giao dịch/hóa đơn/subscription mới (WebhookEvent.eventId là PK).</t>
        </is>
      </c>
      <c r="M33" s="15" t="inlineStr"/>
      <c r="N33" s="18" t="inlineStr">
        <is>
          <t>Chưa test</t>
        </is>
      </c>
      <c r="O33" s="15" t="inlineStr"/>
      <c r="P33" s="15" t="inlineStr"/>
      <c r="Q33" s="18" t="inlineStr">
        <is>
          <t>Chưa test</t>
        </is>
      </c>
      <c r="R33" s="15" t="inlineStr"/>
    </row>
    <row r="34" ht="60" customHeight="1">
      <c r="A34" s="14" t="inlineStr">
        <is>
          <t>TC-INTEG-033</t>
        </is>
      </c>
      <c r="B34" s="15" t="inlineStr">
        <is>
          <t>API / Tích hợp &amp; Concurrency</t>
        </is>
      </c>
      <c r="C34" s="15" t="inlineStr">
        <is>
          <t>Webhook thanh toán</t>
        </is>
      </c>
      <c r="D34" s="15" t="inlineStr">
        <is>
          <t>Webhook chữ ký sai, thiếu header hoặc timestamp lệch &gt; 300 giây bị từ chối 400 chung chung</t>
        </is>
      </c>
      <c r="E34" s="15" t="inlineStr">
        <is>
          <t>Bảo mật</t>
        </is>
      </c>
      <c r="F34" s="16" t="inlineStr">
        <is>
          <t>Cao</t>
        </is>
      </c>
      <c r="G34" s="17" t="inlineStr">
        <is>
          <t>Đã hoàn thiện</t>
        </is>
      </c>
      <c r="H34" s="20" t="inlineStr">
        <is>
          <t>Một phần</t>
        </is>
      </c>
      <c r="I34" s="15" t="inlineStr">
        <is>
          <t>Có raw body hợp lệ. 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4" s="15" t="inlineStr">
        <is>
          <t>1. POST /api/payments/webhook với v1 sai (đổi 1 ký tự)
2. POST không có header x-sofin-signature
3. POST với t = hiện tại - 400s (ký đúng)
4. POST với t = hiện tại + 400s (ký đúng)</t>
        </is>
      </c>
      <c r="K34" s="15" t="inlineStr">
        <is>
          <t>-</t>
        </is>
      </c>
      <c r="L34" s="15" t="inlineStr">
        <is>
          <t>Cả 4: 400 BAD_REQUEST, message "Yêu cầu không hợp lệ" (không nêu lý do cụ thể để không lộ chi tiết); không có thay đổi dữ liệu.</t>
        </is>
      </c>
      <c r="M34" s="15" t="inlineStr"/>
      <c r="N34" s="18" t="inlineStr">
        <is>
          <t>Chưa test</t>
        </is>
      </c>
      <c r="O34" s="15" t="inlineStr"/>
      <c r="P34" s="15" t="inlineStr"/>
      <c r="Q34" s="18" t="inlineStr">
        <is>
          <t>Chưa test</t>
        </is>
      </c>
      <c r="R34" s="15" t="inlineStr"/>
    </row>
    <row r="35" ht="30" customHeight="1">
      <c r="A35" s="14" t="inlineStr">
        <is>
          <t>TC-INTEG-034</t>
        </is>
      </c>
      <c r="B35" s="15" t="inlineStr">
        <is>
          <t>API / Tích hợp &amp; Concurrency</t>
        </is>
      </c>
      <c r="C35" s="15" t="inlineStr">
        <is>
          <t>Webhook thanh toán</t>
        </is>
      </c>
      <c r="D35" s="15" t="inlineStr">
        <is>
          <t>Chữ ký tính trên raw body: đổi khoảng trắng/thứ tự khóa JSON sau khi ký làm chữ ký sai</t>
        </is>
      </c>
      <c r="E35" s="15" t="inlineStr">
        <is>
          <t>Bảo mật</t>
        </is>
      </c>
      <c r="F35" s="20" t="inlineStr">
        <is>
          <t>Trung bình</t>
        </is>
      </c>
      <c r="G35" s="17" t="inlineStr">
        <is>
          <t>Đã hoàn thiện</t>
        </is>
      </c>
      <c r="H35" s="20" t="inlineStr">
        <is>
          <t>Một phần</t>
        </is>
      </c>
      <c r="I35" s="15" t="inlineStr">
        <is>
          <t>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5" s="15" t="inlineStr">
        <is>
          <t>1. Ký raw A = `{"id":"evt_2","type":"payment.succeeded","data":{}}`
2. Gửi body B = cùng nội dung nhưng thêm một khoảng trắng sau dấu phẩy với chữ ký của A</t>
        </is>
      </c>
      <c r="K35" s="15" t="inlineStr">
        <is>
          <t>-</t>
        </is>
      </c>
      <c r="L35" s="15" t="inlineStr">
        <is>
          <t>400 BAD_REQUEST "Yêu cầu không hợp lệ" (app giữ rawBody CHỈ cho /api/payments/webhook và HMAC tính trên bytes gốc); gửi đúng raw A thì 200.</t>
        </is>
      </c>
      <c r="M35" s="15" t="inlineStr"/>
      <c r="N35" s="18" t="inlineStr">
        <is>
          <t>Chưa test</t>
        </is>
      </c>
      <c r="O35" s="15" t="inlineStr"/>
      <c r="P35" s="15" t="inlineStr"/>
      <c r="Q35" s="18" t="inlineStr">
        <is>
          <t>Chưa test</t>
        </is>
      </c>
      <c r="R35" s="15" t="inlineStr"/>
    </row>
    <row r="36" ht="30" customHeight="1">
      <c r="A36" s="14" t="inlineStr">
        <is>
          <t>TC-INTEG-035</t>
        </is>
      </c>
      <c r="B36" s="15" t="inlineStr">
        <is>
          <t>API / Tích hợp &amp; Concurrency</t>
        </is>
      </c>
      <c r="C36" s="15" t="inlineStr">
        <is>
          <t>Webhook thanh toán</t>
        </is>
      </c>
      <c r="D36" s="15" t="inlineStr">
        <is>
          <t>Webhook loại sự kiện lạ hoặc payment không tồn tại trả 200 ignored (cổng không retry vô hạn)</t>
        </is>
      </c>
      <c r="E36" s="15" t="inlineStr">
        <is>
          <t>Tích hợp</t>
        </is>
      </c>
      <c r="F36" s="20" t="inlineStr">
        <is>
          <t>Trung bình</t>
        </is>
      </c>
      <c r="G36" s="17" t="inlineStr">
        <is>
          <t>Đã hoàn thiện</t>
        </is>
      </c>
      <c r="H36" s="20" t="inlineStr">
        <is>
          <t>Một phần</t>
        </is>
      </c>
      <c r="I36" s="15" t="inlineStr">
        <is>
          <t>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6" s="15" t="inlineStr">
        <is>
          <t>1. Ký và gửi {"id":"evt_3","type":"charge.unknown","data":{}}
2. Ký và gửi {"id":"evt_4","type":"payment.succeeded","data":{"paymentId":"khong-co"}}</t>
        </is>
      </c>
      <c r="K36" s="15" t="inlineStr">
        <is>
          <t>-</t>
        </is>
      </c>
      <c r="L36" s="15" t="inlineStr">
        <is>
          <t>Cả hai 200 {received:true, ignored:true}; không thay đổi dữ liệu; body không phải JSON (dù ký đúng) → 400 "Yêu cầu không hợp lệ".</t>
        </is>
      </c>
      <c r="M36" s="15" t="inlineStr"/>
      <c r="N36" s="18" t="inlineStr">
        <is>
          <t>Chưa test</t>
        </is>
      </c>
      <c r="O36" s="15" t="inlineStr"/>
      <c r="P36" s="15" t="inlineStr"/>
      <c r="Q36" s="18" t="inlineStr">
        <is>
          <t>Chưa test</t>
        </is>
      </c>
      <c r="R36" s="15" t="inlineStr"/>
    </row>
    <row r="37" ht="30" customHeight="1">
      <c r="A37" s="14" t="inlineStr">
        <is>
          <t>TC-INTEG-036</t>
        </is>
      </c>
      <c r="B37" s="15" t="inlineStr">
        <is>
          <t>API / Tích hợp &amp; Concurrency</t>
        </is>
      </c>
      <c r="C37" s="15" t="inlineStr">
        <is>
          <t>Webhook thanh toán</t>
        </is>
      </c>
      <c r="D37" s="15" t="inlineStr">
        <is>
          <t>Webhook payment.refunded tạo yêu cầu hoàn tiền chờ duyệt cho admin</t>
        </is>
      </c>
      <c r="E37" s="15" t="inlineStr">
        <is>
          <t>Tích hợp</t>
        </is>
      </c>
      <c r="F37" s="20" t="inlineStr">
        <is>
          <t>Trung bình</t>
        </is>
      </c>
      <c r="G37" s="17" t="inlineStr">
        <is>
          <t>Đã hoàn thiện</t>
        </is>
      </c>
      <c r="H37" s="20" t="inlineStr">
        <is>
          <t>Một phần</t>
        </is>
      </c>
      <c r="I37" s="15" t="inlineStr">
        <is>
          <t>Giao dịch succeeded của member1: seed-pay-member1-b. 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7" s="15" t="inlineStr">
        <is>
          <t>1. Ký và gửi {"id":"evt_5","type":"payment.refunded","data":{"paymentId":"seed-pay-member1-b"}}
2. admin: GET /api/admin/refunds?status=pending</t>
        </is>
      </c>
      <c r="K37" s="15" t="inlineStr">
        <is>
          <t>-</t>
        </is>
      </c>
      <c r="L37" s="15" t="inlineStr">
        <is>
          <t>200 {received:true}; có RefundRequest mới cho seed-pay-member1-b, lý do "Hoàn tiền từ cổng thanh toán", status pending (chờ Platform Admin); gửi lại evt_5 → duplicate.</t>
        </is>
      </c>
      <c r="M37" s="15" t="inlineStr"/>
      <c r="N37" s="18" t="inlineStr">
        <is>
          <t>Chưa test</t>
        </is>
      </c>
      <c r="O37" s="15" t="inlineStr"/>
      <c r="P37" s="15" t="inlineStr"/>
      <c r="Q37" s="18" t="inlineStr">
        <is>
          <t>Chưa test</t>
        </is>
      </c>
      <c r="R37" s="15" t="inlineStr"/>
    </row>
    <row r="38" ht="75" customHeight="1">
      <c r="A38" s="14" t="inlineStr">
        <is>
          <t>TC-INTEG-037</t>
        </is>
      </c>
      <c r="B38" s="15" t="inlineStr">
        <is>
          <t>API / Tích hợp &amp; Concurrency</t>
        </is>
      </c>
      <c r="C38" s="15" t="inlineStr">
        <is>
          <t>Realtime: SSE</t>
        </is>
      </c>
      <c r="D38" s="15" t="inlineStr">
        <is>
          <t>Vé SSE dùng một lần và hết hạn sau 30 giây; thiếu xác thực trả 401</t>
        </is>
      </c>
      <c r="E38" s="15" t="inlineStr">
        <is>
          <t>Bảo mật</t>
        </is>
      </c>
      <c r="F38" s="16" t="inlineStr">
        <is>
          <t>Cao</t>
        </is>
      </c>
      <c r="G38" s="17" t="inlineStr">
        <is>
          <t>Đã hoàn thiện</t>
        </is>
      </c>
      <c r="H38" s="20" t="inlineStr">
        <is>
          <t>Một phần</t>
        </is>
      </c>
      <c r="I38" s="15" t="inlineStr">
        <is>
          <t>Đã chạy `npm run db:reset` (Postgres :5435 + seed), BE :4000, FE :5173. member1 đăng nhập.</t>
        </is>
      </c>
      <c r="J38" s="15" t="inlineStr">
        <is>
          <t>1. POST /api/notifications/stream-ticket → ticket T
2. Mở GET /api/notifications/stream?ticket=T (kết nối 1)
3. Mở lại GET ...stream?ticket=T lần 2
4. GET /api/notifications/stream không token/ticket
5. Xin ticket mới, chờ &gt; 30 giây rồi dùng</t>
        </is>
      </c>
      <c r="K38" s="15" t="inlineStr">
        <is>
          <t>-</t>
        </is>
      </c>
      <c r="L38" s="15" t="inlineStr">
        <is>
          <t>Xin vé: 201 {ticket, expiresInSec:30}; kết nối 1: 200 Content-Type text/event-stream, có `retry: 5000`, sau đó heartbeat `: heartbeat` mỗi 25 giây; kết nối 2 dùng lại vé, không token, vé quá 30s: 401 UNAUTHORIZED.</t>
        </is>
      </c>
      <c r="M38" s="15" t="inlineStr"/>
      <c r="N38" s="18" t="inlineStr">
        <is>
          <t>Chưa test</t>
        </is>
      </c>
      <c r="O38" s="15" t="inlineStr"/>
      <c r="P38" s="15" t="inlineStr"/>
      <c r="Q38" s="18" t="inlineStr">
        <is>
          <t>Chưa test</t>
        </is>
      </c>
      <c r="R38" s="15" t="inlineStr"/>
    </row>
    <row r="39" ht="45" customHeight="1">
      <c r="A39" s="14" t="inlineStr">
        <is>
          <t>TC-INTEG-038</t>
        </is>
      </c>
      <c r="B39" s="15" t="inlineStr">
        <is>
          <t>API / Tích hợp &amp; Concurrency</t>
        </is>
      </c>
      <c r="C39" s="15" t="inlineStr">
        <is>
          <t>Realtime: SSE</t>
        </is>
      </c>
      <c r="D39" s="15" t="inlineStr">
        <is>
          <t>SSE thông báo: hành động của người khác đẩy thông báo tới tab đang mở, không cần tải lại</t>
        </is>
      </c>
      <c r="E39" s="15" t="inlineStr">
        <is>
          <t>Tích hợp</t>
        </is>
      </c>
      <c r="F39" s="16" t="inlineStr">
        <is>
          <t>Cao</t>
        </is>
      </c>
      <c r="G39" s="17" t="inlineStr">
        <is>
          <t>Đã hoàn thiện</t>
        </is>
      </c>
      <c r="H39" s="20" t="inlineStr">
        <is>
          <t>Một phần</t>
        </is>
      </c>
      <c r="I39" s="15" t="inlineStr">
        <is>
          <t>Đã chạy `npm run db:reset` (Postgres :5435 + seed), BE :4000, FE :5173. Hai context: member1 mở /courses/photo/community (chuông thông báo), member2 đăng nhập cửa sổ khác.</t>
        </is>
      </c>
      <c r="J39" s="15" t="inlineStr">
        <is>
          <t>1. member1 tạo bài mới (POST /api/courses/photo/posts), member2 thích bài đó (POST /api/posts/&lt;id&gt;/like)
2. Quan sát chuông của member1
3. Bấm toast</t>
        </is>
      </c>
      <c r="K39" s="15" t="inlineStr">
        <is>
          <t>-</t>
        </is>
      </c>
      <c r="L39" s="15" t="inlineStr">
        <is>
          <t>Trong vài giây badge chuông tăng và hiện toast "... đã thích bài viết của bạn" (event: notification); bấm toast mở link bài và đánh dấu đã đọc; không cần F5.</t>
        </is>
      </c>
      <c r="M39" s="15" t="inlineStr"/>
      <c r="N39" s="18" t="inlineStr">
        <is>
          <t>Chưa test</t>
        </is>
      </c>
      <c r="O39" s="15" t="inlineStr"/>
      <c r="P39" s="15" t="inlineStr"/>
      <c r="Q39" s="18" t="inlineStr">
        <is>
          <t>Chưa test</t>
        </is>
      </c>
      <c r="R39" s="15" t="inlineStr"/>
    </row>
    <row r="40" ht="45" customHeight="1">
      <c r="A40" s="14" t="inlineStr">
        <is>
          <t>TC-INTEG-039</t>
        </is>
      </c>
      <c r="B40" s="15" t="inlineStr">
        <is>
          <t>API / Tích hợp &amp; Concurrency</t>
        </is>
      </c>
      <c r="C40" s="15" t="inlineStr">
        <is>
          <t>Realtime: SSE</t>
        </is>
      </c>
      <c r="D40" s="15" t="inlineStr">
        <is>
          <t>SSE tự kết nối lại sau khi BE khởi động lại và bù dữ liệu</t>
        </is>
      </c>
      <c r="E40" s="15" t="inlineStr">
        <is>
          <t>Tích hợp</t>
        </is>
      </c>
      <c r="F40" s="20" t="inlineStr">
        <is>
          <t>Trung bình</t>
        </is>
      </c>
      <c r="G40" s="17" t="inlineStr">
        <is>
          <t>Đã hoàn thiện</t>
        </is>
      </c>
      <c r="H40" s="20" t="inlineStr">
        <is>
          <t>Một phần</t>
        </is>
      </c>
      <c r="I40" s="15" t="inlineStr">
        <is>
          <t>Đã chạy `npm run db:reset` (Postgres :5435 + seed), BE :4000, FE :5173. member1 đang mở /courses/photo/community; có thể dừng/khởi động BE (`npm run dev`).</t>
        </is>
      </c>
      <c r="J40" s="15" t="inlineStr">
        <is>
          <t>1. Tắt BE khoảng 10 giây
2. Trong lúc đó member2 tạo thông báo (chờ BE bật lại rồi thao tác)
3. Bật BE lại, quan sát Network</t>
        </is>
      </c>
      <c r="K40" s="15" t="inlineStr">
        <is>
          <t>-</t>
        </is>
      </c>
      <c r="L40"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40" s="15" t="inlineStr"/>
      <c r="N40" s="18" t="inlineStr">
        <is>
          <t>Chưa test</t>
        </is>
      </c>
      <c r="O40" s="15" t="inlineStr"/>
      <c r="P40" s="15" t="inlineStr"/>
      <c r="Q40" s="18" t="inlineStr">
        <is>
          <t>Chưa test</t>
        </is>
      </c>
      <c r="R40" s="15" t="inlineStr"/>
    </row>
    <row r="41" ht="45" customHeight="1">
      <c r="A41" s="14" t="inlineStr">
        <is>
          <t>TC-INTEG-040</t>
        </is>
      </c>
      <c r="B41" s="15" t="inlineStr">
        <is>
          <t>API / Tích hợp &amp; Concurrency</t>
        </is>
      </c>
      <c r="C41" s="15" t="inlineStr">
        <is>
          <t>Realtime: SSE</t>
        </is>
      </c>
      <c r="D41" s="15" t="inlineStr">
        <is>
          <t>SSE tin nhắn: hai tab của người nhận đều nhận tin, người gửi cũng thấy ở tab khác</t>
        </is>
      </c>
      <c r="E41" s="15" t="inlineStr">
        <is>
          <t>Tích hợp</t>
        </is>
      </c>
      <c r="F41" s="20" t="inlineStr">
        <is>
          <t>Trung bình</t>
        </is>
      </c>
      <c r="G41" s="17" t="inlineStr">
        <is>
          <t>Đã hoàn thiện</t>
        </is>
      </c>
      <c r="H41" s="20" t="inlineStr">
        <is>
          <t>Một phần</t>
        </is>
      </c>
      <c r="I41" s="15" t="inlineStr">
        <is>
          <t>Đã chạy `npm run db:reset` (Postgres :5435 + seed), BE :4000, FE :5173. member1 mở 2 tab /messages/seed-conv-member1-member2; member2 mở 1 tab cùng hội thoại.</t>
        </is>
      </c>
      <c r="J41" s="15" t="inlineStr">
        <is>
          <t>1. member2 gửi "Xin chào SSE"
2. Quan sát 2 tab của member1
3. member1 gửi từ tab 1, quan sát tab 2</t>
        </is>
      </c>
      <c r="K41" s="15" t="inlineStr">
        <is>
          <t>-</t>
        </is>
      </c>
      <c r="L41" s="15" t="inlineStr">
        <is>
          <t>Cả hai tab member1 nhận tin ngay (event: message); tin của member1 gửi ở tab 1 xuất hiện ở tab 2; badge chưa đọc của member1 giảm khi mở hội thoại (POST .../read); đóng tab thì kết nối SSE được dọn.</t>
        </is>
      </c>
      <c r="M41" s="15" t="inlineStr"/>
      <c r="N41" s="18" t="inlineStr">
        <is>
          <t>Chưa test</t>
        </is>
      </c>
      <c r="O41" s="15" t="inlineStr"/>
      <c r="P41" s="15" t="inlineStr"/>
      <c r="Q41" s="18" t="inlineStr">
        <is>
          <t>Chưa test</t>
        </is>
      </c>
      <c r="R41" s="15" t="inlineStr"/>
    </row>
    <row r="42" ht="30" customHeight="1">
      <c r="A42" s="14" t="inlineStr">
        <is>
          <t>TC-INTEG-041</t>
        </is>
      </c>
      <c r="B42" s="15" t="inlineStr">
        <is>
          <t>API / Tích hợp &amp; Concurrency</t>
        </is>
      </c>
      <c r="C42" s="15" t="inlineStr">
        <is>
          <t>Realtime: SSE</t>
        </is>
      </c>
      <c r="D42" s="15" t="inlineStr">
        <is>
          <t>Fallback ?access_token= cho SSE thông báo còn hoạt động (rủi ro lộ token trong URL/log)</t>
        </is>
      </c>
      <c r="E42" s="15" t="inlineStr">
        <is>
          <t>Bảo mật</t>
        </is>
      </c>
      <c r="F42" s="20" t="inlineStr">
        <is>
          <t>Trung bình</t>
        </is>
      </c>
      <c r="G42" s="17" t="inlineStr">
        <is>
          <t>Đã hoàn thiện</t>
        </is>
      </c>
      <c r="H42" s="20" t="inlineStr">
        <is>
          <t>Một phần</t>
        </is>
      </c>
      <c r="I42" s="15" t="inlineStr">
        <is>
          <t>Đã chạy `npm run db:reset` (Postgres :5435 + seed), BE :4000, FE :5173. Access token hợp lệ của member1. Trạng thái: docs ghi 'chưa chốt có bỏ ?access_token= hay không'.</t>
        </is>
      </c>
      <c r="J42" s="15" t="inlineStr">
        <is>
          <t>1. GET /api/notifications/stream?access_token=&lt;token&gt;
2. Đăng xuất (thu hồi) rồi gọi lại với token cũ</t>
        </is>
      </c>
      <c r="K42" s="15" t="inlineStr">
        <is>
          <t>-</t>
        </is>
      </c>
      <c r="L42" s="15" t="inlineStr">
        <is>
          <t>Lần 1: 200 event-stream (hành vi hiện tại, giá trị tạm / chưa chốt); sau khi phiên bị thu hồi: 401 UNAUTHORIZED. Ghi nhận rủi ro token nằm trong URL — bản chốt nên dùng ticket.</t>
        </is>
      </c>
      <c r="M42" s="15" t="inlineStr"/>
      <c r="N42" s="18" t="inlineStr">
        <is>
          <t>Chưa test</t>
        </is>
      </c>
      <c r="O42" s="15" t="inlineStr"/>
      <c r="P42" s="15" t="inlineStr"/>
      <c r="Q42" s="18" t="inlineStr">
        <is>
          <t>Chưa test</t>
        </is>
      </c>
      <c r="R42" s="15" t="inlineStr"/>
    </row>
    <row r="43" ht="45" customHeight="1">
      <c r="A43" s="14" t="inlineStr">
        <is>
          <t>TC-INTEG-042</t>
        </is>
      </c>
      <c r="B43" s="15" t="inlineStr">
        <is>
          <t>API / Tích hợp &amp; Concurrency</t>
        </is>
      </c>
      <c r="C43" s="15" t="inlineStr">
        <is>
          <t>Postgres: nhất quán</t>
        </is>
      </c>
      <c r="D43" s="15" t="inlineStr">
        <is>
          <t>Báo cáo ban_member thất bại (đích là owner) không làm đổi trạng thái báo cáo hay tạo CommunityBan</t>
        </is>
      </c>
      <c r="E43" s="15" t="inlineStr">
        <is>
          <t>Tích hợp</t>
        </is>
      </c>
      <c r="F43" s="16" t="inlineStr">
        <is>
          <t>Cao</t>
        </is>
      </c>
      <c r="G43" s="17" t="inlineStr">
        <is>
          <t>Đã hoàn thiện</t>
        </is>
      </c>
      <c r="H43" s="17" t="inlineStr">
        <is>
          <t>Có</t>
        </is>
      </c>
      <c r="I43" s="15" t="inlineStr">
        <is>
          <t>Đã chạy `npm run db:reset` (Postgres :5435 + seed), BE :4000, FE :5173. member2 báo cáo thành viên owner (báo cáo R). mod đăng nhập.</t>
        </is>
      </c>
      <c r="J43" s="15" t="inlineStr">
        <is>
          <t>1. PATCH /api/reports/R {action:'ban_member'}
2. GET /api/courses/photo/reports?status=open
3. cadmin: GET /api/courses/photo/bans</t>
        </is>
      </c>
      <c r="K43" s="15" t="inlineStr">
        <is>
          <t>Body {"action":"ban_member"}</t>
        </is>
      </c>
      <c r="L43" s="15" t="inlineStr">
        <is>
          <t>403 "Không thể cấm chủ cộng đồng"; báo cáo R vẫn open (không resolved), resolvedBy/resolvedAt rỗng; danh sách ban không có owner; owner vẫn trong danh sách thành viên.</t>
        </is>
      </c>
      <c r="M43" s="15" t="inlineStr"/>
      <c r="N43" s="18" t="inlineStr">
        <is>
          <t>Chưa test</t>
        </is>
      </c>
      <c r="O43" s="15" t="inlineStr"/>
      <c r="P43" s="15" t="inlineStr"/>
      <c r="Q43" s="18" t="inlineStr">
        <is>
          <t>Chưa test</t>
        </is>
      </c>
      <c r="R43" s="15" t="inlineStr"/>
    </row>
    <row r="44" ht="60" customHeight="1">
      <c r="A44" s="14" t="inlineStr">
        <is>
          <t>TC-INTEG-043</t>
        </is>
      </c>
      <c r="B44" s="15" t="inlineStr">
        <is>
          <t>API / Tích hợp &amp; Concurrency</t>
        </is>
      </c>
      <c r="C44" s="15" t="inlineStr">
        <is>
          <t>Postgres: nhất quán</t>
        </is>
      </c>
      <c r="D44" s="15" t="inlineStr">
        <is>
          <t>Mất kết nối Postgres giữa request: API trả 500 gọn, không lộ chi tiết, hồi phục sau khi DB lên lại</t>
        </is>
      </c>
      <c r="E44" s="15" t="inlineStr">
        <is>
          <t>Tích hợp</t>
        </is>
      </c>
      <c r="F44" s="20" t="inlineStr">
        <is>
          <t>Trung bình</t>
        </is>
      </c>
      <c r="G44" s="17" t="inlineStr">
        <is>
          <t>Đã hoàn thiện</t>
        </is>
      </c>
      <c r="H44" s="16" t="inlineStr">
        <is>
          <t>Không</t>
        </is>
      </c>
      <c r="I44" s="15" t="inlineStr">
        <is>
          <t>Có quyền chạy `docker compose stop` cho container Postgres (cổng 5435) trong môi trường dev.</t>
        </is>
      </c>
      <c r="J44" s="15" t="inlineStr">
        <is>
          <t>1. Đăng nhập member1 rồi dừng container Postgres
2. GET /api/courses/photo/posts
3. GET /health
4. Bật lại Postgres, gọi lại GET /api/courses/photo/posts</t>
        </is>
      </c>
      <c r="K44" s="15" t="inlineStr">
        <is>
          <t>-</t>
        </is>
      </c>
      <c r="L44"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44" s="15" t="inlineStr"/>
      <c r="N44" s="18" t="inlineStr">
        <is>
          <t>Chưa test</t>
        </is>
      </c>
      <c r="O44" s="15" t="inlineStr"/>
      <c r="P44" s="15" t="inlineStr"/>
      <c r="Q44" s="18" t="inlineStr">
        <is>
          <t>Chưa test</t>
        </is>
      </c>
      <c r="R44" s="15" t="inlineStr"/>
    </row>
    <row r="45" ht="45" customHeight="1">
      <c r="A45" s="14" t="inlineStr">
        <is>
          <t>TC-INTEG-044</t>
        </is>
      </c>
      <c r="B45" s="15" t="inlineStr">
        <is>
          <t>API / Tích hợp &amp; Concurrency</t>
        </is>
      </c>
      <c r="C45" s="15" t="inlineStr">
        <is>
          <t>Postgres: nhất quán</t>
        </is>
      </c>
      <c r="D45" s="15" t="inlineStr">
        <is>
          <t>Giao dịch thanh toán + hóa đơn + cấp quyền cùng transaction: không có giao dịch succeeded thiếu hóa đơn</t>
        </is>
      </c>
      <c r="E45" s="15" t="inlineStr">
        <is>
          <t>Tích hợp</t>
        </is>
      </c>
      <c r="F45" s="16" t="inlineStr">
        <is>
          <t>Cao</t>
        </is>
      </c>
      <c r="G45" s="17" t="inlineStr">
        <is>
          <t>Đã hoàn thiện</t>
        </is>
      </c>
      <c r="H45" s="16" t="inlineStr">
        <is>
          <t>Không</t>
        </is>
      </c>
      <c r="I45" s="15" t="inlineStr">
        <is>
          <t>Sau khi chạy nhiều lần confirm/webhook song song ở các case trước; có quyền truy vấn DB (docker exec psql hoặc prisma studio).</t>
        </is>
      </c>
      <c r="J45"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45" s="15" t="inlineStr">
        <is>
          <t>-</t>
        </is>
      </c>
      <c r="L45" s="15" t="inlineStr">
        <is>
          <t>Truy vấn 1 trả 0; truy vấn 2 không có dòng nào (hóa đơn không trùng); dãy hóa đơn liên tục không hở. Mọi giao dịch succeeded đều có Enrollment tương ứng.</t>
        </is>
      </c>
      <c r="M45" s="15" t="inlineStr"/>
      <c r="N45" s="18" t="inlineStr">
        <is>
          <t>Chưa test</t>
        </is>
      </c>
      <c r="O45" s="15" t="inlineStr"/>
      <c r="P45" s="15" t="inlineStr"/>
      <c r="Q45" s="18" t="inlineStr">
        <is>
          <t>Chưa test</t>
        </is>
      </c>
      <c r="R45" s="15" t="inlineStr"/>
    </row>
    <row r="46" ht="60" customHeight="1">
      <c r="A46" s="14" t="inlineStr">
        <is>
          <t>TC-INTEG-045</t>
        </is>
      </c>
      <c r="B46" s="15" t="inlineStr">
        <is>
          <t>API / Tích hợp &amp; Concurrency</t>
        </is>
      </c>
      <c r="C46" s="15" t="inlineStr">
        <is>
          <t>Migration &amp; seed</t>
        </is>
      </c>
      <c r="D46" s="15" t="inlineStr">
        <is>
          <t>Chạy `npm run db:seed` hai lần liên tiếp không nhân đôi dữ liệu</t>
        </is>
      </c>
      <c r="E46" s="15" t="inlineStr">
        <is>
          <t>Tích hợp</t>
        </is>
      </c>
      <c r="F46" s="16" t="inlineStr">
        <is>
          <t>Cao</t>
        </is>
      </c>
      <c r="G46" s="17" t="inlineStr">
        <is>
          <t>Đã hoàn thiện</t>
        </is>
      </c>
      <c r="H46" s="16" t="inlineStr">
        <is>
          <t>Không</t>
        </is>
      </c>
      <c r="I46" s="15" t="inlineStr">
        <is>
          <t>Postgres đã migrate. Chạy `npm run db:reset` một lần; có psql/prisma studio để đếm bản ghi.</t>
        </is>
      </c>
      <c r="J46" s="15" t="inlineStr">
        <is>
          <t>1. Đếm: SELECT count(*) FROM "User", "Course", "Post", "Comment", "Event", "Report", "Invite", "JoinRequest", "Enrollment", "Payment"
2. Chạy `cd backend &amp;&amp; npm run db:seed` thêm lần 2 (không reset)
3. Đếm lại và so sánh
4. Đăng nhập lại member1 bằng Passw0rd!x</t>
        </is>
      </c>
      <c r="K46" s="15" t="inlineStr">
        <is>
          <t>-</t>
        </is>
      </c>
      <c r="L46" s="15" t="inlineStr">
        <is>
          <t>Số bản ghi mỗi bảng không đổi giữa hai lần đếm (createMany skipDuplicates/upsert); seed-report-photo-open vẫn đúng 1 bản ghi; mã mời DEMO-VALID vẫn 1; đăng nhập 9 tài khoản seed vẫn được; không lỗi unique violation.</t>
        </is>
      </c>
      <c r="M46" s="15" t="inlineStr"/>
      <c r="N46" s="18" t="inlineStr">
        <is>
          <t>Chưa test</t>
        </is>
      </c>
      <c r="O46" s="15" t="inlineStr"/>
      <c r="P46" s="15" t="inlineStr"/>
      <c r="Q46" s="18" t="inlineStr">
        <is>
          <t>Chưa test</t>
        </is>
      </c>
      <c r="R46" s="15" t="inlineStr"/>
    </row>
    <row r="47" ht="30" customHeight="1">
      <c r="A47" s="14" t="inlineStr">
        <is>
          <t>TC-INTEG-046</t>
        </is>
      </c>
      <c r="B47" s="15" t="inlineStr">
        <is>
          <t>API / Tích hợp &amp; Concurrency</t>
        </is>
      </c>
      <c r="C47" s="15" t="inlineStr">
        <is>
          <t>Migration &amp; seed</t>
        </is>
      </c>
      <c r="D47" s="15" t="inlineStr">
        <is>
          <t>Chạy `npm run db:deploy` khi không còn migration mới là no-op, không lỗi</t>
        </is>
      </c>
      <c r="E47" s="15" t="inlineStr">
        <is>
          <t>Tích hợp</t>
        </is>
      </c>
      <c r="F47" s="20" t="inlineStr">
        <is>
          <t>Trung bình</t>
        </is>
      </c>
      <c r="G47" s="17" t="inlineStr">
        <is>
          <t>Đã hoàn thiện</t>
        </is>
      </c>
      <c r="H47" s="16" t="inlineStr">
        <is>
          <t>Không</t>
        </is>
      </c>
      <c r="I47" s="15" t="inlineStr">
        <is>
          <t>DB đã áp mọi migration.</t>
        </is>
      </c>
      <c r="J47" s="15" t="inlineStr">
        <is>
          <t>1. Chạy `cd backend &amp;&amp; npm run db:deploy` hai lần</t>
        </is>
      </c>
      <c r="K47" s="15" t="inlineStr">
        <is>
          <t>-</t>
        </is>
      </c>
      <c r="L47" s="15" t="inlineStr">
        <is>
          <t>Cả hai lần thoát mã 0 với thông báo không còn migration cần áp dụng (No pending migrations); schema và dữ liệu không đổi; BE vẫn khởi động bình thường.</t>
        </is>
      </c>
      <c r="M47" s="15" t="inlineStr"/>
      <c r="N47" s="18" t="inlineStr">
        <is>
          <t>Chưa test</t>
        </is>
      </c>
      <c r="O47" s="15" t="inlineStr"/>
      <c r="P47" s="15" t="inlineStr"/>
      <c r="Q47" s="18" t="inlineStr">
        <is>
          <t>Chưa test</t>
        </is>
      </c>
      <c r="R47" s="15" t="inlineStr"/>
    </row>
    <row r="48" ht="30" customHeight="1">
      <c r="A48" s="14" t="inlineStr">
        <is>
          <t>TC-INTEG-047</t>
        </is>
      </c>
      <c r="B48" s="15" t="inlineStr">
        <is>
          <t>API / Tích hợp &amp; Concurrency</t>
        </is>
      </c>
      <c r="C48" s="15" t="inlineStr">
        <is>
          <t>Migration &amp; seed</t>
        </is>
      </c>
      <c r="D48" s="15" t="inlineStr">
        <is>
          <t>db:reset đưa dữ liệu về trạng thái ban đầu: báo cáo seed lại ở trạng thái open</t>
        </is>
      </c>
      <c r="E48" s="15" t="inlineStr">
        <is>
          <t>Tích hợp</t>
        </is>
      </c>
      <c r="F48" s="20" t="inlineStr">
        <is>
          <t>Trung bình</t>
        </is>
      </c>
      <c r="G48" s="17" t="inlineStr">
        <is>
          <t>Đã hoàn thiện</t>
        </is>
      </c>
      <c r="H48" s="16" t="inlineStr">
        <is>
          <t>Không</t>
        </is>
      </c>
      <c r="I48" s="15" t="inlineStr">
        <is>
          <t>Đã xử lý báo cáo seed-report-photo-open (dismiss) ở case ADMIN trước đó.</t>
        </is>
      </c>
      <c r="J48" s="15" t="inlineStr">
        <is>
          <t>1. Chạy `cd backend &amp;&amp; npm run db:reset`
2. mod: GET /api/courses/photo/reports?status=open</t>
        </is>
      </c>
      <c r="K48" s="15" t="inlineStr">
        <is>
          <t>-</t>
        </is>
      </c>
      <c r="L48" s="15" t="inlineStr">
        <is>
          <t>seed-report-photo-open trở lại status=open, note/resolvedBy rỗng; tài khoản test tự tạo bị xóa; 9 tài khoản seed đăng nhập được với Passw0rd!x. (Lưu ý: db:seed thường KHÔNG khôi phục dữ liệu đã bị đổi trạng thái — chỉ db:reset.)</t>
        </is>
      </c>
      <c r="M48" s="15" t="inlineStr"/>
      <c r="N48" s="18" t="inlineStr">
        <is>
          <t>Chưa test</t>
        </is>
      </c>
      <c r="O48" s="15" t="inlineStr"/>
      <c r="P48" s="15" t="inlineStr"/>
      <c r="Q48" s="18" t="inlineStr">
        <is>
          <t>Chưa test</t>
        </is>
      </c>
      <c r="R48" s="15" t="inlineStr"/>
    </row>
    <row r="49" ht="30" customHeight="1">
      <c r="A49" s="14" t="inlineStr">
        <is>
          <t>TC-INTEG-048</t>
        </is>
      </c>
      <c r="B49" s="15" t="inlineStr">
        <is>
          <t>API / Tích hợp &amp; Concurrency</t>
        </is>
      </c>
      <c r="C49" s="15" t="inlineStr">
        <is>
          <t>Health &amp; vận hành</t>
        </is>
      </c>
      <c r="D49" s="15" t="inlineStr">
        <is>
          <t>GET /health công khai trả status ok và uptime khi DB sống (không nằm dưới /api)</t>
        </is>
      </c>
      <c r="E49" s="15" t="inlineStr">
        <is>
          <t>Tích hợp</t>
        </is>
      </c>
      <c r="F49" s="20" t="inlineStr">
        <is>
          <t>Trung bình</t>
        </is>
      </c>
      <c r="G49" s="17" t="inlineStr">
        <is>
          <t>Đã hoàn thiện</t>
        </is>
      </c>
      <c r="H49" s="17" t="inlineStr">
        <is>
          <t>Có</t>
        </is>
      </c>
      <c r="I49" s="15" t="inlineStr">
        <is>
          <t>BE chạy :4000, Postgres sống (health nay chạy SELECT 1; DB chết -&gt; 503 {status:'db_unavailable'}, xem case Postgres mất kết nối).</t>
        </is>
      </c>
      <c r="J49" s="15" t="inlineStr">
        <is>
          <t>1. GET http://localhost:4000/health không token
2. GET http://localhost:4000/api/health</t>
        </is>
      </c>
      <c r="K49" s="15" t="inlineStr">
        <is>
          <t>-</t>
        </is>
      </c>
      <c r="L49" s="15" t="inlineStr">
        <is>
          <t>/health: 200 {status:"ok", uptime:&lt;số giây&gt;} kèm header helmet; /api/health: 404 NOT_FOUND "Không tìm thấy GET /api/health". Dockerfile có HEALTHCHECK dùng endpoint này (30s/3s).</t>
        </is>
      </c>
      <c r="M49" s="15" t="inlineStr"/>
      <c r="N49" s="18" t="inlineStr">
        <is>
          <t>Chưa test</t>
        </is>
      </c>
      <c r="O49" s="15" t="inlineStr"/>
      <c r="P49" s="15" t="inlineStr"/>
      <c r="Q49" s="18" t="inlineStr">
        <is>
          <t>Chưa test</t>
        </is>
      </c>
      <c r="R49" s="15" t="inlineStr"/>
    </row>
    <row r="50" ht="45" customHeight="1">
      <c r="A50" s="14" t="inlineStr">
        <is>
          <t>TC-INTEG-049</t>
        </is>
      </c>
      <c r="B50" s="15" t="inlineStr">
        <is>
          <t>API / Tích hợp &amp; Concurrency</t>
        </is>
      </c>
      <c r="C50" s="15" t="inlineStr">
        <is>
          <t>Health &amp; vận hành</t>
        </is>
      </c>
      <c r="D50" s="15" t="inlineStr">
        <is>
          <t>GET /api/dev/outbox chỉ có ngoài production và trả thư đặt lại/xác thực mật khẩu</t>
        </is>
      </c>
      <c r="E50" s="15" t="inlineStr">
        <is>
          <t>Bảo mật</t>
        </is>
      </c>
      <c r="F50" s="16" t="inlineStr">
        <is>
          <t>Cao</t>
        </is>
      </c>
      <c r="G50" s="17" t="inlineStr">
        <is>
          <t>Đã hoàn thiện</t>
        </is>
      </c>
      <c r="H50" s="16" t="inlineStr">
        <is>
          <t>Không</t>
        </is>
      </c>
      <c r="I50" s="15" t="inlineStr">
        <is>
          <t>NODE_ENV=development. Có thể chạy thêm BE với NODE_ENV=production (cần JWT_*_SECRET không bắt đầu bằng 'dev-').</t>
        </is>
      </c>
      <c r="J50" s="15" t="inlineStr">
        <is>
          <t>1. POST /api/auth/forgot-password {email:'member2@sofinhub.test'}
2. GET /api/dev/outbox?to=member2@sofinhub.test
3. Chạy BE production rồi GET /api/dev/outbox</t>
        </is>
      </c>
      <c r="K50" s="15" t="inlineStr">
        <is>
          <t>-</t>
        </is>
      </c>
      <c r="L50" s="15" t="inlineStr">
        <is>
          <t>Dev: 200 mảng thư có subject, text/html chứa link {FRONTEND_URL}/reset-password?token=... (token không bao giờ nằm trong response forgot-password). Production: route không tồn tại → 404 NOT_FOUND (theo docs identity.md). Ghi nhận: chỉ đúng khi cấu hình production thật.</t>
        </is>
      </c>
      <c r="M50" s="15" t="inlineStr"/>
      <c r="N50" s="18" t="inlineStr">
        <is>
          <t>Chưa test</t>
        </is>
      </c>
      <c r="O50" s="15" t="inlineStr"/>
      <c r="P50" s="15" t="inlineStr"/>
      <c r="Q50" s="18" t="inlineStr">
        <is>
          <t>Chưa test</t>
        </is>
      </c>
      <c r="R50" s="15" t="inlineStr"/>
    </row>
    <row r="51" ht="45" customHeight="1">
      <c r="A51" s="14" t="inlineStr">
        <is>
          <t>TC-INTEG-050</t>
        </is>
      </c>
      <c r="B51" s="15" t="inlineStr">
        <is>
          <t>API / Tích hợp &amp; Concurrency</t>
        </is>
      </c>
      <c r="C51" s="15" t="inlineStr">
        <is>
          <t>Health &amp; vận hành</t>
        </is>
      </c>
      <c r="D51" s="15" t="inlineStr">
        <is>
          <t>Production từ chối khởi động nếu JWT secret còn giá trị mặc định dev-*</t>
        </is>
      </c>
      <c r="E51" s="15" t="inlineStr">
        <is>
          <t>Bảo mật</t>
        </is>
      </c>
      <c r="F51" s="16" t="inlineStr">
        <is>
          <t>Cao</t>
        </is>
      </c>
      <c r="G51" s="17" t="inlineStr">
        <is>
          <t>Đã hoàn thiện</t>
        </is>
      </c>
      <c r="H51" s="16" t="inlineStr">
        <is>
          <t>Không</t>
        </is>
      </c>
      <c r="I51" s="15" t="inlineStr">
        <is>
          <t>Có thể chạy BE với NODE_ENV=production.</t>
        </is>
      </c>
      <c r="J51" s="15" t="inlineStr">
        <is>
          <t>1. Đặt NODE_ENV=production giữ JWT_ACCESS_SECRET mặc định 'dev-access-secret-change-me'
2. Chạy `npm run build` rồi `node dist/index.js`
3. Đặt secret riêng và chạy lại</t>
        </is>
      </c>
      <c r="K51" s="15" t="inlineStr">
        <is>
          <t>-</t>
        </is>
      </c>
      <c r="L51" s="15" t="inlineStr">
        <is>
          <t>Lần 1: tiến trình thoát mã 1 và in "JWT_ACCESS_SECRET/JWT_REFRESH_SECRET phải được đặt riêng khi NODE_ENV=production"; lần 2 khởi động bình thường.</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37"/>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B. Ma trận thành viên cộng đồng (Enrollment seed)</t>
        </is>
      </c>
    </row>
    <row r="73">
      <c r="A73" s="13" t="inlineStr">
        <is>
          <t>Cộng đồng</t>
        </is>
      </c>
      <c r="B73" s="13" t="inlineStr">
        <is>
          <t>Owner</t>
        </is>
      </c>
      <c r="C73" s="13" t="inlineStr">
        <is>
          <t>Admin/Mod</t>
        </is>
      </c>
      <c r="D73" s="13" t="inlineStr">
        <is>
          <t>Member</t>
        </is>
      </c>
      <c r="E73" s="13" t="inlineStr">
        <is>
          <t>Bị ban</t>
        </is>
      </c>
      <c r="F73" s="13" t="inlineStr">
        <is>
          <t>Ghi chú</t>
        </is>
      </c>
    </row>
    <row r="74" ht="18" customHeight="1">
      <c r="A74" s="15" t="inlineStr">
        <is>
          <t>photo</t>
        </is>
      </c>
      <c r="B74" s="15" t="inlineStr">
        <is>
          <t>owner</t>
        </is>
      </c>
      <c r="C74" s="15" t="inlineStr">
        <is>
          <t>cadmin (admin), mod (mod)</t>
        </is>
      </c>
      <c r="D74" s="15" t="inlineStr">
        <is>
          <t>member1, member2, member3</t>
        </is>
      </c>
      <c r="E74" s="15" t="inlineStr">
        <is>
          <t>banned (CommunityBan)</t>
        </is>
      </c>
      <c r="F74" s="15" t="inlineStr">
        <is>
          <t>Chưa: newbie</t>
        </is>
      </c>
    </row>
    <row r="75" ht="18" customHeight="1">
      <c r="A75" s="15" t="inlineStr">
        <is>
          <t>yt</t>
        </is>
      </c>
      <c r="B75" s="15" t="inlineStr">
        <is>
          <t>owner</t>
        </is>
      </c>
      <c r="C75" s="15" t="inlineStr">
        <is>
          <t>-</t>
        </is>
      </c>
      <c r="D75" s="15" t="inlineStr">
        <is>
          <t>member1</t>
        </is>
      </c>
      <c r="E75" s="15" t="inlineStr">
        <is>
          <t>-</t>
        </is>
      </c>
      <c r="F75" s="15" t="inlineStr">
        <is>
          <t>Chưa: member2, member3, newbie</t>
        </is>
      </c>
    </row>
    <row r="76" ht="18" customHeight="1">
      <c r="A76" s="15" t="inlineStr">
        <is>
          <t>fin</t>
        </is>
      </c>
      <c r="B76" s="15" t="inlineStr">
        <is>
          <t>owner</t>
        </is>
      </c>
      <c r="C76" s="15" t="inlineStr">
        <is>
          <t>-</t>
        </is>
      </c>
      <c r="D76" s="15" t="inlineStr">
        <is>
          <t>member1</t>
        </is>
      </c>
      <c r="E76" s="15" t="inlineStr">
        <is>
          <t>-</t>
        </is>
      </c>
      <c r="F76" s="15" t="inlineStr">
        <is>
          <t>Chưa: member2, member3, newbie</t>
        </is>
      </c>
    </row>
    <row r="77" ht="18" customHeight="1">
      <c r="A77" s="15" t="inlineStr">
        <is>
          <t>private-demo</t>
        </is>
      </c>
      <c r="B77" s="15" t="inlineStr">
        <is>
          <t>owner</t>
        </is>
      </c>
      <c r="C77" s="15" t="inlineStr">
        <is>
          <t>-</t>
        </is>
      </c>
      <c r="D77" s="15" t="inlineStr">
        <is>
          <t>-</t>
        </is>
      </c>
      <c r="E77" s="15" t="inlineStr">
        <is>
          <t>-</t>
        </is>
      </c>
      <c r="F77" s="15" t="inlineStr">
        <is>
          <t>Pending: newbie, member1</t>
        </is>
      </c>
    </row>
    <row r="78" ht="18" customHeight="1">
      <c r="A78" s="15" t="inlineStr">
        <is>
          <t>paid-demo</t>
        </is>
      </c>
      <c r="B78" s="15" t="inlineStr">
        <is>
          <t>owner</t>
        </is>
      </c>
      <c r="C78" s="15" t="inlineStr">
        <is>
          <t>-</t>
        </is>
      </c>
      <c r="D78" s="15" t="inlineStr">
        <is>
          <t>member1, member2, member3 (theo gói/dùng thử)</t>
        </is>
      </c>
      <c r="E78" s="15" t="inlineStr">
        <is>
          <t>-</t>
        </is>
      </c>
      <c r="F78" s="15" t="inlineStr">
        <is>
          <t>newbie chưa mua</t>
        </is>
      </c>
    </row>
    <row r="80">
      <c r="A80" s="4" t="inlineStr">
        <is>
          <t>C. Dữ liệu đặc biệt (id/mã cố định trong seed)</t>
        </is>
      </c>
    </row>
    <row r="81">
      <c r="A81" s="13" t="inlineStr">
        <is>
          <t>Nhóm</t>
        </is>
      </c>
      <c r="B81" s="13" t="inlineStr">
        <is>
          <t>Mã / ID</t>
        </is>
      </c>
      <c r="C81" s="13" t="inlineStr">
        <is>
          <t>Mô tả &amp; số liệu</t>
        </is>
      </c>
      <c r="D81" s="13" t="inlineStr">
        <is>
          <t>Tài khoản liên quan</t>
        </is>
      </c>
    </row>
    <row r="82" ht="60" customHeight="1">
      <c r="A82" s="15" t="inlineStr">
        <is>
          <t>Cộng đồng</t>
        </is>
      </c>
      <c r="B82" s="21" t="inlineStr">
        <is>
          <t>photo / yt / fin</t>
        </is>
      </c>
      <c r="C82" s="15" t="inlineStr">
        <is>
          <t>Cộng đồng có kịch bản đầy đủ (bài viết, sự kiện, lớp học, điểm). photo: 12 bài học = 2 module x 6, bật chứng nhận. yt: 24 bài (4x5+4), module 2 khóa cấp độ 2. fin: 16 bài (5+5+6), bật chứng nhận. Owner cả ba: owner@.</t>
        </is>
      </c>
      <c r="D82" s="15" t="inlineStr">
        <is>
          <t>owner, member1..3, cadmin, mod, banned</t>
        </is>
      </c>
    </row>
    <row r="83" ht="60" customHeight="1">
      <c r="A83" s="15" t="inlineStr">
        <is>
          <t>Cộng đồng</t>
        </is>
      </c>
      <c r="B83" s="21" t="inlineStr">
        <is>
          <t>private-demo</t>
        </is>
      </c>
      <c r="C83" s="15" t="inlineStr">
        <is>
          <t>Riêng tư, miễn phí. Yêu cầu tham gia pending: seed-jr-private-demo-newbie, seed-jr-private-demo-member1. Người ngoài nhận 403 JOIN_REQUEST_REQUIRED khi tham gia thẳng.</t>
        </is>
      </c>
      <c r="D83" s="15" t="inlineStr">
        <is>
          <t>owner, newbie, member1</t>
        </is>
      </c>
    </row>
    <row r="84" ht="30" customHeight="1">
      <c r="A84" s="15" t="inlineStr">
        <is>
          <t>Cộng đồng</t>
        </is>
      </c>
      <c r="B84" s="21" t="inlineStr">
        <is>
          <t>paid-demo</t>
        </is>
      </c>
      <c r="C84" s="15" t="inlineStr">
        <is>
          <t>Công khai, có phí $19/tháng (priceCents=1900). Nơi có toàn bộ dữ liệu thanh toán/doanh thu/gói.</t>
        </is>
      </c>
      <c r="D84" s="15" t="inlineStr">
        <is>
          <t>owner, member1..3, newbie, admin</t>
        </is>
      </c>
    </row>
    <row r="85" ht="75" customHeight="1">
      <c r="A85" s="15" t="inlineStr">
        <is>
          <t>Cộng đồng</t>
        </is>
      </c>
      <c r="B85" s="21" t="inlineStr">
        <is>
          <t>~23 cộng đồng khác + ~1.5K user minh họa</t>
        </is>
      </c>
      <c r="C85"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85" s="15" t="inlineStr">
        <is>
          <t>khách, mọi tài khoản</t>
        </is>
      </c>
    </row>
    <row r="86" ht="30" customHeight="1">
      <c r="A86" s="15" t="inlineStr">
        <is>
          <t>Mã mời</t>
        </is>
      </c>
      <c r="B86" s="21" t="inlineStr">
        <is>
          <t>DEMO-VALID</t>
        </is>
      </c>
      <c r="C86" s="15" t="inlineStr">
        <is>
          <t>private-demo, tối đa 5 lượt, còn hạn ~30 ngày -&gt; tham gia được.</t>
        </is>
      </c>
      <c r="D86" s="15" t="inlineStr">
        <is>
          <t>newbie</t>
        </is>
      </c>
    </row>
    <row r="87" ht="30" customHeight="1">
      <c r="A87" s="15" t="inlineStr">
        <is>
          <t>Mã mời</t>
        </is>
      </c>
      <c r="B87" s="21" t="inlineStr">
        <is>
          <t>DEMO-EXPIRED</t>
        </is>
      </c>
      <c r="C87" s="15" t="inlineStr">
        <is>
          <t>private-demo, đã hết hạn 2 ngày trước -&gt; 410 INVITE_EXPIRED.</t>
        </is>
      </c>
      <c r="D87" s="15" t="inlineStr">
        <is>
          <t>bất kỳ</t>
        </is>
      </c>
    </row>
    <row r="88" ht="18" customHeight="1">
      <c r="A88" s="15" t="inlineStr">
        <is>
          <t>Mã mời</t>
        </is>
      </c>
      <c r="B88" s="21" t="inlineStr">
        <is>
          <t>DEMO-REVOKED</t>
        </is>
      </c>
      <c r="C88" s="15" t="inlineStr">
        <is>
          <t>private-demo, đã thu hồi -&gt; 410 INVITE_REVOKED.</t>
        </is>
      </c>
      <c r="D88" s="15" t="inlineStr">
        <is>
          <t>bất kỳ</t>
        </is>
      </c>
    </row>
    <row r="89" ht="30" customHeight="1">
      <c r="A89" s="15" t="inlineStr">
        <is>
          <t>Mã mời</t>
        </is>
      </c>
      <c r="B89" s="21" t="inlineStr">
        <is>
          <t>DEMO-USED</t>
        </is>
      </c>
      <c r="C89" s="15" t="inlineStr">
        <is>
          <t>private-demo, maxUses=1 usedCount=1 -&gt; 410 INVITE_EXHAUSTED.</t>
        </is>
      </c>
      <c r="D89" s="15" t="inlineStr">
        <is>
          <t>bất kỳ</t>
        </is>
      </c>
    </row>
    <row r="90" ht="30" customHeight="1">
      <c r="A90" s="15" t="inlineStr">
        <is>
          <t>Mã mời</t>
        </is>
      </c>
      <c r="B90" s="21" t="inlineStr">
        <is>
          <t>DEMO-PAID</t>
        </is>
      </c>
      <c r="C90" s="15" t="inlineStr">
        <is>
          <t>paid-demo, không giới hạn -&gt; nhận lời mời vẫn 402 PAYMENT_REQUIRED (lời mời không miễn phí).</t>
        </is>
      </c>
      <c r="D90" s="15" t="inlineStr">
        <is>
          <t>newbie</t>
        </is>
      </c>
    </row>
    <row r="91" ht="45" customHeight="1">
      <c r="A91" s="15" t="inlineStr">
        <is>
          <t>Chứng nhận</t>
        </is>
      </c>
      <c r="B91" s="21" t="inlineStr">
        <is>
          <t>FIN-DEMO-CERT-001</t>
        </is>
      </c>
      <c r="C91" s="15" t="inlineStr">
        <is>
          <t>Chứng nhận của member1 ở fin; xác minh công khai không cần đăng nhập (GET /api/certificates/:code -&gt; {valid, holderName, courseTitle, issuedAt}; trang FE xác minh).</t>
        </is>
      </c>
      <c r="D91" s="15" t="inlineStr">
        <is>
          <t>member1, khách</t>
        </is>
      </c>
    </row>
    <row r="92" ht="45" customHeight="1">
      <c r="A92" s="15" t="inlineStr">
        <is>
          <t>Bài viết (photo)</t>
        </is>
      </c>
      <c r="B92" s="21" t="inlineStr">
        <is>
          <t>seed-post-photo-m1-image</t>
        </is>
      </c>
      <c r="C92" s="15" t="inlineStr">
        <is>
          <t>Bài của member1 có ảnh + thẻ #HoàngHôn #Portrait #ChiaSẻ, 5 like, 2 bình luận (member2, demo #3); có báo cáo đang chờ.</t>
        </is>
      </c>
      <c r="D92" s="15" t="inlineStr">
        <is>
          <t>member1, member2, member3, mod</t>
        </is>
      </c>
    </row>
    <row r="93" ht="60" customHeight="1">
      <c r="A93" s="15" t="inlineStr">
        <is>
          <t>Bài viết (photo)</t>
        </is>
      </c>
      <c r="B93" s="21" t="inlineStr">
        <is>
          <t>seed-post-photo-m1-poll</t>
        </is>
      </c>
      <c r="C93" s="15" t="inlineStr">
        <is>
          <t>Poll 'Địa điểm chụp cuối tuần?' 3 lựa chọn (o1 Phố cổ Hà Nội, o2 Bãi biển Mỹ Khê, o3 Đồi chè Mộc Châu), không multi, hết hạn sau ~30 ngày. Phiếu: member2 -&gt; o1, demo#1 -&gt; o1, demo#2 -&gt; o2 (tổng 3).</t>
        </is>
      </c>
      <c r="D93" s="15" t="inlineStr">
        <is>
          <t>member1, member2</t>
        </is>
      </c>
    </row>
    <row r="94" ht="45" customHeight="1">
      <c r="A94" s="15" t="inlineStr">
        <is>
          <t>Bài viết (photo)</t>
        </is>
      </c>
      <c r="B94" s="21" t="inlineStr">
        <is>
          <t>seed-post-photo-m1-hidden</t>
        </is>
      </c>
      <c r="C94" s="15" t="inlineStr">
        <is>
          <t>Bài quảng cáo của member1 đã bị mod ẩn; member thường không thấy, GET trả 404; tác giả &amp; mod+ vẫn thấy kèm hidden=true.</t>
        </is>
      </c>
      <c r="D94" s="15" t="inlineStr">
        <is>
          <t>member1, mod</t>
        </is>
      </c>
    </row>
    <row r="95" ht="30" customHeight="1">
      <c r="A95" s="15" t="inlineStr">
        <is>
          <t>Bài viết (photo)</t>
        </is>
      </c>
      <c r="B95" s="21" t="inlineStr">
        <is>
          <t>seed-post-photo-owner-pinned</t>
        </is>
      </c>
      <c r="C95" s="15" t="inlineStr">
        <is>
          <t>Bài ghim 'Nội quy cộng đồng Nhiếp ảnh' của owner (announcement).</t>
        </is>
      </c>
      <c r="D95" s="15" t="inlineStr">
        <is>
          <t>owner, mod</t>
        </is>
      </c>
    </row>
    <row r="96" ht="45" customHeight="1">
      <c r="A96" s="15" t="inlineStr">
        <is>
          <t>Báo cáo (photo)</t>
        </is>
      </c>
      <c r="B96" s="21" t="inlineStr">
        <is>
          <t>seed-report-photo-open / seed-report-photo-resolved</t>
        </is>
      </c>
      <c r="C96" s="15" t="inlineStr">
        <is>
          <t>open: member3 báo bài ảnh của member1 (inappropriate). resolved: member2 báo bài quảng cáo (spam), mod đã hide_content.</t>
        </is>
      </c>
      <c r="D96" s="15" t="inlineStr">
        <is>
          <t>mod, cadmin, owner, admin</t>
        </is>
      </c>
    </row>
    <row r="97" ht="45" customHeight="1">
      <c r="A97" s="15" t="inlineStr">
        <is>
          <t>Sự kiện (photo)</t>
        </is>
      </c>
      <c r="B97" s="21" t="inlineStr">
        <is>
          <t>seed-event-photo-limited</t>
        </is>
      </c>
      <c r="C97" s="15" t="inlineStr">
        <is>
          <t>Workshop chụp chân dung ngoài trời, capacity 3, đã có member2 + demo#1 (2/3) -&gt; còn 1 chỗ cuối, host mod, sắp tới +7 ngày.</t>
        </is>
      </c>
      <c r="D97" s="15" t="inlineStr">
        <is>
          <t>member1, member3, cadmin (đua chỗ cuối)</t>
        </is>
      </c>
    </row>
    <row r="98" ht="30" customHeight="1">
      <c r="A98" s="15" t="inlineStr">
        <is>
          <t>Sự kiện (photo)</t>
        </is>
      </c>
      <c r="B98" s="21" t="inlineStr">
        <is>
          <t>seed-event-photo-full</t>
        </is>
      </c>
      <c r="C98" s="15" t="inlineStr">
        <is>
          <t>Photowalk phố cổ, capacity 2, đầy 2/2 (demo#1, demo#2) -&gt; RSVP trả 409, +3 ngày, host owner.</t>
        </is>
      </c>
      <c r="D98" s="15" t="inlineStr">
        <is>
          <t>member1..3</t>
        </is>
      </c>
    </row>
    <row r="99" ht="30" customHeight="1">
      <c r="A99" s="15" t="inlineStr">
        <is>
          <t>Sự kiện (photo)</t>
        </is>
      </c>
      <c r="B99" s="21" t="inlineStr">
        <is>
          <t>seed-event-photo-past</t>
        </is>
      </c>
      <c r="C99" s="15" t="inlineStr">
        <is>
          <t>Livestream chấm ảnh, đã qua ~7 ngày; RSVP -&gt; lỗi 'Sự kiện đã diễn ra'; member1, member2, demo#3 đã tham gia.</t>
        </is>
      </c>
      <c r="D99" s="15" t="inlineStr">
        <is>
          <t>member1, member2</t>
        </is>
      </c>
    </row>
    <row r="100" ht="45" customHeight="1">
      <c r="A100" s="15" t="inlineStr">
        <is>
          <t>Thanh toán (paid-demo)</t>
        </is>
      </c>
      <c r="B100" s="21" t="inlineStr">
        <is>
          <t>seed-sub-member1 / seed-pay-member1-a,b</t>
        </is>
      </c>
      <c r="C100" s="15" t="inlineStr">
        <is>
          <t>Gói active; 2 giao dịch succeeded (initial 40 ngày trước, renewal 10 ngày trước), mỗi giao dịch có hóa đơn INV-YYYY-nnnnnn.</t>
        </is>
      </c>
      <c r="D100" s="15" t="inlineStr">
        <is>
          <t>member1</t>
        </is>
      </c>
    </row>
    <row r="101" ht="30" customHeight="1">
      <c r="A101" s="15" t="inlineStr">
        <is>
          <t>Thanh toán (paid-demo)</t>
        </is>
      </c>
      <c r="B101" s="21" t="inlineStr">
        <is>
          <t>seed-sub-member2</t>
        </is>
      </c>
      <c r="C101" s="15" t="inlineStr">
        <is>
          <t>Gói active + cancelAtPeriodEnd (hủy 2 ngày trước), còn 15 ngày -&gt; nút 'Tiếp tục gói'.</t>
        </is>
      </c>
      <c r="D101" s="15" t="inlineStr">
        <is>
          <t>member2</t>
        </is>
      </c>
    </row>
    <row r="102" ht="30" customHeight="1">
      <c r="A102" s="15" t="inlineStr">
        <is>
          <t>Thanh toán (paid-demo)</t>
        </is>
      </c>
      <c r="B102" s="21" t="inlineStr">
        <is>
          <t>seed-sub-member3</t>
        </is>
      </c>
      <c r="C102" s="15" t="inlineStr">
        <is>
          <t>Gói trialing còn ~4 ngày, chưa có giao dịch -&gt; hủy trong dùng thử không mất phí.</t>
        </is>
      </c>
      <c r="D102" s="15" t="inlineStr">
        <is>
          <t>member3</t>
        </is>
      </c>
    </row>
    <row r="103" ht="45" customHeight="1">
      <c r="A103" s="15" t="inlineStr">
        <is>
          <t>Thanh toán (paid-demo)</t>
        </is>
      </c>
      <c r="B103" s="21" t="inlineStr">
        <is>
          <t>seed-pay-refunded / seed-pay-pendref</t>
        </is>
      </c>
      <c r="C103" s="15" t="inlineStr">
        <is>
          <t>Giao dịch đã hoàn tiền (demo#1, RefundRequest approved) và yêu cầu hoàn tiền pending ngoài cửa sổ (demo#2) -&gt; admin duyệt/từ chối.</t>
        </is>
      </c>
      <c r="D103" s="15" t="inlineStr">
        <is>
          <t>admin, owner</t>
        </is>
      </c>
    </row>
    <row r="104" ht="30" customHeight="1">
      <c r="A104" s="15" t="inlineStr">
        <is>
          <t>Thanh toán (paid-demo)</t>
        </is>
      </c>
      <c r="B104" s="21" t="inlineStr">
        <is>
          <t>seed-sub-hist-3..10</t>
        </is>
      </c>
      <c r="C104" s="15" t="inlineStr">
        <is>
          <t>Lịch sử thanh toán hàng tháng của demo#3..#10 (demo#10 hủy cuối kỳ) tạo số liệu doanh thu ~90 ngày cho owner.</t>
        </is>
      </c>
      <c r="D104" s="15" t="inlineStr">
        <is>
          <t>owner</t>
        </is>
      </c>
    </row>
    <row r="105" ht="45" customHeight="1">
      <c r="A105" s="15" t="inlineStr">
        <is>
          <t>Thông báo</t>
        </is>
      </c>
      <c r="B105" s="21" t="inlineStr">
        <is>
          <t>seed-notif-member1-1..7</t>
        </is>
      </c>
      <c r="C105" s="15" t="inlineStr">
        <is>
          <t>7 thông báo của member1 (4 chưa đọc: post_liked, post_commented, event_reminder, message_received; 3 đã đọc: event_created, payment_succeeded, system).</t>
        </is>
      </c>
      <c r="D105" s="15" t="inlineStr">
        <is>
          <t>member1</t>
        </is>
      </c>
    </row>
    <row r="106" ht="30" customHeight="1">
      <c r="A106" s="15" t="inlineStr">
        <is>
          <t>Tin nhắn</t>
        </is>
      </c>
      <c r="B106" s="21" t="inlineStr">
        <is>
          <t>seed-conv-member1-member2</t>
        </is>
      </c>
      <c r="C106" s="15" t="inlineStr">
        <is>
          <t>Hội thoại 8 tin giữa member1 và member2, 1 tin đã thu hồi, 3 tin member2 gửi chưa đọc (phía member1).</t>
        </is>
      </c>
      <c r="D106" s="15" t="inlineStr">
        <is>
          <t>member1, member2, member3 (IDOR)</t>
        </is>
      </c>
    </row>
    <row r="107" ht="45" customHeight="1">
      <c r="A107" s="15" t="inlineStr">
        <is>
          <t>Điểm &amp; cấp độ</t>
        </is>
      </c>
      <c r="B107" s="21" t="inlineStr">
        <is>
          <t>SeedPoints photo</t>
        </is>
      </c>
      <c r="C107" s="15" t="inlineStr">
        <is>
          <t>member1=110, member2=30, member3=6 điểm ở photo; các thành viên minh họa có 3 mốc thời gian (&lt;=7d, 8-30d, &gt;30d) đủ Cấp 1..6.</t>
        </is>
      </c>
      <c r="D107" s="15" t="inlineStr">
        <is>
          <t>member1..3</t>
        </is>
      </c>
    </row>
    <row r="108" ht="45" customHeight="1">
      <c r="A108" s="15" t="inlineStr">
        <is>
          <t>Admin: cộng đồng chờ duyệt</t>
        </is>
      </c>
      <c r="B108" s="21" t="inlineStr">
        <is>
          <t>design-circle / creator-academy / no-code-nation</t>
        </is>
      </c>
      <c r="C108" s="15" t="inlineStr">
        <is>
          <t>pending_review, tạo ~6 / 15 / 27 giờ trước (chủ noah / emma / ava; giá $29 / $59 / $39). KPI 'Cộng đồng chờ duyệt' = 3, 'Lâu nhất đã chờ' ≈ 27 giờ.</t>
        </is>
      </c>
      <c r="D108" s="15" t="inlineStr">
        <is>
          <t>admin</t>
        </is>
      </c>
    </row>
    <row r="109" ht="90" customHeight="1">
      <c r="A109" s="15" t="inlineStr">
        <is>
          <t>Admin: cộng đồng khác trạng thái</t>
        </is>
      </c>
      <c r="B109" s="21" t="inlineStr">
        <is>
          <t>startup-grind / quick-rich-club / crypto-signals-pro</t>
        </is>
      </c>
      <c r="C109"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09" s="15" t="inlineStr">
        <is>
          <t>admin</t>
        </is>
      </c>
    </row>
    <row r="110" ht="45" customHeight="1">
      <c r="A110" s="15" t="inlineStr">
        <is>
          <t>Admin: thùng rác</t>
        </is>
      </c>
      <c r="B110" s="21" t="inlineStr">
        <is>
          <t>side-hustle-squad / photo-walks / keto-kitchen / pixel-traders</t>
        </is>
      </c>
      <c r="C110" s="15" t="inlineStr">
        <is>
          <t>Đã xóa mềm 3 / 7 / 11 / 15 ngày trước (còn ~27 / 23 / 19 / 15 ngày); side-hustle-squad &amp; pixel-traders do chủ tự xóa, hai cái còn lại admin xóa (Fraud, Spam).</t>
        </is>
      </c>
      <c r="D110" s="15" t="inlineStr">
        <is>
          <t>admin</t>
        </is>
      </c>
    </row>
    <row r="111" ht="135" customHeight="1">
      <c r="A111" s="15" t="inlineStr">
        <is>
          <t>Admin: vụ việc (Report)</t>
        </is>
      </c>
      <c r="B111" s="21" t="inlineStr">
        <is>
          <t>seed-admin-report-1..12 (#1..#12)</t>
        </is>
      </c>
      <c r="C111"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11" s="15" t="inlineStr">
        <is>
          <t>admin</t>
        </is>
      </c>
    </row>
    <row r="112" ht="75" customHeight="1">
      <c r="A112" s="15" t="inlineStr">
        <is>
          <t>Admin: nội dung bị báo cáo</t>
        </is>
      </c>
      <c r="B112" s="21" t="inlineStr">
        <is>
          <t>seed-admin-post-1..5, seed-admin-cmt-1..4</t>
        </is>
      </c>
      <c r="C112" s="15" t="inlineStr">
        <is>
          <t>5 bài (post-1 lừa đảo cọc $49 của lucas, post-2 'Cracked AI tools pack', post-3 bình thường của sarah, post-4 'Guaranteed 10x returns' của ethan, post-5 Telegram referral của maya) và 4 bình luận (cmt-1 sophia, cmt-2 noah, cmt-3 olivia, cmt-4 liam).</t>
        </is>
      </c>
      <c r="D112" s="15" t="inlineStr">
        <is>
          <t>admin</t>
        </is>
      </c>
    </row>
    <row r="113" ht="90" customHeight="1">
      <c r="A113" s="15" t="inlineStr">
        <is>
          <t>Admin: nhật ký audit seed</t>
        </is>
      </c>
      <c r="B113" s="21" t="inlineStr">
        <is>
          <t>seed-admin-audit-1..11</t>
        </is>
      </c>
      <c r="C113"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13" s="15" t="inlineStr">
        <is>
          <t>admin</t>
        </is>
      </c>
    </row>
    <row r="114" ht="60" customHeight="1">
      <c r="A114" s="15" t="inlineStr">
        <is>
          <t>Admin: thanh toán cũ trong khung mới</t>
        </is>
      </c>
      <c r="B114" s="21" t="inlineStr">
        <is>
          <t>seed-pay-pendref / payout requested</t>
        </is>
      </c>
      <c r="C114" s="15" t="inlineStr">
        <is>
          <t>/admin/payments/refunds có 1 yêu cầu hoàn tiền pending (demo-paid-demo-2, ngoài cửa sổ 7 ngày); /admin/payments/payouts có 1 payout requested của owner (xem phần Thanh toán ở trên).</t>
        </is>
      </c>
      <c r="D114" s="15" t="inlineStr">
        <is>
          <t>admin</t>
        </is>
      </c>
    </row>
    <row r="115" ht="90" customHeight="1">
      <c r="A115" s="15" t="inlineStr">
        <is>
          <t>Admin đợt 2: nội dung</t>
        </is>
      </c>
      <c r="B115" s="21" t="inlineStr">
        <is>
          <t>POST-D186CDF7 / POST-6976F0F3 / POST-11AABCCE / POST-1926A141</t>
        </is>
      </c>
      <c r="C115"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15" s="15" t="inlineStr">
        <is>
          <t>admin</t>
        </is>
      </c>
    </row>
    <row r="116" ht="30" customHeight="1">
      <c r="A116" s="15" t="inlineStr">
        <is>
          <t>Admin đợt 2: khóa học/bài học</t>
        </is>
      </c>
      <c r="B116" s="21" t="inlineStr">
        <is>
          <t>System Design Drafts / Budgeting 101 / Get Rich Quick Secrets; LSN-408423DE, LSN-303F7046, LSN-DA91F381</t>
        </is>
      </c>
      <c r="C116" s="15" t="inlineStr">
        <is>
          <t>Khóa draft/archived/removed; bài ẩn 2, gỡ 5 (gồm 4 bài của khóa bị gỡ). Tổng: 124 khóa, 473 bài.</t>
        </is>
      </c>
      <c r="D116" s="15" t="inlineStr">
        <is>
          <t>admin, daniel (thành viên growth-lab)</t>
        </is>
      </c>
    </row>
    <row r="117" ht="45" customHeight="1">
      <c r="A117" s="15" t="inlineStr">
        <is>
          <t>Admin đợt 2: sự kiện &amp; media</t>
        </is>
      </c>
      <c r="B117" s="21" t="inlineStr">
        <is>
          <t>Growth AMA / Hack night / Secret wealth webinar / Mobility workshop; notion-template.pdf / leaked-meal-plan.pdf / signals-pack.zip</t>
        </is>
      </c>
      <c r="C117" s="15" t="inlineStr">
        <is>
          <t>8 sự kiện đặc biệt (RSVP 2-5 người, 1 hủy, 1 gỡ, 1 'live now' chỉ 2 giờ); 12 tệp media metadata (2 gắn cờ, 1 gỡ; 1,4 GB).</t>
        </is>
      </c>
      <c r="D117" s="15" t="inlineStr">
        <is>
          <t>admin, emma, noah</t>
        </is>
      </c>
    </row>
    <row r="118" ht="90" customHeight="1">
      <c r="A118" s="15" t="inlineStr">
        <is>
          <t>Admin đợt 2: thanh toán</t>
        </is>
      </c>
      <c r="B118" s="21" t="inlineStr">
        <is>
          <t>112 giao dịch, 35 gói, 11 hoàn tiền, 7 tranh chấp (mô phỏng), 12 payout</t>
        </is>
      </c>
      <c r="C118"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18" s="15" t="inlineStr">
        <is>
          <t>admin</t>
        </is>
      </c>
    </row>
    <row r="119" ht="60" customHeight="1">
      <c r="A119" s="15" t="inlineStr">
        <is>
          <t>Admin đợt 2: khám phá</t>
        </is>
      </c>
      <c r="B119" s="21" t="inlineStr">
        <is>
          <t>photo/yt/growth-lab (featured), 8 danh mục, trọng số 25/25/20/15/10/5</t>
        </is>
      </c>
      <c r="C119" s="15" t="inlineStr">
        <is>
          <t>23 listed / 3 featured / 4 hidden / 5 unlisted; searchable 33 / reduced 1 (biz) / hidden 1 (spam-hub); /courses công khai = 29; mục new_noteworthy có 1 mục hết hạn (fit-forever).</t>
        </is>
      </c>
      <c r="D119" s="15" t="inlineStr">
        <is>
          <t>admin</t>
        </is>
      </c>
    </row>
    <row r="120" ht="75" customHeight="1">
      <c r="A120" s="15" t="inlineStr">
        <is>
          <t>Admin đợt 2: nhật ký audit seed</t>
        </is>
      </c>
      <c r="B120" s="21" t="inlineStr">
        <is>
          <t>seed-admin2-audit-1..13</t>
        </is>
      </c>
      <c r="C120" s="15" t="inlineStr">
        <is>
          <t>13 dòng: post.hide, post.remove, course.remove, media.remove, event.remove, event.cancel, refund.approve, payout.hold, payout.mark_failed, discovery.status, discovery.search_visibility, discovery.feature, chargeback.create.</t>
        </is>
      </c>
      <c r="D120" s="15" t="inlineStr">
        <is>
          <t>admin</t>
        </is>
      </c>
    </row>
    <row r="121" ht="75" customHeight="1">
      <c r="A121" s="15" t="inlineStr">
        <is>
          <t>Admin: lưu ý reset</t>
        </is>
      </c>
      <c r="B121" s="21" t="inlineStr">
        <is>
          <t>npm run db:reset</t>
        </is>
      </c>
      <c r="C121"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21" s="15" t="inlineStr">
        <is>
          <t>admin</t>
        </is>
      </c>
    </row>
    <row r="123">
      <c r="A123" s="4" t="inlineStr">
        <is>
          <t>D. Khởi tạo môi trường test</t>
        </is>
      </c>
    </row>
    <row r="124">
      <c r="A124" s="13" t="inlineStr">
        <is>
          <t>Bước</t>
        </is>
      </c>
      <c r="B124" s="13" t="inlineStr">
        <is>
          <t>Việc cần làm</t>
        </is>
      </c>
      <c r="C124" s="13" t="inlineStr">
        <is>
          <t>Lệnh / cách thực hiện</t>
        </is>
      </c>
    </row>
    <row r="125" ht="30" customHeight="1">
      <c r="A125" s="15" t="inlineStr">
        <is>
          <t>1</t>
        </is>
      </c>
      <c r="B125" s="15" t="inlineStr">
        <is>
          <t>Cài đặt phụ thuộc (lần đầu)</t>
        </is>
      </c>
      <c r="C125" s="21" t="inlineStr">
        <is>
          <t>npm run install:all &amp;&amp; npm install   (ở thư mục gốc sofin_hub)</t>
        </is>
      </c>
    </row>
    <row r="126" ht="30" customHeight="1">
      <c r="A126" s="15" t="inlineStr">
        <is>
          <t>2</t>
        </is>
      </c>
      <c r="B126" s="15" t="inlineStr">
        <is>
          <t>Tạo file môi trường</t>
        </is>
      </c>
      <c r="C126" s="21" t="inlineStr">
        <is>
          <t>cd backend &amp;&amp; cp .env.example .env   -&gt; đảm bảo có PLATFORM_ADMIN_EMAILS=admin@sofinhub.test</t>
        </is>
      </c>
    </row>
    <row r="127" ht="30" customHeight="1">
      <c r="A127" s="15" t="inlineStr">
        <is>
          <t>3</t>
        </is>
      </c>
      <c r="B127" s="15" t="inlineStr">
        <is>
          <t>Bật Docker Desktop rồi chạy Postgres 16 (cổng 5435)</t>
        </is>
      </c>
      <c r="C127" s="21" t="inlineStr">
        <is>
          <t>cd backend &amp;&amp; npm run db:up      (hoặc ở gốc: npm run db:up) - docker compose up -d --wait</t>
        </is>
      </c>
    </row>
    <row r="128" ht="18" customHeight="1">
      <c r="A128" s="15" t="inlineStr">
        <is>
          <t>4</t>
        </is>
      </c>
      <c r="B128" s="15" t="inlineStr">
        <is>
          <t>Áp migration (37 bảng)</t>
        </is>
      </c>
      <c r="C128" s="21" t="inlineStr">
        <is>
          <t>cd backend &amp;&amp; npm run db:deploy</t>
        </is>
      </c>
    </row>
    <row r="129" ht="30" customHeight="1">
      <c r="A129" s="15" t="inlineStr">
        <is>
          <t>5</t>
        </is>
      </c>
      <c r="B129" s="15" t="inlineStr">
        <is>
          <t>Nạp dữ liệu test (idempotent, chạy lại không nhân đôi)</t>
        </is>
      </c>
      <c r="C129" s="21" t="inlineStr">
        <is>
          <t>cd backend &amp;&amp; npm run db:seed      -&gt; in 'Seed xong ... Mật khẩu test: Passw0rd!x'</t>
        </is>
      </c>
    </row>
    <row r="130" ht="45" customHeight="1">
      <c r="A130" s="15" t="inlineStr">
        <is>
          <t>6</t>
        </is>
      </c>
      <c r="B130" s="15" t="inlineStr">
        <is>
          <t>Chạy backend :4000 + frontend :5173</t>
        </is>
      </c>
      <c r="C130" s="21" t="inlineStr">
        <is>
          <t>Ở gốc: npm run dev     (hoặc riêng: cd backend &amp;&amp; npm run dev ; cd frontend &amp;&amp; npm run dev). Mở http://localhost:5173 (Vite proxy /api sang :4000).</t>
        </is>
      </c>
    </row>
    <row r="131" ht="30" customHeight="1">
      <c r="A131" s="15" t="inlineStr">
        <is>
          <t>7</t>
        </is>
      </c>
      <c r="B131" s="15" t="inlineStr">
        <is>
          <t>Đưa DB về trạng thái sạch (khi dữ liệu bị test làm bẩn)</t>
        </is>
      </c>
      <c r="C131" s="21" t="inlineStr">
        <is>
          <t>cd backend &amp;&amp; npm run db:reset      (migrate reset --force + seed). Lưu ý: xóa toàn bộ dữ liệu.</t>
        </is>
      </c>
    </row>
    <row r="132" ht="18" customHeight="1">
      <c r="A132" s="15" t="inlineStr">
        <is>
          <t>8</t>
        </is>
      </c>
      <c r="B132" s="15" t="inlineStr">
        <is>
          <t>Xem dữ liệu trực tiếp</t>
        </is>
      </c>
      <c r="C132" s="21" t="inlineStr">
        <is>
          <t>cd backend &amp;&amp; npm run db:studio   (Prisma Studio)</t>
        </is>
      </c>
    </row>
    <row r="133" ht="30" customHeight="1">
      <c r="A133" s="15" t="inlineStr">
        <is>
          <t>9</t>
        </is>
      </c>
      <c r="B133" s="15" t="inlineStr">
        <is>
          <t>Chạy test tự động của BE (224 test, DB thật, mỗi file một schema tạm)</t>
        </is>
      </c>
      <c r="C133" s="21" t="inlineStr">
        <is>
          <t>cd backend &amp;&amp; npm test ; npm run typecheck</t>
        </is>
      </c>
    </row>
    <row r="134" ht="45" customHeight="1">
      <c r="A134" s="15" t="inlineStr">
        <is>
          <t>10</t>
        </is>
      </c>
      <c r="B134" s="15" t="inlineStr">
        <is>
          <t>Chạy Playwright (người test tự chạy)</t>
        </is>
      </c>
      <c r="C134" s="21" t="inlineStr">
        <is>
          <t>cd e2e &amp;&amp; npx playwright test ; sau đó cd .. &amp;&amp; python qa/apply_playwright_results.py &amp;&amp; python qa/embed_evidence_images.py (xem qa/README.md)</t>
        </is>
      </c>
    </row>
    <row r="135" ht="120" customHeight="1">
      <c r="A135" s="15" t="inlineStr">
        <is>
          <t>11</t>
        </is>
      </c>
      <c r="B135" s="15" t="inlineStr">
        <is>
          <t>Lấy token quên mật khẩu / xác thực email (email chưa gửi thật)</t>
        </is>
      </c>
      <c r="C135"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36" ht="60" customHeight="1">
      <c r="A136" s="15" t="inlineStr">
        <is>
          <t>12</t>
        </is>
      </c>
      <c r="B136" s="15" t="inlineStr">
        <is>
          <t>Đăng nhập nhanh bằng API</t>
        </is>
      </c>
      <c r="C136" s="21" t="inlineStr">
        <is>
          <t>POST http://localhost:4000/api/auth/login  body {"email":"member1@sofinhub.test","password":"Passw0rd!x"} -&gt; lấy data.accessToken, gửi header Authorization: Bearer &lt;token&gt;.</t>
        </is>
      </c>
    </row>
    <row r="137" ht="90" customHeight="1">
      <c r="A137" s="15" t="inlineStr">
        <is>
          <t>13</t>
        </is>
      </c>
      <c r="B137" s="15" t="inlineStr">
        <is>
          <t>Lưu ý khi test song song</t>
        </is>
      </c>
      <c r="C137"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sheetData>
  <mergeCells count="1">
    <mergeCell ref="A1:F1"/>
  </mergeCells>
  <pageMargins left="0.75" right="0.75" top="1" bottom="1" header="0.5" footer="0.5"/>
</worksheet>
</file>

<file path=xl/worksheets/sheet23.xml><?xml version="1.0" encoding="utf-8"?>
<worksheet xmlns="http://schemas.openxmlformats.org/spreadsheetml/2006/main">
  <sheetPr>
    <tabColor rgb="00C00000"/>
    <outlinePr summaryBelow="1" summaryRight="1"/>
    <pageSetUpPr/>
  </sheetPr>
  <dimension ref="A1:H132"/>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34" customHeight="1">
      <c r="A47" s="14" t="inlineStr">
        <is>
          <t>Nền tảng</t>
        </is>
      </c>
      <c r="B47" s="15" t="inlineStr">
        <is>
          <t>Nhân viên Moderator/Support/Finance KHÔNG có quyền ghi đè Owner trong cộng đồng (chỉ Super Admin nguồn env mới có)</t>
        </is>
      </c>
      <c r="C47" s="23" t="inlineStr">
        <is>
          <t>✖</t>
        </is>
      </c>
      <c r="D47" s="23" t="inlineStr">
        <is>
          <t>✖</t>
        </is>
      </c>
      <c r="E47" s="23" t="inlineStr">
        <is>
          <t>✖</t>
        </is>
      </c>
      <c r="F47" s="23" t="inlineStr">
        <is>
          <t>✖</t>
        </is>
      </c>
      <c r="G47" s="23" t="inlineStr">
        <is>
          <t>✖</t>
        </is>
      </c>
      <c r="H47" s="22" t="inlineStr">
        <is>
          <t>✔</t>
        </is>
      </c>
    </row>
    <row r="48" ht="34" customHeight="1">
      <c r="A48" s="14" t="inlineStr">
        <is>
          <t>Nền tảng</t>
        </is>
      </c>
      <c r="B48" s="15" t="inlineStr">
        <is>
          <t>Truy cập khu /admin: xem tầng NHÂN VIÊN (mục B2) - quyền theo vai trò nhân viên, không còn 'chỉ Platform Admin'</t>
        </is>
      </c>
      <c r="C48" s="23" t="inlineStr">
        <is>
          <t>✖</t>
        </is>
      </c>
      <c r="D48" s="23" t="inlineStr">
        <is>
          <t>✖</t>
        </is>
      </c>
      <c r="E48" s="23" t="inlineStr">
        <is>
          <t>✖</t>
        </is>
      </c>
      <c r="F48" s="23" t="inlineStr">
        <is>
          <t>✖</t>
        </is>
      </c>
      <c r="G48" s="23" t="inlineStr">
        <is>
          <t>✖</t>
        </is>
      </c>
      <c r="H48" s="22" t="inlineStr">
        <is>
          <t>✔</t>
        </is>
      </c>
    </row>
    <row r="50">
      <c r="A50" s="4" t="inlineStr">
        <is>
          <t>B2. Ma trận NHÂN VIÊN ADMIN theo nhóm route (✔ = qua guard, ✖ = 403). Cột 'Content Reviewer' là vai trò tùy chỉnh mẫu</t>
        </is>
      </c>
    </row>
    <row r="51" ht="32" customHeight="1">
      <c r="A51" s="13" t="inlineStr">
        <is>
          <t>Đợt</t>
        </is>
      </c>
      <c r="B51" s="13" t="inlineStr">
        <is>
          <t>Nhóm route / hành động</t>
        </is>
      </c>
      <c r="C51" s="13" t="inlineStr">
        <is>
          <t>Người dùng thường / khách</t>
        </is>
      </c>
      <c r="D51" s="13" t="inlineStr">
        <is>
          <t>Super Admin</t>
        </is>
      </c>
      <c r="E51" s="13" t="inlineStr">
        <is>
          <t>Moderator</t>
        </is>
      </c>
      <c r="F51" s="13" t="inlineStr">
        <is>
          <t>Support</t>
        </is>
      </c>
      <c r="G51" s="13" t="inlineStr">
        <is>
          <t>Finance</t>
        </is>
      </c>
      <c r="H51" s="13" t="inlineStr">
        <is>
          <t>Content Reviewer (tùy chỉnh)</t>
        </is>
      </c>
    </row>
    <row r="52" ht="34" customHeight="1">
      <c r="A52" s="14" t="inlineStr">
        <is>
          <t>Chung</t>
        </is>
      </c>
      <c r="B52" s="15" t="inlineStr">
        <is>
          <t>Vào khu /admin, GET /admin/me (mọi nhân viên đang hoạt động)  [quyền: chỉ cần là nhân viên]</t>
        </is>
      </c>
      <c r="C52" s="23" t="inlineStr">
        <is>
          <t>✖</t>
        </is>
      </c>
      <c r="D52" s="22" t="inlineStr">
        <is>
          <t>✔</t>
        </is>
      </c>
      <c r="E52" s="22" t="inlineStr">
        <is>
          <t>✔</t>
        </is>
      </c>
      <c r="F52" s="22" t="inlineStr">
        <is>
          <t>✔</t>
        </is>
      </c>
      <c r="G52" s="22" t="inlineStr">
        <is>
          <t>✔</t>
        </is>
      </c>
      <c r="H52" s="22" t="inlineStr">
        <is>
          <t>✔</t>
        </is>
      </c>
    </row>
    <row r="53" ht="20" customHeight="1">
      <c r="A53" s="14" t="inlineStr">
        <is>
          <t>Đợt 1</t>
        </is>
      </c>
      <c r="B53" s="15" t="inlineStr">
        <is>
          <t>Tổng quan (GET /admin/dashboard)  [quyền: dashboard.view]</t>
        </is>
      </c>
      <c r="C53" s="23" t="inlineStr">
        <is>
          <t>✖</t>
        </is>
      </c>
      <c r="D53" s="22" t="inlineStr">
        <is>
          <t>✔</t>
        </is>
      </c>
      <c r="E53" s="22" t="inlineStr">
        <is>
          <t>✔</t>
        </is>
      </c>
      <c r="F53" s="22" t="inlineStr">
        <is>
          <t>✔</t>
        </is>
      </c>
      <c r="G53" s="22" t="inlineStr">
        <is>
          <t>✔</t>
        </is>
      </c>
      <c r="H53" s="22" t="inlineStr">
        <is>
          <t>✔</t>
        </is>
      </c>
    </row>
    <row r="54" ht="34" customHeight="1">
      <c r="A54" s="14" t="inlineStr">
        <is>
          <t>Đợt 1</t>
        </is>
      </c>
      <c r="B54" s="15" t="inlineStr">
        <is>
          <t>Cộng đồng: danh sách, duyệt/yêu cầu sửa/từ chối/tạm ngưng/xóa/khôi phục (/admin/communities/**)  [quyền: community.manage]</t>
        </is>
      </c>
      <c r="C54" s="23" t="inlineStr">
        <is>
          <t>✖</t>
        </is>
      </c>
      <c r="D54" s="22" t="inlineStr">
        <is>
          <t>✔</t>
        </is>
      </c>
      <c r="E54" s="22" t="inlineStr">
        <is>
          <t>✔</t>
        </is>
      </c>
      <c r="F54" s="23" t="inlineStr">
        <is>
          <t>✖</t>
        </is>
      </c>
      <c r="G54" s="23" t="inlineStr">
        <is>
          <t>✖</t>
        </is>
      </c>
      <c r="H54" s="23" t="inlineStr">
        <is>
          <t>✖</t>
        </is>
      </c>
    </row>
    <row r="55" ht="49" customHeight="1">
      <c r="A55" s="14" t="inlineStr">
        <is>
          <t>Đợt 2</t>
        </is>
      </c>
      <c r="B55" s="15" t="inlineStr">
        <is>
          <t>Khám phá: cộng đồng hiển thị, danh mục, nổi bật, xếp hạng, hiển thị tìm kiếm (/admin/discovery/**) + Hệ thống &gt; Danh mục (/admin/system/categories/**)  [quyền: community.manage]</t>
        </is>
      </c>
      <c r="C55" s="23" t="inlineStr">
        <is>
          <t>✖</t>
        </is>
      </c>
      <c r="D55" s="22" t="inlineStr">
        <is>
          <t>✔</t>
        </is>
      </c>
      <c r="E55" s="22" t="inlineStr">
        <is>
          <t>✔</t>
        </is>
      </c>
      <c r="F55" s="23" t="inlineStr">
        <is>
          <t>✖</t>
        </is>
      </c>
      <c r="G55" s="23" t="inlineStr">
        <is>
          <t>✖</t>
        </is>
      </c>
      <c r="H55" s="23" t="inlineStr">
        <is>
          <t>✖</t>
        </is>
      </c>
    </row>
    <row r="56" ht="34" customHeight="1">
      <c r="A56" s="14" t="inlineStr">
        <is>
          <t>Đợt 1</t>
        </is>
      </c>
      <c r="B56" s="15" t="inlineStr">
        <is>
          <t>Người dùng: XEM danh sách/chi tiết (GET /admin/users/**)  [quyền: users.view]</t>
        </is>
      </c>
      <c r="C56" s="23" t="inlineStr">
        <is>
          <t>✖</t>
        </is>
      </c>
      <c r="D56" s="22" t="inlineStr">
        <is>
          <t>✔</t>
        </is>
      </c>
      <c r="E56" s="22" t="inlineStr">
        <is>
          <t>✔</t>
        </is>
      </c>
      <c r="F56" s="22" t="inlineStr">
        <is>
          <t>✔</t>
        </is>
      </c>
      <c r="G56" s="23" t="inlineStr">
        <is>
          <t>✖</t>
        </is>
      </c>
      <c r="H56" s="22" t="inlineStr">
        <is>
          <t>✔</t>
        </is>
      </c>
    </row>
    <row r="57" ht="49" customHeight="1">
      <c r="A57" s="14" t="inlineStr">
        <is>
          <t>Đợt 1</t>
        </is>
      </c>
      <c r="B57" s="15" t="inlineStr">
        <is>
          <t>Người dùng: hạn chế / tạm ngưng / cấm / khôi phục / cảnh cáo / thu hồi phiên (POST|DELETE /admin/users/**)  [quyền: user.ban]</t>
        </is>
      </c>
      <c r="C57" s="23" t="inlineStr">
        <is>
          <t>✖</t>
        </is>
      </c>
      <c r="D57" s="22" t="inlineStr">
        <is>
          <t>✔</t>
        </is>
      </c>
      <c r="E57" s="22" t="inlineStr">
        <is>
          <t>✔</t>
        </is>
      </c>
      <c r="F57" s="23" t="inlineStr">
        <is>
          <t>✖</t>
        </is>
      </c>
      <c r="G57" s="23" t="inlineStr">
        <is>
          <t>✖</t>
        </is>
      </c>
      <c r="H57" s="23" t="inlineStr">
        <is>
          <t>✖</t>
        </is>
      </c>
    </row>
    <row r="58" ht="34" customHeight="1">
      <c r="A58" s="14" t="inlineStr">
        <is>
          <t>Đợt 1</t>
        </is>
      </c>
      <c r="B58" s="15" t="inlineStr">
        <is>
          <t>Kiểm duyệt: hàng đợi báo cáo, xử lý vụ việc (/admin/moderation/**, /admin/reports*)  [quyền: report.resolve]</t>
        </is>
      </c>
      <c r="C58" s="23" t="inlineStr">
        <is>
          <t>✖</t>
        </is>
      </c>
      <c r="D58" s="22" t="inlineStr">
        <is>
          <t>✔</t>
        </is>
      </c>
      <c r="E58" s="22" t="inlineStr">
        <is>
          <t>✔</t>
        </is>
      </c>
      <c r="F58" s="22" t="inlineStr">
        <is>
          <t>✔</t>
        </is>
      </c>
      <c r="G58" s="23" t="inlineStr">
        <is>
          <t>✖</t>
        </is>
      </c>
      <c r="H58" s="23" t="inlineStr">
        <is>
          <t>✖</t>
        </is>
      </c>
    </row>
    <row r="59" ht="34" customHeight="1">
      <c r="A59" s="14" t="inlineStr">
        <is>
          <t>Đợt 2</t>
        </is>
      </c>
      <c r="B59" s="15" t="inlineStr">
        <is>
          <t>Nội dung: bài viết, bình luận, khóa học, bài học, sự kiện, media (/admin/content/**)  [quyền: content.manage]</t>
        </is>
      </c>
      <c r="C59" s="23" t="inlineStr">
        <is>
          <t>✖</t>
        </is>
      </c>
      <c r="D59" s="22" t="inlineStr">
        <is>
          <t>✔</t>
        </is>
      </c>
      <c r="E59" s="22" t="inlineStr">
        <is>
          <t>✔</t>
        </is>
      </c>
      <c r="F59" s="23" t="inlineStr">
        <is>
          <t>✖</t>
        </is>
      </c>
      <c r="G59" s="23" t="inlineStr">
        <is>
          <t>✖</t>
        </is>
      </c>
      <c r="H59" s="22" t="inlineStr">
        <is>
          <t>✔</t>
        </is>
      </c>
    </row>
    <row r="60" ht="49" customHeight="1">
      <c r="A60" s="14" t="inlineStr">
        <is>
          <t>Đợt 2</t>
        </is>
      </c>
      <c r="B60" s="15" t="inlineStr">
        <is>
          <t>Thanh toán: XEM giao dịch, gói đăng ký, hoàn tiền, tranh chấp, doanh thu creator, chi trả (GET /admin/payments/**) + route cũ GET /admin/refunds, /admin/payouts  [quyền: payment.view]</t>
        </is>
      </c>
      <c r="C60" s="23" t="inlineStr">
        <is>
          <t>✖</t>
        </is>
      </c>
      <c r="D60" s="22" t="inlineStr">
        <is>
          <t>✔</t>
        </is>
      </c>
      <c r="E60" s="23" t="inlineStr">
        <is>
          <t>✖</t>
        </is>
      </c>
      <c r="F60" s="22" t="inlineStr">
        <is>
          <t>✔</t>
        </is>
      </c>
      <c r="G60" s="22" t="inlineStr">
        <is>
          <t>✔</t>
        </is>
      </c>
      <c r="H60" s="23" t="inlineStr">
        <is>
          <t>✖</t>
        </is>
      </c>
    </row>
    <row r="61" ht="64" customHeight="1">
      <c r="A61" s="14" t="inlineStr">
        <is>
          <t>Đợt 2</t>
        </is>
      </c>
      <c r="B61" s="15" t="inlineStr">
        <is>
          <t>Hoàn tiền: duyệt/từ chối, hoàn tiền trực tiếp giao dịch (POST payments/refunds/:id/approve|reject, payments/transactions/:id/refund) + route cũ PATCH /admin/refunds/:id  [quyền: payment.refund]</t>
        </is>
      </c>
      <c r="C61" s="23" t="inlineStr">
        <is>
          <t>✖</t>
        </is>
      </c>
      <c r="D61" s="22" t="inlineStr">
        <is>
          <t>✔</t>
        </is>
      </c>
      <c r="E61" s="23" t="inlineStr">
        <is>
          <t>✖</t>
        </is>
      </c>
      <c r="F61" s="22" t="inlineStr">
        <is>
          <t>✔</t>
        </is>
      </c>
      <c r="G61" s="22" t="inlineStr">
        <is>
          <t>✔</t>
        </is>
      </c>
      <c r="H61" s="23" t="inlineStr">
        <is>
          <t>✖</t>
        </is>
      </c>
    </row>
    <row r="62" ht="49" customHeight="1">
      <c r="A62" s="14" t="inlineStr">
        <is>
          <t>Đợt 2</t>
        </is>
      </c>
      <c r="B62" s="15" t="inlineStr">
        <is>
          <t>Thanh toán khác: thử lại thanh toán, tạm dừng/tiếp tục/hủy gói, tranh chấp (POST còn lại của /admin/payments/**)  [quyền: payment.manage]</t>
        </is>
      </c>
      <c r="C62" s="23" t="inlineStr">
        <is>
          <t>✖</t>
        </is>
      </c>
      <c r="D62" s="22" t="inlineStr">
        <is>
          <t>✔</t>
        </is>
      </c>
      <c r="E62" s="23" t="inlineStr">
        <is>
          <t>✖</t>
        </is>
      </c>
      <c r="F62" s="23" t="inlineStr">
        <is>
          <t>✖</t>
        </is>
      </c>
      <c r="G62" s="22" t="inlineStr">
        <is>
          <t>✔</t>
        </is>
      </c>
      <c r="H62" s="23" t="inlineStr">
        <is>
          <t>✖</t>
        </is>
      </c>
    </row>
    <row r="63" ht="49" customHeight="1">
      <c r="A63" s="14" t="inlineStr">
        <is>
          <t>Đợt 2</t>
        </is>
      </c>
      <c r="B63" s="15" t="inlineStr">
        <is>
          <t>Chi trả: giữ/giải ngân/đánh dấu thất bại (POST /admin/payments/payouts/**) + route cũ PATCH /admin/payouts/:id  [quyền: payout.approve]</t>
        </is>
      </c>
      <c r="C63" s="23" t="inlineStr">
        <is>
          <t>✖</t>
        </is>
      </c>
      <c r="D63" s="22" t="inlineStr">
        <is>
          <t>✔</t>
        </is>
      </c>
      <c r="E63" s="23" t="inlineStr">
        <is>
          <t>✖</t>
        </is>
      </c>
      <c r="F63" s="23" t="inlineStr">
        <is>
          <t>✖</t>
        </is>
      </c>
      <c r="G63" s="22" t="inlineStr">
        <is>
          <t>✔</t>
        </is>
      </c>
      <c r="H63" s="23" t="inlineStr">
        <is>
          <t>✖</t>
        </is>
      </c>
    </row>
    <row r="64" ht="34" customHeight="1">
      <c r="A64" s="14" t="inlineStr">
        <is>
          <t>Đợt 3</t>
        </is>
      </c>
      <c r="B64" s="15" t="inlineStr">
        <is>
          <t>Phân tích: 6 trang (GET /admin/analytics/**)  [quyền: analytics.view]</t>
        </is>
      </c>
      <c r="C64" s="23" t="inlineStr">
        <is>
          <t>✖</t>
        </is>
      </c>
      <c r="D64" s="22" t="inlineStr">
        <is>
          <t>✔</t>
        </is>
      </c>
      <c r="E64" s="22" t="inlineStr">
        <is>
          <t>✔</t>
        </is>
      </c>
      <c r="F64" s="23" t="inlineStr">
        <is>
          <t>✖</t>
        </is>
      </c>
      <c r="G64" s="22" t="inlineStr">
        <is>
          <t>✔</t>
        </is>
      </c>
      <c r="H64" s="23" t="inlineStr">
        <is>
          <t>✖</t>
        </is>
      </c>
    </row>
    <row r="65" ht="49" customHeight="1">
      <c r="A65" s="14" t="inlineStr">
        <is>
          <t>Đợt 3</t>
        </is>
      </c>
      <c r="B65" s="15" t="inlineStr">
        <is>
          <t>Hỗ trợ: ticket (xem, tạo hộ khách, giao, trả lời, ghi chú, chuyển cấp, giải quyết, đóng, mở lại) (/admin/support/**)  [quyền: support.manage]</t>
        </is>
      </c>
      <c r="C65" s="23" t="inlineStr">
        <is>
          <t>✖</t>
        </is>
      </c>
      <c r="D65" s="22" t="inlineStr">
        <is>
          <t>✔</t>
        </is>
      </c>
      <c r="E65" s="23" t="inlineStr">
        <is>
          <t>✖</t>
        </is>
      </c>
      <c r="F65" s="22" t="inlineStr">
        <is>
          <t>✔</t>
        </is>
      </c>
      <c r="G65" s="23" t="inlineStr">
        <is>
          <t>✖</t>
        </is>
      </c>
      <c r="H65" s="23" t="inlineStr">
        <is>
          <t>✖</t>
        </is>
      </c>
    </row>
    <row r="66" ht="34" customHeight="1">
      <c r="A66" s="14" t="inlineStr">
        <is>
          <t>Đợt 1/3</t>
        </is>
      </c>
      <c r="B66" s="15" t="inlineStr">
        <is>
          <t>Nhật ký hoạt động + xuất CSV (/admin/audit-logs*)  [quyền: audit.view]</t>
        </is>
      </c>
      <c r="C66" s="23" t="inlineStr">
        <is>
          <t>✖</t>
        </is>
      </c>
      <c r="D66" s="22" t="inlineStr">
        <is>
          <t>✔</t>
        </is>
      </c>
      <c r="E66" s="23" t="inlineStr">
        <is>
          <t>✖</t>
        </is>
      </c>
      <c r="F66" s="23" t="inlineStr">
        <is>
          <t>✖</t>
        </is>
      </c>
      <c r="G66" s="23" t="inlineStr">
        <is>
          <t>✖</t>
        </is>
      </c>
      <c r="H66" s="23" t="inlineStr">
        <is>
          <t>✖</t>
        </is>
      </c>
    </row>
    <row r="67" ht="34" customHeight="1">
      <c r="A67" s="14" t="inlineStr">
        <is>
          <t>Đợt 3</t>
        </is>
      </c>
      <c r="B67" s="15" t="inlineStr">
        <is>
          <t>Tính năng thử nghiệm (/admin/system/flags/**)  [quyền: system.flags]</t>
        </is>
      </c>
      <c r="C67" s="23" t="inlineStr">
        <is>
          <t>✖</t>
        </is>
      </c>
      <c r="D67" s="22" t="inlineStr">
        <is>
          <t>✔</t>
        </is>
      </c>
      <c r="E67" s="23" t="inlineStr">
        <is>
          <t>✖</t>
        </is>
      </c>
      <c r="F67" s="23" t="inlineStr">
        <is>
          <t>✖</t>
        </is>
      </c>
      <c r="G67" s="23" t="inlineStr">
        <is>
          <t>✖</t>
        </is>
      </c>
      <c r="H67" s="23" t="inlineStr">
        <is>
          <t>✖</t>
        </is>
      </c>
    </row>
    <row r="68" ht="49" customHeight="1">
      <c r="A68" s="14" t="inlineStr">
        <is>
          <t>Đợt 3</t>
        </is>
      </c>
      <c r="B68" s="15" t="inlineStr">
        <is>
          <t>Cài đặt chung, Tích hợp, Thông báo/broadcast, Mẫu email (/admin/system/{settings,integrations,notifications,email-templates}/**)  [quyền: system.settings]</t>
        </is>
      </c>
      <c r="C68" s="23" t="inlineStr">
        <is>
          <t>✖</t>
        </is>
      </c>
      <c r="D68" s="22" t="inlineStr">
        <is>
          <t>✔</t>
        </is>
      </c>
      <c r="E68" s="23" t="inlineStr">
        <is>
          <t>✖</t>
        </is>
      </c>
      <c r="F68" s="23" t="inlineStr">
        <is>
          <t>✖</t>
        </is>
      </c>
      <c r="G68" s="23" t="inlineStr">
        <is>
          <t>✖</t>
        </is>
      </c>
      <c r="H68" s="23" t="inlineStr">
        <is>
          <t>✖</t>
        </is>
      </c>
    </row>
    <row r="69" ht="34" customHeight="1">
      <c r="A69" s="14" t="inlineStr">
        <is>
          <t>Đợt 3</t>
        </is>
      </c>
      <c r="B69" s="15" t="inlineStr">
        <is>
          <t>Tài khoản quản trị + Vai trò &amp; Quyền (/admin/system/{admins,roles}/**)  [quyền: admin.manage]</t>
        </is>
      </c>
      <c r="C69" s="23" t="inlineStr">
        <is>
          <t>✖</t>
        </is>
      </c>
      <c r="D69" s="22" t="inlineStr">
        <is>
          <t>✔</t>
        </is>
      </c>
      <c r="E69" s="23" t="inlineStr">
        <is>
          <t>✖</t>
        </is>
      </c>
      <c r="F69" s="23" t="inlineStr">
        <is>
          <t>✖</t>
        </is>
      </c>
      <c r="G69" s="23" t="inlineStr">
        <is>
          <t>✖</t>
        </is>
      </c>
      <c r="H69" s="23" t="inlineStr">
        <is>
          <t>✖</t>
        </is>
      </c>
    </row>
    <row r="70" ht="34" customHeight="1">
      <c r="A70" s="14" t="inlineStr">
        <is>
          <t>Khác</t>
        </is>
      </c>
      <c r="B70" s="15" t="inlineStr">
        <is>
          <t>Route /admin/* không có trong bảng luật (an toàn mặc định)  [quyền: super]</t>
        </is>
      </c>
      <c r="C70" s="23" t="inlineStr">
        <is>
          <t>✖</t>
        </is>
      </c>
      <c r="D70" s="22" t="inlineStr">
        <is>
          <t>✔</t>
        </is>
      </c>
      <c r="E70" s="23" t="inlineStr">
        <is>
          <t>✖</t>
        </is>
      </c>
      <c r="F70" s="23" t="inlineStr">
        <is>
          <t>✖</t>
        </is>
      </c>
      <c r="G70" s="23" t="inlineStr">
        <is>
          <t>✖</t>
        </is>
      </c>
      <c r="H70" s="23" t="inlineStr">
        <is>
          <t>✖</t>
        </is>
      </c>
    </row>
    <row r="72">
      <c r="A72" s="4" t="inlineStr">
        <is>
          <t>B3. 16 KHÓA QUYỀN × vai trò nhân viên (mặc định; sửa được ở Hệ thống &gt; Vai trò &amp; Quyền trừ cột Super Admin)</t>
        </is>
      </c>
    </row>
    <row r="73" ht="32" customHeight="1">
      <c r="A73" s="13" t="inlineStr">
        <is>
          <t>Khóa quyền</t>
        </is>
      </c>
      <c r="B73" s="13" t="inlineStr">
        <is>
          <t>Nhãn &amp; route được phủ</t>
        </is>
      </c>
      <c r="C73" s="13" t="inlineStr">
        <is>
          <t>Super Admin</t>
        </is>
      </c>
      <c r="D73" s="13" t="inlineStr">
        <is>
          <t>Moderator</t>
        </is>
      </c>
      <c r="E73" s="13" t="inlineStr">
        <is>
          <t>Support</t>
        </is>
      </c>
      <c r="F73" s="13" t="inlineStr">
        <is>
          <t>Finance</t>
        </is>
      </c>
      <c r="G73" s="13" t="inlineStr">
        <is>
          <t>Content Reviewer</t>
        </is>
      </c>
      <c r="H73" s="13" t="inlineStr">
        <is>
          <t>Gán cho vai trò tùy chỉnh?</t>
        </is>
      </c>
    </row>
    <row r="74" ht="34" customHeight="1">
      <c r="A74" s="14" t="inlineStr">
        <is>
          <t>dashboard.view</t>
        </is>
      </c>
      <c r="B74" s="15" t="inlineStr">
        <is>
          <t>Xem bảng điều khiển (View dashboard) - GET /admin/dashboard; /admin/me không cần quyền</t>
        </is>
      </c>
      <c r="C74" s="22" t="inlineStr">
        <is>
          <t>✔</t>
        </is>
      </c>
      <c r="D74" s="22" t="inlineStr">
        <is>
          <t>✔</t>
        </is>
      </c>
      <c r="E74" s="22" t="inlineStr">
        <is>
          <t>✔</t>
        </is>
      </c>
      <c r="F74" s="22" t="inlineStr">
        <is>
          <t>✔</t>
        </is>
      </c>
      <c r="G74" s="22" t="inlineStr">
        <is>
          <t>✔</t>
        </is>
      </c>
      <c r="H74" s="24" t="inlineStr">
        <is>
          <t>Có thể gán</t>
        </is>
      </c>
    </row>
    <row r="75" ht="34" customHeight="1">
      <c r="A75" s="14" t="inlineStr">
        <is>
          <t>community.manage</t>
        </is>
      </c>
      <c r="B75" s="15" t="inlineStr">
        <is>
          <t>Quản lý cộng đồng (Manage communities) - /admin/communities/**, /admin/discovery/**, /admin/system/categories/**</t>
        </is>
      </c>
      <c r="C75" s="22" t="inlineStr">
        <is>
          <t>✔</t>
        </is>
      </c>
      <c r="D75" s="22" t="inlineStr">
        <is>
          <t>✔</t>
        </is>
      </c>
      <c r="E75" s="23" t="inlineStr">
        <is>
          <t>✖</t>
        </is>
      </c>
      <c r="F75" s="23" t="inlineStr">
        <is>
          <t>✖</t>
        </is>
      </c>
      <c r="G75" s="23" t="inlineStr">
        <is>
          <t>✖</t>
        </is>
      </c>
      <c r="H75" s="24" t="inlineStr">
        <is>
          <t>Có thể gán</t>
        </is>
      </c>
    </row>
    <row r="76" ht="20" customHeight="1">
      <c r="A76" s="14" t="inlineStr">
        <is>
          <t>content.manage</t>
        </is>
      </c>
      <c r="B76" s="15" t="inlineStr">
        <is>
          <t>Quản lý nội dung (Manage content) - /admin/content/**</t>
        </is>
      </c>
      <c r="C76" s="22" t="inlineStr">
        <is>
          <t>✔</t>
        </is>
      </c>
      <c r="D76" s="22" t="inlineStr">
        <is>
          <t>✔</t>
        </is>
      </c>
      <c r="E76" s="23" t="inlineStr">
        <is>
          <t>✖</t>
        </is>
      </c>
      <c r="F76" s="23" t="inlineStr">
        <is>
          <t>✖</t>
        </is>
      </c>
      <c r="G76" s="22" t="inlineStr">
        <is>
          <t>✔</t>
        </is>
      </c>
      <c r="H76" s="24" t="inlineStr">
        <is>
          <t>Có thể gán</t>
        </is>
      </c>
    </row>
    <row r="77" ht="34" customHeight="1">
      <c r="A77" s="14" t="inlineStr">
        <is>
          <t>report.resolve</t>
        </is>
      </c>
      <c r="B77" s="15" t="inlineStr">
        <is>
          <t>Xử lý báo cáo (Resolve reports) - /admin/moderation/**, /admin/reports*</t>
        </is>
      </c>
      <c r="C77" s="22" t="inlineStr">
        <is>
          <t>✔</t>
        </is>
      </c>
      <c r="D77" s="22" t="inlineStr">
        <is>
          <t>✔</t>
        </is>
      </c>
      <c r="E77" s="22" t="inlineStr">
        <is>
          <t>✔</t>
        </is>
      </c>
      <c r="F77" s="23" t="inlineStr">
        <is>
          <t>✖</t>
        </is>
      </c>
      <c r="G77" s="23" t="inlineStr">
        <is>
          <t>✖</t>
        </is>
      </c>
      <c r="H77" s="24" t="inlineStr">
        <is>
          <t>Có thể gán</t>
        </is>
      </c>
    </row>
    <row r="78" ht="20" customHeight="1">
      <c r="A78" s="14" t="inlineStr">
        <is>
          <t>user.ban</t>
        </is>
      </c>
      <c r="B78" s="15" t="inlineStr">
        <is>
          <t>Cấm người dùng (Ban users) - POST/DELETE /admin/users/**</t>
        </is>
      </c>
      <c r="C78" s="22" t="inlineStr">
        <is>
          <t>✔</t>
        </is>
      </c>
      <c r="D78" s="22" t="inlineStr">
        <is>
          <t>✔</t>
        </is>
      </c>
      <c r="E78" s="23" t="inlineStr">
        <is>
          <t>✖</t>
        </is>
      </c>
      <c r="F78" s="23" t="inlineStr">
        <is>
          <t>✖</t>
        </is>
      </c>
      <c r="G78" s="23" t="inlineStr">
        <is>
          <t>✖</t>
        </is>
      </c>
      <c r="H78" s="24" t="inlineStr">
        <is>
          <t>Có thể gán</t>
        </is>
      </c>
    </row>
    <row r="79" ht="20" customHeight="1">
      <c r="A79" s="14" t="inlineStr">
        <is>
          <t>users.view</t>
        </is>
      </c>
      <c r="B79" s="15" t="inlineStr">
        <is>
          <t>Xem người dùng (View users) - GET /admin/users/**</t>
        </is>
      </c>
      <c r="C79" s="22" t="inlineStr">
        <is>
          <t>✔</t>
        </is>
      </c>
      <c r="D79" s="22" t="inlineStr">
        <is>
          <t>✔</t>
        </is>
      </c>
      <c r="E79" s="22" t="inlineStr">
        <is>
          <t>✔</t>
        </is>
      </c>
      <c r="F79" s="23" t="inlineStr">
        <is>
          <t>✖</t>
        </is>
      </c>
      <c r="G79" s="22" t="inlineStr">
        <is>
          <t>✔</t>
        </is>
      </c>
      <c r="H79" s="24" t="inlineStr">
        <is>
          <t>Có thể gán</t>
        </is>
      </c>
    </row>
    <row r="80" ht="34" customHeight="1">
      <c r="A80" s="14" t="inlineStr">
        <is>
          <t>payment.view</t>
        </is>
      </c>
      <c r="B80" s="15" t="inlineStr">
        <is>
          <t>Xem thanh toán (View payments) - GET /admin/payments/**, GET /admin/refunds|payouts</t>
        </is>
      </c>
      <c r="C80" s="22" t="inlineStr">
        <is>
          <t>✔</t>
        </is>
      </c>
      <c r="D80" s="23" t="inlineStr">
        <is>
          <t>✖</t>
        </is>
      </c>
      <c r="E80" s="22" t="inlineStr">
        <is>
          <t>✔</t>
        </is>
      </c>
      <c r="F80" s="22" t="inlineStr">
        <is>
          <t>✔</t>
        </is>
      </c>
      <c r="G80" s="23" t="inlineStr">
        <is>
          <t>✖</t>
        </is>
      </c>
      <c r="H80" s="24" t="inlineStr">
        <is>
          <t>Có thể gán</t>
        </is>
      </c>
    </row>
    <row r="81" ht="34" customHeight="1">
      <c r="A81" s="14" t="inlineStr">
        <is>
          <t>payment.refund</t>
        </is>
      </c>
      <c r="B81" s="15" t="inlineStr">
        <is>
          <t>Hoàn tiền (Issue refunds) - payments/refunds/:id/approve|reject, payments/transactions/:id/refund, PATCH /admin/refunds/:id</t>
        </is>
      </c>
      <c r="C81" s="22" t="inlineStr">
        <is>
          <t>✔</t>
        </is>
      </c>
      <c r="D81" s="23" t="inlineStr">
        <is>
          <t>✖</t>
        </is>
      </c>
      <c r="E81" s="22" t="inlineStr">
        <is>
          <t>✔</t>
        </is>
      </c>
      <c r="F81" s="22" t="inlineStr">
        <is>
          <t>✔</t>
        </is>
      </c>
      <c r="G81" s="23" t="inlineStr">
        <is>
          <t>✖</t>
        </is>
      </c>
      <c r="H81" s="24" t="inlineStr">
        <is>
          <t>Có thể gán</t>
        </is>
      </c>
    </row>
    <row r="82" ht="34" customHeight="1">
      <c r="A82" s="14" t="inlineStr">
        <is>
          <t>payment.manage</t>
        </is>
      </c>
      <c r="B82" s="15" t="inlineStr">
        <is>
          <t>Quản lý thanh toán (Manage payments) - POST còn lại của /admin/payments/** (retry, subscriptions, chargebacks)</t>
        </is>
      </c>
      <c r="C82" s="22" t="inlineStr">
        <is>
          <t>✔</t>
        </is>
      </c>
      <c r="D82" s="23" t="inlineStr">
        <is>
          <t>✖</t>
        </is>
      </c>
      <c r="E82" s="23" t="inlineStr">
        <is>
          <t>✖</t>
        </is>
      </c>
      <c r="F82" s="22" t="inlineStr">
        <is>
          <t>✔</t>
        </is>
      </c>
      <c r="G82" s="23" t="inlineStr">
        <is>
          <t>✖</t>
        </is>
      </c>
      <c r="H82" s="24" t="inlineStr">
        <is>
          <t>Có thể gán</t>
        </is>
      </c>
    </row>
    <row r="83" ht="34" customHeight="1">
      <c r="A83" s="14" t="inlineStr">
        <is>
          <t>payout.approve</t>
        </is>
      </c>
      <c r="B83" s="15" t="inlineStr">
        <is>
          <t>Duyệt chi trả (Approve payouts) - POST /admin/payments/payouts/**, PATCH /admin/payouts/:id</t>
        </is>
      </c>
      <c r="C83" s="22" t="inlineStr">
        <is>
          <t>✔</t>
        </is>
      </c>
      <c r="D83" s="23" t="inlineStr">
        <is>
          <t>✖</t>
        </is>
      </c>
      <c r="E83" s="23" t="inlineStr">
        <is>
          <t>✖</t>
        </is>
      </c>
      <c r="F83" s="22" t="inlineStr">
        <is>
          <t>✔</t>
        </is>
      </c>
      <c r="G83" s="23" t="inlineStr">
        <is>
          <t>✖</t>
        </is>
      </c>
      <c r="H83" s="24" t="inlineStr">
        <is>
          <t>Có thể gán</t>
        </is>
      </c>
    </row>
    <row r="84" ht="20" customHeight="1">
      <c r="A84" s="14" t="inlineStr">
        <is>
          <t>analytics.view</t>
        </is>
      </c>
      <c r="B84" s="15" t="inlineStr">
        <is>
          <t>Xem phân tích (View analytics) - /admin/analytics/**</t>
        </is>
      </c>
      <c r="C84" s="22" t="inlineStr">
        <is>
          <t>✔</t>
        </is>
      </c>
      <c r="D84" s="22" t="inlineStr">
        <is>
          <t>✔</t>
        </is>
      </c>
      <c r="E84" s="23" t="inlineStr">
        <is>
          <t>✖</t>
        </is>
      </c>
      <c r="F84" s="22" t="inlineStr">
        <is>
          <t>✔</t>
        </is>
      </c>
      <c r="G84" s="23" t="inlineStr">
        <is>
          <t>✖</t>
        </is>
      </c>
      <c r="H84" s="24" t="inlineStr">
        <is>
          <t>Có thể gán</t>
        </is>
      </c>
    </row>
    <row r="85" ht="34" customHeight="1">
      <c r="A85" s="14" t="inlineStr">
        <is>
          <t>support.manage</t>
        </is>
      </c>
      <c r="B85" s="15" t="inlineStr">
        <is>
          <t>Xử lý ticket hỗ trợ (Handle support tickets) - /admin/support/**</t>
        </is>
      </c>
      <c r="C85" s="22" t="inlineStr">
        <is>
          <t>✔</t>
        </is>
      </c>
      <c r="D85" s="23" t="inlineStr">
        <is>
          <t>✖</t>
        </is>
      </c>
      <c r="E85" s="22" t="inlineStr">
        <is>
          <t>✔</t>
        </is>
      </c>
      <c r="F85" s="23" t="inlineStr">
        <is>
          <t>✖</t>
        </is>
      </c>
      <c r="G85" s="23" t="inlineStr">
        <is>
          <t>✖</t>
        </is>
      </c>
      <c r="H85" s="24" t="inlineStr">
        <is>
          <t>Có thể gán</t>
        </is>
      </c>
    </row>
    <row r="86" ht="20" customHeight="1">
      <c r="A86" s="14" t="inlineStr">
        <is>
          <t>audit.view</t>
        </is>
      </c>
      <c r="B86" s="15" t="inlineStr">
        <is>
          <t>Xem nhật ký hoạt động (View audit logs) - /admin/audit-logs*</t>
        </is>
      </c>
      <c r="C86" s="22" t="inlineStr">
        <is>
          <t>✔</t>
        </is>
      </c>
      <c r="D86" s="23" t="inlineStr">
        <is>
          <t>✖</t>
        </is>
      </c>
      <c r="E86" s="23" t="inlineStr">
        <is>
          <t>✖</t>
        </is>
      </c>
      <c r="F86" s="23" t="inlineStr">
        <is>
          <t>✖</t>
        </is>
      </c>
      <c r="G86" s="23" t="inlineStr">
        <is>
          <t>✖</t>
        </is>
      </c>
      <c r="H86" s="24" t="inlineStr">
        <is>
          <t>Có thể gán</t>
        </is>
      </c>
    </row>
    <row r="87" ht="34" customHeight="1">
      <c r="A87" s="14" t="inlineStr">
        <is>
          <t>system.flags</t>
        </is>
      </c>
      <c r="B87" s="15" t="inlineStr">
        <is>
          <t>Sửa tính năng thử nghiệm (Edit feature flags) - /admin/system/flags/**</t>
        </is>
      </c>
      <c r="C87" s="22" t="inlineStr">
        <is>
          <t>✔</t>
        </is>
      </c>
      <c r="D87" s="23" t="inlineStr">
        <is>
          <t>✖</t>
        </is>
      </c>
      <c r="E87" s="23" t="inlineStr">
        <is>
          <t>✖</t>
        </is>
      </c>
      <c r="F87" s="23" t="inlineStr">
        <is>
          <t>✖</t>
        </is>
      </c>
      <c r="G87" s="23" t="inlineStr">
        <is>
          <t>✖</t>
        </is>
      </c>
      <c r="H87" s="24" t="inlineStr">
        <is>
          <t>Có thể gán</t>
        </is>
      </c>
    </row>
    <row r="88" ht="34" customHeight="1">
      <c r="A88" s="14" t="inlineStr">
        <is>
          <t>system.settings</t>
        </is>
      </c>
      <c r="B88" s="15" t="inlineStr">
        <is>
          <t>Cài đặt hệ thống (System settings) - /admin/system/{settings,integrations,notifications,email-templates}/**</t>
        </is>
      </c>
      <c r="C88" s="22" t="inlineStr">
        <is>
          <t>✔</t>
        </is>
      </c>
      <c r="D88" s="23" t="inlineStr">
        <is>
          <t>✖</t>
        </is>
      </c>
      <c r="E88" s="23" t="inlineStr">
        <is>
          <t>✖</t>
        </is>
      </c>
      <c r="F88" s="23" t="inlineStr">
        <is>
          <t>✖</t>
        </is>
      </c>
      <c r="G88" s="23" t="inlineStr">
        <is>
          <t>✖</t>
        </is>
      </c>
      <c r="H88" s="24" t="inlineStr">
        <is>
          <t>Có thể gán</t>
        </is>
      </c>
    </row>
    <row r="89" ht="34" customHeight="1">
      <c r="A89" s="14" t="inlineStr">
        <is>
          <t>admin.manage</t>
        </is>
      </c>
      <c r="B89" s="15" t="inlineStr">
        <is>
          <t>Quản lý quản trị viên (Manage admins) - /admin/system/{admins,roles}/** - CHỈ Super Admin (không gán được cho vai trò khác)</t>
        </is>
      </c>
      <c r="C89" s="22" t="inlineStr">
        <is>
          <t>✔</t>
        </is>
      </c>
      <c r="D89" s="23" t="inlineStr">
        <is>
          <t>✖</t>
        </is>
      </c>
      <c r="E89" s="23" t="inlineStr">
        <is>
          <t>✖</t>
        </is>
      </c>
      <c r="F89" s="23" t="inlineStr">
        <is>
          <t>✖</t>
        </is>
      </c>
      <c r="G89" s="23" t="inlineStr">
        <is>
          <t>✖</t>
        </is>
      </c>
      <c r="H89" s="24" t="inlineStr">
        <is>
          <t>KHÔNG (chỉ Super Admin)</t>
        </is>
      </c>
    </row>
    <row r="90">
      <c r="A90" s="25" t="inlineStr">
        <is>
          <t>Tổng số khóa</t>
        </is>
      </c>
      <c r="B90" s="25" t="inlineStr">
        <is>
          <t>Số quyền mỗi vai trò</t>
        </is>
      </c>
      <c r="C90" s="26" t="inlineStr">
        <is>
          <t>16</t>
        </is>
      </c>
      <c r="D90" s="26" t="inlineStr">
        <is>
          <t>7</t>
        </is>
      </c>
      <c r="E90" s="26" t="inlineStr">
        <is>
          <t>6</t>
        </is>
      </c>
      <c r="F90" s="26" t="inlineStr">
        <is>
          <t>6</t>
        </is>
      </c>
      <c r="G90" s="26" t="inlineStr">
        <is>
          <t>3</t>
        </is>
      </c>
      <c r="H90" s="26" t="inlineStr"/>
    </row>
    <row r="92">
      <c r="A92" s="4" t="inlineStr">
        <is>
          <t>B4. Sidebar /admin hiển thị theo vai trò (nhóm ẩn hoàn toàn khi không có mục con truy cập được; trang không đủ quyền hiện 'Không đủ quyền')</t>
        </is>
      </c>
    </row>
    <row r="93">
      <c r="A93" s="13" t="inlineStr">
        <is>
          <t>Vai trò</t>
        </is>
      </c>
      <c r="B93" s="13" t="inlineStr">
        <is>
          <t>Nhóm hiển thị</t>
        </is>
      </c>
      <c r="C93" s="13" t="inlineStr">
        <is>
          <t>Nhóm ẩn</t>
        </is>
      </c>
    </row>
    <row r="94" ht="75" customHeight="1">
      <c r="A94" s="15" t="inlineStr">
        <is>
          <t>Super Admin</t>
        </is>
      </c>
      <c r="B94"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94" s="15" t="inlineStr">
        <is>
          <t>(không)</t>
        </is>
      </c>
    </row>
    <row r="95" ht="30" customHeight="1">
      <c r="A95" s="15" t="inlineStr">
        <is>
          <t>Moderator</t>
        </is>
      </c>
      <c r="B95" s="15" t="inlineStr">
        <is>
          <t>Tổng quan; Cộng đồng; Người dùng; Nội dung; Kiểm duyệt; Khám phá; Phân tích; Hệ thống (Danh mục)</t>
        </is>
      </c>
      <c r="C95" s="15" t="inlineStr">
        <is>
          <t>Thanh toán, Hỗ trợ</t>
        </is>
      </c>
    </row>
    <row r="96" ht="18" customHeight="1">
      <c r="A96" s="15" t="inlineStr">
        <is>
          <t>Support</t>
        </is>
      </c>
      <c r="B96" s="15" t="inlineStr">
        <is>
          <t>Tổng quan; Người dùng; Kiểm duyệt; Thanh toán; Hỗ trợ</t>
        </is>
      </c>
      <c r="C96" s="15" t="inlineStr">
        <is>
          <t>Cộng đồng, Nội dung, Khám phá, Phân tích, Hệ thống</t>
        </is>
      </c>
    </row>
    <row r="97" ht="30" customHeight="1">
      <c r="A97" s="15" t="inlineStr">
        <is>
          <t>Finance</t>
        </is>
      </c>
      <c r="B97" s="15" t="inlineStr">
        <is>
          <t>Tổng quan; Thanh toán; Phân tích</t>
        </is>
      </c>
      <c r="C97" s="15" t="inlineStr">
        <is>
          <t>Cộng đồng, Người dùng, Nội dung, Kiểm duyệt, Khám phá, Hỗ trợ, Hệ thống</t>
        </is>
      </c>
    </row>
    <row r="98" ht="30" customHeight="1">
      <c r="A98" s="15" t="inlineStr">
        <is>
          <t>Content Reviewer</t>
        </is>
      </c>
      <c r="B98" s="15" t="inlineStr">
        <is>
          <t>Tổng quan; Người dùng; Nội dung</t>
        </is>
      </c>
      <c r="C98" s="15" t="inlineStr">
        <is>
          <t>Cộng đồng, Kiểm duyệt, Thanh toán, Khám phá, Phân tích, Hỗ trợ, Hệ thống</t>
        </is>
      </c>
    </row>
    <row r="100">
      <c r="A100" s="4" t="inlineStr">
        <is>
          <t>C. Trạng thái tài khoản (trục riêng, áp lên mọi vai trò) và trạng thái nhân viên</t>
        </is>
      </c>
    </row>
    <row r="101">
      <c r="A101" s="13" t="inlineStr">
        <is>
          <t>Trạng thái</t>
        </is>
      </c>
      <c r="B101" s="13" t="inlineStr">
        <is>
          <t>Ảnh hưởng</t>
        </is>
      </c>
      <c r="C101" s="13" t="inlineStr">
        <is>
          <t>Đăng nhập?</t>
        </is>
      </c>
      <c r="D101" s="13" t="inlineStr">
        <is>
          <t>Tài khoản seed</t>
        </is>
      </c>
      <c r="E101" s="13" t="inlineStr">
        <is>
          <t>Hình dung</t>
        </is>
      </c>
    </row>
    <row r="102" ht="18" customHeight="1">
      <c r="A102" s="15" t="inlineStr">
        <is>
          <t>Bình thường (active)</t>
        </is>
      </c>
      <c r="B102" s="15" t="inlineStr">
        <is>
          <t>Dùng đầy đủ theo vai trò của mình.</t>
        </is>
      </c>
      <c r="C102" s="15" t="inlineStr">
        <is>
          <t>Đăng nhập được</t>
        </is>
      </c>
      <c r="D102" s="15" t="inlineStr">
        <is>
          <t>member1, owner, sarah...</t>
        </is>
      </c>
      <c r="E102" s="15" t="inlineStr">
        <is>
          <t>-</t>
        </is>
      </c>
    </row>
    <row r="103" ht="45" customHeight="1">
      <c r="A103" s="15" t="inlineStr">
        <is>
          <t>Hạn chế (restricted)</t>
        </is>
      </c>
      <c r="B103" s="15" t="inlineStr">
        <is>
          <t>Vẫn ĐỌC được nhưng bị chặn một số việc: đăng bài, bình luận, nhắn tin, tạo cộng đồng, checkout (403 ACCOUNT_RESTRICTED). Có thể có hạn (statusUntil), hết hạn tự gỡ.</t>
        </is>
      </c>
      <c r="C103" s="15" t="inlineStr">
        <is>
          <t>Đăng nhập được</t>
        </is>
      </c>
      <c r="D103" s="15" t="inlineStr">
        <is>
          <t>maya (chặn đăng bài + bình luận, còn 7 ngày), ethan (chặn nhắn tin + tạo cộng đồng, còn 3 ngày)</t>
        </is>
      </c>
      <c r="E103" s="15" t="inlineStr">
        <is>
          <t>Giống phạt cấm nói</t>
        </is>
      </c>
    </row>
    <row r="104" ht="45" customHeight="1">
      <c r="A104" s="15" t="inlineStr">
        <is>
          <t>Tạm ngưng (suspended)</t>
        </is>
      </c>
      <c r="B104" s="15" t="inlineStr">
        <is>
          <t>Không đăng nhập được (403 ACCOUNT_SUSPENDED); mọi phiên đăng nhập bị thu hồi ngay. Có thể có hạn hoặc vô thời hạn.</t>
        </is>
      </c>
      <c r="C104" s="15" t="inlineStr">
        <is>
          <t>KHÔNG</t>
        </is>
      </c>
      <c r="D104" s="15" t="inlineStr">
        <is>
          <t>olivia (14 ngày), lucas (vô thời hạn)</t>
        </is>
      </c>
      <c r="E104" s="15" t="inlineStr">
        <is>
          <t>Giống đình chỉ học</t>
        </is>
      </c>
    </row>
    <row r="105" ht="30" customHeight="1">
      <c r="A105" s="15" t="inlineStr">
        <is>
          <t>Cấm (banned)</t>
        </is>
      </c>
      <c r="B105" s="15" t="inlineStr">
        <is>
          <t>Không đăng nhập được vĩnh viễn (403 ACCOUNT_BANNED), phiên bị thu hồi.</t>
        </is>
      </c>
      <c r="C105" s="15" t="inlineStr">
        <is>
          <t>KHÔNG</t>
        </is>
      </c>
      <c r="D105" s="15" t="inlineStr">
        <is>
          <t>sophia</t>
        </is>
      </c>
      <c r="E105" s="15" t="inlineStr">
        <is>
          <t>Giống đuổi học</t>
        </is>
      </c>
    </row>
    <row r="106" ht="45" customHeight="1">
      <c r="A106" s="15" t="inlineStr">
        <is>
          <t>Bị ban khỏi 1 cộng đồng</t>
        </is>
      </c>
      <c r="B106" s="15" t="inlineStr">
        <is>
          <t>Chỉ mất tư cách thành viên của cộng đồng đó (bản ghi CommunityBan), vẫn đăng nhập và dùng các phần khác bình thường.</t>
        </is>
      </c>
      <c r="C106" s="15" t="inlineStr">
        <is>
          <t>Đăng nhập được</t>
        </is>
      </c>
      <c r="D106" s="15" t="inlineStr">
        <is>
          <t>banned@sofinhub.test (bị ban khỏi photo)</t>
        </is>
      </c>
      <c r="E106" s="15" t="inlineStr">
        <is>
          <t>Khác hoàn toàn với 'Cấm' ở trên</t>
        </is>
      </c>
    </row>
    <row r="107" ht="75" customHeight="1">
      <c r="A107" s="15" t="inlineStr">
        <is>
          <t>Nhân viên admin bị tạm khóa (AdminAccount suspended)</t>
        </is>
      </c>
      <c r="B107"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07" s="15" t="inlineStr">
        <is>
          <t>Đăng nhập thường được; /admin bị chặn</t>
        </is>
      </c>
      <c r="D107" s="15" t="inlineStr">
        <is>
          <t>nina@ (Moderator)</t>
        </is>
      </c>
      <c r="E107" s="15" t="inlineStr">
        <is>
          <t>Trục khác với 'Tạm ngưng' của người dùng; nhân viên không thể bị ban/suspend qua /admin/users (403).</t>
        </is>
      </c>
    </row>
    <row r="109">
      <c r="A109" s="4" t="inlineStr">
        <is>
          <t>D. Quy tắc cần nhớ khi test phân quyền</t>
        </is>
      </c>
    </row>
    <row r="110">
      <c r="A110" s="13" t="inlineStr">
        <is>
          <t>Quy tắc</t>
        </is>
      </c>
      <c r="B110" s="13" t="inlineStr">
        <is>
          <t>Giải thích</t>
        </is>
      </c>
    </row>
    <row r="111" ht="90" customHeight="1">
      <c r="A111" s="15" t="inlineStr">
        <is>
          <t>Hai tầng quyền độc lập</t>
        </is>
      </c>
      <c r="B111"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12" ht="30" customHeight="1">
      <c r="A112" s="15" t="inlineStr">
        <is>
          <t>Vai trò gắn theo TỪNG cộng đồng</t>
        </is>
      </c>
      <c r="B112" s="15" t="inlineStr">
        <is>
          <t>Một người có thể là owner ở cộng đồng A và member ở cộng đồng B. Test phân quyền phải nêu rõ cộng đồng nào.</t>
        </is>
      </c>
    </row>
    <row r="113" ht="30" customHeight="1">
      <c r="A113" s="15" t="inlineStr">
        <is>
          <t>Quyền cộng dồn theo thứ bậc (cộng đồng)</t>
        </is>
      </c>
      <c r="B113" s="15" t="inlineStr">
        <is>
          <t>member &lt; mod &lt; admin &lt; owner &lt; super admin (env); bậc cao làm được mọi việc của bậc thấp.</t>
        </is>
      </c>
    </row>
    <row r="114" ht="30" customHeight="1">
      <c r="A114" s="15" t="inlineStr">
        <is>
          <t>Chỉ tác động lên người bậc thấp hơn</t>
        </is>
      </c>
      <c r="B114" s="15" t="inlineStr">
        <is>
          <t>Kick/ban/đổi vai trò trong cộng đồng chỉ áp lên người có bậc THẤP HƠN mình và không bao giờ lên Owner.</t>
        </is>
      </c>
    </row>
    <row r="115" ht="60" customHeight="1">
      <c r="A115" s="15" t="inlineStr">
        <is>
          <t>Quyền do server quyết định</t>
        </is>
      </c>
      <c r="B115" s="15" t="inlineStr">
        <is>
          <t>FE chỉ ẩn/hiện menu/trang cho gọn (nhóm/mục sidebar, 'Không đủ quyền'); nút thao tác vẫn hiện nên test bảo mật phải gọi thẳng API bằng token của vai trò thấp để xác nhận 403.</t>
        </is>
      </c>
    </row>
    <row r="116" ht="120" customHeight="1">
      <c r="A116" s="15" t="inlineStr">
        <is>
          <t>Guard TẬP TRUNG cho /api/admin/*</t>
        </is>
      </c>
      <c r="B116"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17" ht="45" customHeight="1">
      <c r="A117" s="15" t="inlineStr">
        <is>
          <t>Quyền đọc từ DB mỗi request</t>
        </is>
      </c>
      <c r="B117" s="15" t="inlineStr">
        <is>
          <t>Đổi ô ma trận / đổi vai trò / tạm khóa / gỡ nhân viên có hiệu lực ngay ở request kế tiếp (không cần đăng nhập lại, không cache theo token).</t>
        </is>
      </c>
    </row>
    <row r="118" ht="60" customHeight="1">
      <c r="A118" s="15" t="inlineStr">
        <is>
          <t>Super Admin nguồn env</t>
        </is>
      </c>
      <c r="B118" s="15" t="inlineStr">
        <is>
          <t>Email trong PLATFORM_ADMIN_EMAILS: không lưu trong DB, không sửa/tạm ngưng/gỡ được (409); chính mình cũng không tự sửa được (409). owner/cadmin KHÔNG vào được /admin dù là chủ cộng đồng.</t>
        </is>
      </c>
    </row>
    <row r="119" ht="45" customHeight="1">
      <c r="A119" s="15" t="inlineStr">
        <is>
          <t>admin.manage không gán được</t>
        </is>
      </c>
      <c r="B119" s="15" t="inlineStr">
        <is>
          <t>Khóa 'Quản lý quản trị viên' chỉ thuộc Super Admin; gán cho vai trò khác (tạo/sửa vai trò, bật ô ma trận) bị 400. Giao diện chặn trước ở ô ma trận.</t>
        </is>
      </c>
    </row>
    <row r="120" ht="45" customHeight="1">
      <c r="A120" s="15" t="inlineStr">
        <is>
          <t>Nhân viên được bảo vệ khỏi /admin/users</t>
        </is>
      </c>
      <c r="B120" s="15" t="inlineStr">
        <is>
          <t>Không ai (kể cả Super Admin) ban/suspend/restrict/reinstate/warn một NHÂN VIÊN qua /admin/users/* (403); phải quản lý ở Tài khoản quản trị.</t>
        </is>
      </c>
    </row>
    <row r="121" ht="45" customHeight="1">
      <c r="A121" s="15" t="inlineStr">
        <is>
          <t>Route cũ đi qua cùng guard</t>
        </is>
      </c>
      <c r="B121" s="15" t="inlineStr">
        <is>
          <t>/admin/refunds (xem=payment.view, PATCH=payment.refund) và /admin/payouts (xem=payment.view, PATCH=payout.approve) không còn là 'chỉ Platform Admin'.</t>
        </is>
      </c>
    </row>
    <row r="122" ht="45" customHeight="1">
      <c r="A122" s="15" t="inlineStr">
        <is>
          <t>Trạng thái tài khoản là trục riêng</t>
        </is>
      </c>
      <c r="B122" s="15" t="inlineStr">
        <is>
          <t>Áp lên người dùng bất kể vai trò (Owner bị tạm ngưng vẫn không đăng nhập được); trạng thái nhân viên (active/suspended) là trục thứ ba, chỉ ảnh hưởng /admin.</t>
        </is>
      </c>
    </row>
    <row r="123" ht="90" customHeight="1">
      <c r="A123" s="15" t="inlineStr">
        <is>
          <t>Nội dung bị admin tác động (đợt 2)</t>
        </is>
      </c>
      <c r="B123"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24" ht="30" customHeight="1">
      <c r="A124" s="15" t="inlineStr">
        <is>
          <t>Mod/admin cộng đồng không đảo ngược được thao tác của nhân viên admin</t>
        </is>
      </c>
      <c r="B124" s="15" t="inlineStr">
        <is>
          <t>Mod cộng đồng không khôi phục được nội dung do nhân viên admin gỡ; chỉ khôi phục ở /admin/content/*.</t>
        </is>
      </c>
    </row>
    <row r="126">
      <c r="A126" s="4" t="inlineStr">
        <is>
          <t>E. Chưa có / lưu ý (không test như tính năng đã hoàn thiện)</t>
        </is>
      </c>
    </row>
    <row r="127">
      <c r="A127" s="13" t="inlineStr">
        <is>
          <t>Hạng mục</t>
        </is>
      </c>
      <c r="B127" s="13" t="inlineStr">
        <is>
          <t>Ghi chú</t>
        </is>
      </c>
    </row>
    <row r="128" ht="45" customHeight="1">
      <c r="A128" s="15" t="inlineStr">
        <is>
          <t>2FA thật cho nhân viên admin</t>
        </is>
      </c>
      <c r="B128" s="15" t="inlineStr">
        <is>
          <t>Chỉ có cờ twoFactorEnabled (lưu + email khi 'Đặt lại 2FA'); security.require2fa chỉ lưu cấu hình, không bắt buộc (case Kế hoạch ở ADM3).</t>
        </is>
      </c>
    </row>
    <row r="129" ht="45" customHeight="1">
      <c r="A129" s="15" t="inlineStr">
        <is>
          <t>Quyền ở mức NÚT bấm</t>
        </is>
      </c>
      <c r="B129" s="15" t="inlineStr">
        <is>
          <t>FE chỉ ẩn nhóm/mục menu và chặn trang; Support vẫn thấy nút 'Cảnh cáo/Tạm ngưng', Support/Finance thấy nút chi trả - bấm bị BE trả 403 + toast lỗi.</t>
        </is>
      </c>
    </row>
    <row r="130" ht="30" customHeight="1">
      <c r="A130" s="15" t="inlineStr">
        <is>
          <t>Thu hồi phiên đăng nhập khi tạm khóa/gỡ nhân viên</t>
        </is>
      </c>
      <c r="B130" s="15" t="inlineStr">
        <is>
          <t>Chỉ chặn /admin ở mỗi request; phiên thường vẫn còn (xem case Kế hoạch ADM3).</t>
        </is>
      </c>
    </row>
    <row r="131" ht="60" customHeight="1">
      <c r="A131" s="15" t="inlineStr">
        <is>
          <t>Tách quyền 'xem' và 'ghi' ở mọi nhóm</t>
        </is>
      </c>
      <c r="B131" s="15" t="inlineStr">
        <is>
          <t>Chỉ Người dùng (users.view/user.ban) và Thanh toán (payment.view/refund/manage/payout.approve) được tách; Cộng đồng, Nội dung, Kiểm duyệt, Hỗ trợ dùng 1 khóa cho cả xem và ghi.</t>
        </is>
      </c>
    </row>
    <row r="132" ht="30" customHeight="1">
      <c r="A132" s="15" t="inlineStr">
        <is>
          <t>Ticket người dùng ở giao diện</t>
        </is>
      </c>
      <c r="B132" s="15" t="inlineStr">
        <is>
          <t>API /api/support/tickets đã có nhưng frontend người dùng chưa có màn 'Ticket của tôi'.</t>
        </is>
      </c>
    </row>
  </sheetData>
  <mergeCells count="1">
    <mergeCell ref="A1:H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110"/>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2757 (+2476). Chuyển 145 testcase cũ từ 'Kế hoạch' sang 'Đã hoàn thiện' (những mục còn 'Kế hoạch': 30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4">
      <c r="A14" s="4" t="inlineStr">
        <is>
          <t>A2. 2026-10-01 - Admin console đợt 1 (Tổng quan · Cộng đồng · Người dùng · Kiểm duyệt · Nhật ký hoạt động)</t>
        </is>
      </c>
    </row>
    <row r="15">
      <c r="A15" s="13" t="inlineStr">
        <is>
          <t>Ngày</t>
        </is>
      </c>
      <c r="B15" s="13" t="inlineStr">
        <is>
          <t>Hạng mục</t>
        </is>
      </c>
      <c r="C15" s="13" t="inlineStr">
        <is>
          <t>Nội dung đã làm</t>
        </is>
      </c>
      <c r="D15" s="13" t="inlineStr">
        <is>
          <t>Tài liệu / nguồn</t>
        </is>
      </c>
      <c r="E15" s="13" t="inlineStr">
        <is>
          <t>Ảnh hưởng tới test case</t>
        </is>
      </c>
    </row>
    <row r="16" ht="240" customHeight="1">
      <c r="A16" s="15" t="inlineStr">
        <is>
          <t>2026-10-01</t>
        </is>
      </c>
      <c r="B16" s="15" t="inlineStr">
        <is>
          <t>Backend /api/admin/* (đợt 1)</t>
        </is>
      </c>
      <c r="C1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6" s="15" t="inlineStr">
        <is>
          <t>backend/docs/api/admin.md, backend/src/modules/admin/*, backend/tests/admin.test.ts</t>
        </is>
      </c>
      <c r="E16" s="15" t="inlineStr">
        <is>
          <t>Module mới ADM. Case cũ ADMIN/ROLE/SEC về Platform Admin không đổi kỳ vọng; cộng đồng chưa duyệt/tạm ngưng/đã xóa nay ẩn khỏi /courses và tìm kiếm.</t>
        </is>
      </c>
    </row>
    <row r="17" ht="180" customHeight="1">
      <c r="A17" s="15" t="inlineStr">
        <is>
          <t>2026-10-01</t>
        </is>
      </c>
      <c r="B17" s="15" t="inlineStr">
        <is>
          <t>Frontend /admin/* (khung admin mới)</t>
        </is>
      </c>
      <c r="C1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17" s="15" t="inlineStr">
        <is>
          <t>docs/features/admin-batch1.md, frontend/ADMIN_BACKEND_GAPS.md</t>
        </is>
      </c>
      <c r="E17" s="15" t="inlineStr">
        <is>
          <t>UI của case ADM bám nhãn tiếng Việt thật trong frontend/src/features/admin/**; Test 1 (Playwright) chưa có kết quả.</t>
        </is>
      </c>
    </row>
    <row r="18" ht="120" customHeight="1">
      <c r="A18" s="15" t="inlineStr">
        <is>
          <t>2026-10-01</t>
        </is>
      </c>
      <c r="B18" s="15" t="inlineStr">
        <is>
          <t>Seed dữ liệu admin</t>
        </is>
      </c>
      <c r="C1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18" s="15" t="inlineStr">
        <is>
          <t>backend/prisma/seed/admin.ts</t>
        </is>
      </c>
      <c r="E18" s="15" t="inlineStr">
        <is>
          <t>Tiền điều kiện của case ADM dùng đúng id/tên/email này (xem sheet 'Tài khoản &amp; dữ liệu test' mục A2 và C).</t>
        </is>
      </c>
    </row>
    <row r="19" ht="225" customHeight="1">
      <c r="A19" s="15" t="inlineStr">
        <is>
          <t>2026-10-01</t>
        </is>
      </c>
      <c r="B19" s="15" t="inlineStr">
        <is>
          <t>Bộ test QA: thêm module ADM</t>
        </is>
      </c>
      <c r="C19" s="15" t="inlineStr">
        <is>
          <t>Thêm qa/cases_admin.py: 290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19" s="15" t="inlineStr">
        <is>
          <t>qa/cases_admin.py, qa/gen_testcases.py, qa/split_sheets.py, qa/sheets_extra.py, qa/README.md</t>
        </is>
      </c>
      <c r="E19" s="15" t="inlineStr">
        <is>
          <t>Kết quả Test 1/Test 2 đều 'Chưa test'. Case có ghi chú 'thay đổi dữ liệu seed' phải db:reset sau khi chạy. Case cũ không đổi mã/thứ tự; kết quả Pass/Fail cũ được khôi phục nguyên.</t>
        </is>
      </c>
    </row>
    <row r="21">
      <c r="A21" s="4" t="inlineStr">
        <is>
          <t>A3. 2026-10-02 - Admin console đợt 2 (Nội dung · Thanh toán · Khám phá)</t>
        </is>
      </c>
    </row>
    <row r="22">
      <c r="A22" s="13" t="inlineStr">
        <is>
          <t>Ngày</t>
        </is>
      </c>
      <c r="B22" s="13" t="inlineStr">
        <is>
          <t>Hạng mục</t>
        </is>
      </c>
      <c r="C22" s="13" t="inlineStr">
        <is>
          <t>Nội dung đã làm</t>
        </is>
      </c>
      <c r="D22" s="13" t="inlineStr">
        <is>
          <t>Tài liệu / nguồn</t>
        </is>
      </c>
      <c r="E22" s="13" t="inlineStr">
        <is>
          <t>Ảnh hưởng tới test case</t>
        </is>
      </c>
    </row>
    <row r="23" ht="210" customHeight="1">
      <c r="A23" s="15" t="inlineStr">
        <is>
          <t>2026-10-02</t>
        </is>
      </c>
      <c r="B23" s="15" t="inlineStr">
        <is>
          <t>Backend /api/admin/{content,payments,discovery}/*</t>
        </is>
      </c>
      <c r="C2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3" s="15" t="inlineStr">
        <is>
          <t>backend/docs/api/admin-batch2.md, backend/tests/admin-batch2.test.ts</t>
        </is>
      </c>
      <c r="E2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4" ht="135" customHeight="1">
      <c r="A24" s="15" t="inlineStr">
        <is>
          <t>2026-10-02</t>
        </is>
      </c>
      <c r="B24" s="15" t="inlineStr">
        <is>
          <t>Frontend /admin/{content,payments,discovery}/*</t>
        </is>
      </c>
      <c r="C2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4" s="15" t="inlineStr">
        <is>
          <t>docs/features/admin-batch2.md, frontend/ADMIN_BACKEND_GAPS.md</t>
        </is>
      </c>
      <c r="E24" s="15" t="inlineStr">
        <is>
          <t>UI của case ADM2 bám nhãn tiếng Việt thật trong frontend/src/features/admin/pages/{Content,Payments,Discovery}Views.tsx; Test 1 (Playwright) chưa có kết quả.</t>
        </is>
      </c>
    </row>
    <row r="25" ht="120" customHeight="1">
      <c r="A25" s="15" t="inlineStr">
        <is>
          <t>2026-10-02</t>
        </is>
      </c>
      <c r="B25" s="15" t="inlineStr">
        <is>
          <t>Seed dữ liệu admin đợt 2</t>
        </is>
      </c>
      <c r="C2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5" s="15" t="inlineStr">
        <is>
          <t>backend/prisma/seed/admin-batch2.ts</t>
        </is>
      </c>
      <c r="E25" s="15" t="inlineStr">
        <is>
          <t>Tiền điều kiện của case ADM2 dùng đúng mã/tên này (xem sheet 'Tài khoản &amp; dữ liệu test' mục A3, A4 và C). Thao tác admin không bị db:seed hoàn tác -&gt; dùng npm run db:reset.</t>
        </is>
      </c>
    </row>
    <row r="26" ht="195" customHeight="1">
      <c r="A26" s="15" t="inlineStr">
        <is>
          <t>2026-10-02</t>
        </is>
      </c>
      <c r="B26" s="15" t="inlineStr">
        <is>
          <t>Bộ test QA: thêm module ADM2</t>
        </is>
      </c>
      <c r="C26" s="15" t="inlineStr">
        <is>
          <t>Thêm qa/cases_admin2.py: 337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6" s="15" t="inlineStr">
        <is>
          <t>qa/cases_admin2.py, qa/gen_testcases.py, qa/split_sheets.py, qa/sheets_extra.py, qa/README.md</t>
        </is>
      </c>
      <c r="E2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28">
      <c r="A28" s="4" t="inlineStr">
        <is>
          <t>A4. 2026-10-03 - Admin console đợt 3 (Phân tích · Hỗ trợ · Hệ thống + vai trò/quyền nhân viên)</t>
        </is>
      </c>
    </row>
    <row r="29">
      <c r="A29" s="13" t="inlineStr">
        <is>
          <t>Ngày</t>
        </is>
      </c>
      <c r="B29" s="13" t="inlineStr">
        <is>
          <t>Hạng mục</t>
        </is>
      </c>
      <c r="C29" s="13" t="inlineStr">
        <is>
          <t>Nội dung đã làm</t>
        </is>
      </c>
      <c r="D29" s="13" t="inlineStr">
        <is>
          <t>Tài liệu / nguồn</t>
        </is>
      </c>
      <c r="E29" s="13" t="inlineStr">
        <is>
          <t>Ảnh hưởng tới test case</t>
        </is>
      </c>
    </row>
    <row r="30" ht="300" customHeight="1">
      <c r="A30" s="15" t="inlineStr">
        <is>
          <t>2026-10-03</t>
        </is>
      </c>
      <c r="B30" s="15" t="inlineStr">
        <is>
          <t>Backend /api/admin/{analytics,support,system}/* + phân quyền nhân viên</t>
        </is>
      </c>
      <c r="C3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0" s="15" t="inlineStr">
        <is>
          <t>backend/docs/api/admin-batch3.md, backend/docs/API.md, backend/tests/admin-batch3.test.ts (39 test)</t>
        </is>
      </c>
      <c r="E3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1" ht="120" customHeight="1">
      <c r="A31" s="15" t="inlineStr">
        <is>
          <t>2026-10-03</t>
        </is>
      </c>
      <c r="B31" s="15" t="inlineStr">
        <is>
          <t>Frontend khung admin theo quyền + 19 trang đợt 3</t>
        </is>
      </c>
      <c r="C3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1" s="15" t="inlineStr">
        <is>
          <t>docs/features/admin-batch3.md, frontend/ADMIN_BACKEND_GAPS.md (mục Admin đợt 3)</t>
        </is>
      </c>
      <c r="E31" s="15" t="inlineStr">
        <is>
          <t>UI của case ADM3 bám nhãn tiếng Việt thật trong frontend/src/features/admin/pages/{Analytics,Support,SystemAccess,SystemConfig}Views.tsx, EmailTemplatesView.tsx, AuditView.tsx và nav.ts; Test 1 (Playwright) chưa có kết quả.</t>
        </is>
      </c>
    </row>
    <row r="32" ht="105" customHeight="1">
      <c r="A32" s="15" t="inlineStr">
        <is>
          <t>2026-10-03</t>
        </is>
      </c>
      <c r="B32" s="15" t="inlineStr">
        <is>
          <t>Seed dữ liệu admin đợt 3</t>
        </is>
      </c>
      <c r="C3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2" s="15" t="inlineStr">
        <is>
          <t>backend/prisma/seed/admin-batch3.ts</t>
        </is>
      </c>
      <c r="E32" s="15" t="inlineStr">
        <is>
          <t>Tiền điều kiện của case ADM3 dùng đúng mã/tên này (sheet 'Tài khoản &amp; dữ liệu test' mục A5, A6). Mã ticket T-2001.. phụ thuộc số tự tăng nên chỉ cố định trên DB sạch.</t>
        </is>
      </c>
    </row>
    <row r="33" ht="90" customHeight="1">
      <c r="A33" s="15" t="inlineStr">
        <is>
          <t>2026-10-03</t>
        </is>
      </c>
      <c r="B33" s="15" t="inlineStr">
        <is>
          <t>Sheet 'Phân quyền' viết lại</t>
        </is>
      </c>
      <c r="C3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3" s="15" t="inlineStr">
        <is>
          <t>qa/sheets_extra.py (build_roles_sheet), backend/src/modules/admin/admin-staff.permissions.ts</t>
        </is>
      </c>
      <c r="E33" s="15" t="inlineStr">
        <is>
          <t>Đổi quyền ở admin-staff.permissions.ts thì sửa PERMS trong qa/cases_admin3.py (sheet Phân quyền và case ma trận sinh từ bảng này).</t>
        </is>
      </c>
    </row>
    <row r="34" ht="285" customHeight="1">
      <c r="A34" s="15" t="inlineStr">
        <is>
          <t>2026-10-03</t>
        </is>
      </c>
      <c r="B34" s="15" t="inlineStr">
        <is>
          <t>Bộ test QA: thêm module ADM3</t>
        </is>
      </c>
      <c r="C34" s="15" t="inlineStr">
        <is>
          <t>Thêm qa/cases_admin3.py: 418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4" s="15" t="inlineStr">
        <is>
          <t>qa/cases_admin3.py, qa/gen_testcases.py, qa/split_sheets.py, qa/sheets_extra.py, qa/README.md</t>
        </is>
      </c>
      <c r="E3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6">
      <c r="A36" s="4" t="inlineStr">
        <is>
          <t>B. Giá trị TẠM chưa chốt (đang dùng cấu hình mặc định, test theo hành vi thực tế)</t>
        </is>
      </c>
    </row>
    <row r="37">
      <c r="A37" s="13" t="inlineStr">
        <is>
          <t>Hạng mục</t>
        </is>
      </c>
      <c r="B37" s="13" t="inlineStr">
        <is>
          <t>Giá trị tạm hiện tại</t>
        </is>
      </c>
      <c r="C37" s="13" t="inlineStr">
        <is>
          <t>Trạng thái</t>
        </is>
      </c>
      <c r="D37" s="13" t="inlineStr">
        <is>
          <t>Ảnh hưởng tới test</t>
        </is>
      </c>
    </row>
    <row r="38" ht="30" customHeight="1">
      <c r="A38" s="15" t="inlineStr">
        <is>
          <t>Hoa hồng nền tảng</t>
        </is>
      </c>
      <c r="B38" s="15" t="inlineStr">
        <is>
          <t>10% (PLATFORM_COMMISSION_PCT) + phí cổng 2.9% + 30¢ (GATEWAY_FEE_PCT, GATEWAY_FEE_FIXED_CENTS)</t>
        </is>
      </c>
      <c r="C38" s="15" t="inlineStr">
        <is>
          <t>Chờ chốt mô hình doanh thu (PLAN câu hỏi #6)</t>
        </is>
      </c>
      <c r="D38" s="15" t="inlineStr">
        <is>
          <t>PAY: công thức doanh thu ròng/số dư owner</t>
        </is>
      </c>
    </row>
    <row r="39" ht="30" customHeight="1">
      <c r="A39" s="15" t="inlineStr">
        <is>
          <t>Chính sách hoàn tiền</t>
        </is>
      </c>
      <c r="B39" s="15" t="inlineStr">
        <is>
          <t>Hoàn 100% trong 7 ngày đầu (REFUND_WINDOW_DAYS=7), ngoài cửa sổ Platform Admin duyệt</t>
        </is>
      </c>
      <c r="C39" s="15" t="inlineStr">
        <is>
          <t>Chờ chốt (#8)</t>
        </is>
      </c>
      <c r="D39" s="15" t="inlineStr">
        <is>
          <t>PAY: hoàn tiền tự duyệt vs cần duyệt</t>
        </is>
      </c>
    </row>
    <row r="40" ht="30" customHeight="1">
      <c r="A40" s="15" t="inlineStr">
        <is>
          <t>Rút tiền tối thiểu</t>
        </is>
      </c>
      <c r="B40" s="15" t="inlineStr">
        <is>
          <t>$50 (PAYOUT_MIN_USD), duyệt thủ công bởi Platform Admin</t>
        </is>
      </c>
      <c r="C40" s="15" t="inlineStr">
        <is>
          <t>Chờ chốt (#9)</t>
        </is>
      </c>
      <c r="D40" s="15" t="inlineStr">
        <is>
          <t>PAY: rút tiền dưới ngưỡng bị từ chối</t>
        </is>
      </c>
    </row>
    <row r="41" ht="45" customHeight="1">
      <c r="A41" s="15" t="inlineStr">
        <is>
          <t>Cổng thanh toán</t>
        </is>
      </c>
      <c r="B41" s="15" t="inlineStr">
        <is>
          <t>Chưa chọn (Stripe vs PayOS/VNPay/MoMo) - đang dùng MockGateway (payments.gateway.ts; luôn thành công trừ user trong failFor)</t>
        </is>
      </c>
      <c r="C41" s="15" t="inlineStr">
        <is>
          <t>Chờ chốt (#2)</t>
        </is>
      </c>
      <c r="D41" s="15" t="inlineStr">
        <is>
          <t>PAY/INTEG: case cổng thật (thẻ hết hạn, không đủ số dư, tự thử lại, đối soát) giữ 'Kế hoạch'</t>
        </is>
      </c>
    </row>
    <row r="42" ht="30" customHeight="1">
      <c r="A42" s="15" t="inlineStr">
        <is>
          <t>Kick/ban thành viên trả phí</t>
        </is>
      </c>
      <c r="B42" s="15" t="inlineStr">
        <is>
          <t>Chưa quyết định có hoàn tiền hay không</t>
        </is>
      </c>
      <c r="C42" s="15" t="inlineStr">
        <is>
          <t>Chưa chốt</t>
        </is>
      </c>
      <c r="D42" s="15" t="inlineStr">
        <is>
          <t>COMM/PAY: ghi 'theo hành vi thực tế hiện tại' trong kết quả mong đợi</t>
        </is>
      </c>
    </row>
    <row r="43" ht="30" customHeight="1">
      <c r="A43" s="15" t="inlineStr">
        <is>
          <t>Owner đổi giá khi có gói đang thuê</t>
        </is>
      </c>
      <c r="B43" s="15" t="inlineStr">
        <is>
          <t>Chưa quyết định ảnh hưởng gói hiện tại</t>
        </is>
      </c>
      <c r="C43" s="15" t="inlineStr">
        <is>
          <t>Chưa chốt</t>
        </is>
      </c>
      <c r="D43" s="15" t="inlineStr">
        <is>
          <t>COMM/PAY: case 'đổi giá' giữ 'Kế hoạch' hoặc ghi rõ chưa chốt</t>
        </is>
      </c>
    </row>
    <row r="44" ht="30" customHeight="1">
      <c r="A44" s="15" t="inlineStr">
        <is>
          <t>Xác thực SSE (thông báo/tin nhắn)</t>
        </is>
      </c>
      <c r="B44" s="15" t="inlineStr">
        <is>
          <t>Vé ngắn hạn vs cookie; còn hỗ trợ ?access_token= hay bỏ</t>
        </is>
      </c>
      <c r="C44" s="15" t="inlineStr">
        <is>
          <t>Chưa chốt</t>
        </is>
      </c>
      <c r="D44" s="15" t="inlineStr">
        <is>
          <t>NOTI/SEC: case SSE ghi rõ cơ chế đang dùng</t>
        </is>
      </c>
    </row>
    <row r="45" ht="30" customHeight="1">
      <c r="A45" s="15" t="inlineStr">
        <is>
          <t>/files cho tệp đính kèm tin nhắn</t>
        </is>
      </c>
      <c r="B45" s="15" t="inlineStr">
        <is>
          <t>Hiện /files/:key công khai (bảo mật bằng khóa ngẫu nhiên); chưa chốt có bắt đăng nhập</t>
        </is>
      </c>
      <c r="C45" s="15" t="inlineStr">
        <is>
          <t>Chưa chốt</t>
        </is>
      </c>
      <c r="D45" s="15" t="inlineStr">
        <is>
          <t>UPLOAD: case truy cập file</t>
        </is>
      </c>
    </row>
    <row r="46" ht="18" customHeight="1">
      <c r="A46" s="15" t="inlineStr">
        <is>
          <t>Chứng nhận khi mod thêm bài sau khi đã cấp</t>
        </is>
      </c>
      <c r="B46" s="15" t="inlineStr">
        <is>
          <t>Chưa quyết định xử lý</t>
        </is>
      </c>
      <c r="C46" s="15" t="inlineStr">
        <is>
          <t>Chưa chốt</t>
        </is>
      </c>
      <c r="D46" s="15" t="inlineStr">
        <is>
          <t>CERT</t>
        </is>
      </c>
    </row>
    <row r="47" ht="45" customHeight="1">
      <c r="A47" s="15" t="inlineStr">
        <is>
          <t>Phí cổng trong doanh thu admin</t>
        </is>
      </c>
      <c r="B47" s="15" t="inlineStr">
        <is>
          <t>Phí cổng = 2,9% × số tiền + 30¢ tính trên số tiền gốc (không hoàn khi hoàn tiền) nên giao dịch hoàn đủ có 'Creator nhận' âm</t>
        </is>
      </c>
      <c r="C47" s="15" t="inlineStr">
        <is>
          <t>Chưa chốt (cùng #6)</t>
        </is>
      </c>
      <c r="D47" s="15" t="inlineStr">
        <is>
          <t>ADM2: Giao dịch, Doanh thu creator</t>
        </is>
      </c>
    </row>
    <row r="48" ht="30" customHeight="1">
      <c r="A48" s="15" t="inlineStr">
        <is>
          <t>Trọng số xếp hạng mặc định &amp; công thức</t>
        </is>
      </c>
      <c r="B48" s="15" t="inlineStr">
        <is>
          <t>25/25/20/15/10/5; revenue 100 điểm = MRR $450; reportPenalty = báo cáo 30 ngày × 10</t>
        </is>
      </c>
      <c r="C48" s="15" t="inlineStr">
        <is>
          <t>Chưa chốt</t>
        </is>
      </c>
      <c r="D48" s="15" t="inlineStr">
        <is>
          <t>ADM2: Xếp hạng, sort=ranked</t>
        </is>
      </c>
    </row>
    <row r="49" ht="45" customHeight="1">
      <c r="A49" s="15" t="inlineStr">
        <is>
          <t>Quy tắc hiển thị Khám phá hidden/unlisted</t>
        </is>
      </c>
      <c r="B49" s="15" t="inlineStr">
        <is>
          <t>hidden (ẩn) vs unlisted (gỡ): cộng đồng riêng tư hiển thị 'Đã ẩn', chưa active hiển thị 'Gỡ khỏi khám phá', nhưng /courses chỉ lọc theo cột discoveryStatus</t>
        </is>
      </c>
      <c r="C49" s="15" t="inlineStr">
        <is>
          <t>Chưa chốt</t>
        </is>
      </c>
      <c r="D49" s="15" t="inlineStr">
        <is>
          <t>ADM2: Cộng đồng hiển thị</t>
        </is>
      </c>
    </row>
    <row r="50" ht="45" customHeight="1">
      <c r="A50" s="15" t="inlineStr">
        <is>
          <t>Các giá trị tiền tạm ở trên (hoa hồng, phí cổng, cửa sổ hoàn tiền, rút tối thiểu, dùng thử, chu kỳ gói)</t>
        </is>
      </c>
      <c r="B50" s="15" t="inlineStr">
        <is>
          <t>Từ 2026-10-03 chỉnh được ở Admin &gt; Hệ thống &gt; Cài đặt chung (PATCH /api/admin/system/settings), mặc định vẫn lấy từ env và Khôi phục được</t>
        </is>
      </c>
      <c r="C50" s="15" t="inlineStr">
        <is>
          <t>Giá trị cuối cùng vẫn chưa chốt</t>
        </is>
      </c>
      <c r="D50" s="15" t="inlineStr">
        <is>
          <t>ADM3: nhóm case 'Cài đặt chung: hiệu lực thật lên thanh toán' + case Kế hoạch 'Giá trị nghiệp vụ tạm...'</t>
        </is>
      </c>
    </row>
    <row r="51" ht="30" customHeight="1">
      <c r="A51" s="15" t="inlineStr">
        <is>
          <t>Công thức điểm chất lượng tìm kiếm</t>
        </is>
      </c>
      <c r="B51" s="15" t="inlineStr">
        <is>
          <t>40×rating/5 + 25×tương tác + 15 (mô tả ≥80 ký tự) + 10 (ảnh bìa) + 10 (bài 30 ngày) − 8×vi phạm</t>
        </is>
      </c>
      <c r="C51" s="15" t="inlineStr">
        <is>
          <t>Chưa chốt</t>
        </is>
      </c>
      <c r="D51" s="15" t="inlineStr">
        <is>
          <t>ADM2: Hiển thị tìm kiếm</t>
        </is>
      </c>
    </row>
    <row r="53">
      <c r="A53" s="4" t="inlineStr">
        <is>
          <t>C. Còn mô phỏng / chưa làm (giữ 'Kế hoạch' trong test case)</t>
        </is>
      </c>
    </row>
    <row r="54">
      <c r="A54" s="13" t="inlineStr">
        <is>
          <t>Hạng mục</t>
        </is>
      </c>
      <c r="B54" s="13" t="inlineStr">
        <is>
          <t>Ghi chú</t>
        </is>
      </c>
    </row>
    <row r="55" ht="18" customHeight="1">
      <c r="A55" s="15" t="inlineStr">
        <is>
          <t>Đăng nhập Google/Facebook, 2FA, đổi email</t>
        </is>
      </c>
      <c r="B55" s="15" t="inlineStr">
        <is>
          <t>Chưa làm (nút chỉ hiển thị hoặc không có).</t>
        </is>
      </c>
    </row>
    <row r="56" ht="30" customHeight="1">
      <c r="A56" s="15" t="inlineStr">
        <is>
          <t>PDF chứng nhận</t>
        </is>
      </c>
      <c r="B56" s="15" t="inlineStr">
        <is>
          <t>Chưa làm (hiện chỉ trang chứng nhận + xác minh công khai).</t>
        </is>
      </c>
    </row>
    <row r="57" ht="30" customHeight="1">
      <c r="A57" s="15" t="inlineStr">
        <is>
          <t>Tìm kiếm Postgres full-text</t>
        </is>
      </c>
      <c r="B57" s="15" t="inlineStr">
        <is>
          <t>Chưa làm - tìm kiếm hiện lọc trong bộ nhớ trên tập lấy từ DB.</t>
        </is>
      </c>
    </row>
    <row r="58" ht="30" customHeight="1">
      <c r="A58" s="15" t="inlineStr">
        <is>
          <t>Email thật</t>
        </is>
      </c>
      <c r="B58" s="15" t="inlineStr">
        <is>
          <t>Chỉ ghi vào outbox dev (GET /api/dev/outbox), chưa nối SES/SMTP -&gt; các case 'nhận email' giữ 'Kế hoạch'.</t>
        </is>
      </c>
    </row>
    <row r="59" ht="18" customHeight="1">
      <c r="A59" s="15" t="inlineStr">
        <is>
          <t>Upload S3/MinIO</t>
        </is>
      </c>
      <c r="B59" s="15" t="inlineStr">
        <is>
          <t>Đang lưu ổ đĩa cục bộ (StorageProvider đã tách sẵn).</t>
        </is>
      </c>
    </row>
    <row r="60" ht="18" customHeight="1">
      <c r="A60" s="15" t="inlineStr">
        <is>
          <t>i18n VI/EN, SEO meta/OG, sitemap</t>
        </is>
      </c>
      <c r="B60" s="15" t="inlineStr">
        <is>
          <t>Chưa làm (nút 'VI' chỉ là hình).</t>
        </is>
      </c>
    </row>
    <row r="61" ht="45" customHeight="1">
      <c r="A61" s="15" t="inlineStr">
        <is>
          <t>Nhiều instance BE</t>
        </is>
      </c>
      <c r="B61" s="15" t="inlineStr">
        <is>
          <t>Vé/kết nối SSE, rate limit, nonce vé upload nằm trong bộ nhớ tiến trình -&gt; cần Redis khi scale; chưa có job dọn Session hết hạn.</t>
        </is>
      </c>
    </row>
    <row r="62" ht="135" customHeight="1">
      <c r="A62" s="15" t="inlineStr">
        <is>
          <t>Admin đợt 3 - chưa làm / mô phỏng</t>
        </is>
      </c>
      <c r="B62"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63" ht="75" customHeight="1">
      <c r="A63" s="15" t="inlineStr">
        <is>
          <t>Thiếu ở BE mà FE tạm xử lý</t>
        </is>
      </c>
      <c r="B63"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65">
      <c r="A65" s="4" t="inlineStr">
        <is>
          <t>D. Thống kê số testcase trước / sau theo module</t>
        </is>
      </c>
    </row>
    <row r="66">
      <c r="A66" s="13" t="inlineStr">
        <is>
          <t>Mã</t>
        </is>
      </c>
      <c r="B66" s="13" t="inlineStr">
        <is>
          <t>Module</t>
        </is>
      </c>
      <c r="C66" s="13" t="inlineStr">
        <is>
          <t>Trước</t>
        </is>
      </c>
      <c r="D66" s="13" t="inlineStr">
        <is>
          <t>Sau</t>
        </is>
      </c>
      <c r="E66" s="13" t="inlineStr">
        <is>
          <t>Thêm mới</t>
        </is>
      </c>
    </row>
    <row r="67" ht="18" customHeight="1">
      <c r="A67" s="15" t="inlineStr">
        <is>
          <t>HOME</t>
        </is>
      </c>
      <c r="B67" s="15" t="inlineStr">
        <is>
          <t>Trang chủ &amp; Khám phá</t>
        </is>
      </c>
      <c r="C67" s="15" t="n">
        <v>32</v>
      </c>
      <c r="D67" s="15" t="n">
        <v>32</v>
      </c>
      <c r="E67" s="15" t="n">
        <v>0</v>
      </c>
    </row>
    <row r="68" ht="18" customHeight="1">
      <c r="A68" s="15" t="inlineStr">
        <is>
          <t>AUTH</t>
        </is>
      </c>
      <c r="B68" s="15" t="inlineStr">
        <is>
          <t>Tài khoản &amp; Xác thực</t>
        </is>
      </c>
      <c r="C68" s="15" t="n">
        <v>36</v>
      </c>
      <c r="D68" s="15" t="n">
        <v>162</v>
      </c>
      <c r="E68" s="15" t="n">
        <v>126</v>
      </c>
    </row>
    <row r="69" ht="18" customHeight="1">
      <c r="A69" s="15" t="inlineStr">
        <is>
          <t>COMM</t>
        </is>
      </c>
      <c r="B69" s="15" t="inlineStr">
        <is>
          <t>Cộng đồng</t>
        </is>
      </c>
      <c r="C69" s="15" t="n">
        <v>32</v>
      </c>
      <c r="D69" s="15" t="n">
        <v>237</v>
      </c>
      <c r="E69" s="15" t="n">
        <v>205</v>
      </c>
    </row>
    <row r="70" ht="18" customHeight="1">
      <c r="A70" s="15" t="inlineStr">
        <is>
          <t>COMMVP</t>
        </is>
      </c>
      <c r="B70" s="15" t="inlineStr">
        <is>
          <t>Cộng đồng MVP (gắn theo khóa học — 2026-09-29)</t>
        </is>
      </c>
      <c r="C70" s="15" t="n">
        <v>27</v>
      </c>
      <c r="D70" s="15" t="n">
        <v>27</v>
      </c>
      <c r="E70" s="15" t="n">
        <v>0</v>
      </c>
    </row>
    <row r="71" ht="18" customHeight="1">
      <c r="A71" s="15" t="inlineStr">
        <is>
          <t>COURSE</t>
        </is>
      </c>
      <c r="B71" s="15" t="inlineStr">
        <is>
          <t>Khóa học / Lớp học</t>
        </is>
      </c>
      <c r="C71" s="15" t="n">
        <v>20</v>
      </c>
      <c r="D71" s="15" t="n">
        <v>107</v>
      </c>
      <c r="E71" s="15" t="n">
        <v>87</v>
      </c>
    </row>
    <row r="72" ht="18" customHeight="1">
      <c r="A72" s="15" t="inlineStr">
        <is>
          <t>FEED</t>
        </is>
      </c>
      <c r="B72" s="15" t="inlineStr">
        <is>
          <t>Bảng tin &amp; Tương tác cộng đồng</t>
        </is>
      </c>
      <c r="C72" s="15" t="n">
        <v>18</v>
      </c>
      <c r="D72" s="15" t="n">
        <v>152</v>
      </c>
      <c r="E72" s="15" t="n">
        <v>134</v>
      </c>
    </row>
    <row r="73" ht="18" customHeight="1">
      <c r="A73" s="15" t="inlineStr">
        <is>
          <t>MEMBER</t>
        </is>
      </c>
      <c r="B73" s="15" t="inlineStr">
        <is>
          <t>Thành viên, Hồ sơ &amp; Xếp hạng</t>
        </is>
      </c>
      <c r="C73" s="15" t="n">
        <v>12</v>
      </c>
      <c r="D73" s="15" t="n">
        <v>65</v>
      </c>
      <c r="E73" s="15" t="n">
        <v>53</v>
      </c>
    </row>
    <row r="74" ht="18" customHeight="1">
      <c r="A74" s="15" t="inlineStr">
        <is>
          <t>EVENT</t>
        </is>
      </c>
      <c r="B74" s="15" t="inlineStr">
        <is>
          <t>Lịch &amp; Sự kiện</t>
        </is>
      </c>
      <c r="C74" s="15" t="n">
        <v>12</v>
      </c>
      <c r="D74" s="15" t="n">
        <v>102</v>
      </c>
      <c r="E74" s="15" t="n">
        <v>90</v>
      </c>
    </row>
    <row r="75" ht="18" customHeight="1">
      <c r="A75" s="15" t="inlineStr">
        <is>
          <t>NOTI</t>
        </is>
      </c>
      <c r="B75" s="15" t="inlineStr">
        <is>
          <t>Thông báo &amp; Nhắn tin</t>
        </is>
      </c>
      <c r="C75" s="15" t="n">
        <v>12</v>
      </c>
      <c r="D75" s="15" t="n">
        <v>156</v>
      </c>
      <c r="E75" s="15" t="n">
        <v>144</v>
      </c>
    </row>
    <row r="76" ht="18" customHeight="1">
      <c r="A76" s="15" t="inlineStr">
        <is>
          <t>PAY</t>
        </is>
      </c>
      <c r="B76" s="15" t="inlineStr">
        <is>
          <t>Thanh toán &amp; Gói thành viên</t>
        </is>
      </c>
      <c r="C76" s="15" t="n">
        <v>26</v>
      </c>
      <c r="D76" s="15" t="n">
        <v>222</v>
      </c>
      <c r="E76" s="15" t="n">
        <v>196</v>
      </c>
    </row>
    <row r="77" ht="18" customHeight="1">
      <c r="A77" s="15" t="inlineStr">
        <is>
          <t>ADMIN</t>
        </is>
      </c>
      <c r="B77" s="15" t="inlineStr">
        <is>
          <t>Quản trị &amp; Vận hành hệ thống</t>
        </is>
      </c>
      <c r="C77" s="15" t="n">
        <v>12</v>
      </c>
      <c r="D77" s="15" t="n">
        <v>78</v>
      </c>
      <c r="E77" s="15" t="n">
        <v>66</v>
      </c>
    </row>
    <row r="78" ht="18" customHeight="1">
      <c r="A78" s="15" t="inlineStr">
        <is>
          <t>SEC</t>
        </is>
      </c>
      <c r="B78" s="15" t="inlineStr">
        <is>
          <t>Bảo mật &amp; Yêu cầu phi chức năng</t>
        </is>
      </c>
      <c r="C78" s="15" t="n">
        <v>11</v>
      </c>
      <c r="D78" s="15" t="n">
        <v>81</v>
      </c>
      <c r="E78" s="15" t="n">
        <v>70</v>
      </c>
    </row>
    <row r="79" ht="18" customHeight="1">
      <c r="A79" s="15" t="inlineStr">
        <is>
          <t>ROLE</t>
        </is>
      </c>
      <c r="B79" s="15" t="inlineStr">
        <is>
          <t>Ma trận phân quyền &amp; Bảo mật nâng cao</t>
        </is>
      </c>
      <c r="C79" s="15" t="n">
        <v>18</v>
      </c>
      <c r="D79" s="15" t="n">
        <v>93</v>
      </c>
      <c r="E79" s="15" t="n">
        <v>75</v>
      </c>
    </row>
    <row r="80" ht="18" customHeight="1">
      <c r="A80" s="15" t="inlineStr">
        <is>
          <t>INTEG</t>
        </is>
      </c>
      <c r="B80" s="15" t="inlineStr">
        <is>
          <t>API / Tích hợp &amp; Concurrency</t>
        </is>
      </c>
      <c r="C80" s="15" t="n">
        <v>13</v>
      </c>
      <c r="D80" s="15" t="n">
        <v>50</v>
      </c>
      <c r="E80" s="15" t="n">
        <v>37</v>
      </c>
    </row>
    <row r="81" ht="18" customHeight="1">
      <c r="A81" s="15" t="inlineStr">
        <is>
          <t>CERT</t>
        </is>
      </c>
      <c r="B81" s="15" t="inlineStr">
        <is>
          <t>Chứng nhận</t>
        </is>
      </c>
      <c r="C81" s="15" t="n">
        <v>0</v>
      </c>
      <c r="D81" s="15" t="n">
        <v>41</v>
      </c>
      <c r="E81" s="15" t="n">
        <v>41</v>
      </c>
    </row>
    <row r="82" ht="18" customHeight="1">
      <c r="A82" s="15" t="inlineStr">
        <is>
          <t>SEARCH</t>
        </is>
      </c>
      <c r="B82" s="15" t="inlineStr">
        <is>
          <t>Tìm kiếm toàn cục</t>
        </is>
      </c>
      <c r="C82" s="15" t="n">
        <v>0</v>
      </c>
      <c r="D82" s="15" t="n">
        <v>48</v>
      </c>
      <c r="E82" s="15" t="n">
        <v>48</v>
      </c>
    </row>
    <row r="83" ht="18" customHeight="1">
      <c r="A83" s="15" t="inlineStr">
        <is>
          <t>UPLOAD</t>
        </is>
      </c>
      <c r="B83" s="15" t="inlineStr">
        <is>
          <t>Upload tệp &amp; ảnh</t>
        </is>
      </c>
      <c r="C83" s="15" t="n">
        <v>0</v>
      </c>
      <c r="D83" s="15" t="n">
        <v>59</v>
      </c>
      <c r="E83" s="15" t="n">
        <v>59</v>
      </c>
    </row>
    <row r="84" ht="18" customHeight="1">
      <c r="A84" s="15" t="inlineStr">
        <is>
          <t>ADM</t>
        </is>
      </c>
      <c r="B84" s="15" t="inlineStr">
        <is>
          <t>Admin Console (đợt 1)</t>
        </is>
      </c>
      <c r="C84" s="15" t="n">
        <v>0</v>
      </c>
      <c r="D84" s="15" t="n">
        <v>290</v>
      </c>
      <c r="E84" s="15" t="n">
        <v>290</v>
      </c>
    </row>
    <row r="85" ht="18" customHeight="1">
      <c r="A85" s="15" t="inlineStr">
        <is>
          <t>ADM2</t>
        </is>
      </c>
      <c r="B85" s="15" t="inlineStr">
        <is>
          <t>Admin Console (đợt 2: Nội dung, Thanh toán, Khám phá)</t>
        </is>
      </c>
      <c r="C85" s="15" t="n">
        <v>0</v>
      </c>
      <c r="D85" s="15" t="n">
        <v>337</v>
      </c>
      <c r="E85" s="15" t="n">
        <v>337</v>
      </c>
    </row>
    <row r="86" ht="18" customHeight="1">
      <c r="A86" s="15" t="inlineStr">
        <is>
          <t>ADM3</t>
        </is>
      </c>
      <c r="B86" s="15" t="inlineStr">
        <is>
          <t>Admin Console (đợt 3: Phân tích, Hỗ trợ, Hệ thống)</t>
        </is>
      </c>
      <c r="C86" s="15" t="n">
        <v>0</v>
      </c>
      <c r="D86" s="15" t="n">
        <v>418</v>
      </c>
      <c r="E86" s="15" t="n">
        <v>418</v>
      </c>
    </row>
    <row r="87" ht="18" customHeight="1">
      <c r="A87" s="15" t="inlineStr"/>
      <c r="B87" s="15" t="inlineStr">
        <is>
          <t>TỔNG</t>
        </is>
      </c>
      <c r="C87" s="15" t="n">
        <v>281</v>
      </c>
      <c r="D87" s="15" t="n">
        <v>2757</v>
      </c>
      <c r="E87" s="15" t="n">
        <v>2476</v>
      </c>
    </row>
    <row r="89">
      <c r="A89" s="4" t="inlineStr">
        <is>
          <t>E. Rà soát QA -&gt; sửa lỗi (9 lỗi thật đã sửa ở backend; testcase đã cập nhật kỳ vọng theo hành vi MỚI)</t>
        </is>
      </c>
    </row>
    <row r="90">
      <c r="A90" s="13" t="inlineStr">
        <is>
          <t>#</t>
        </is>
      </c>
      <c r="B90" s="13" t="inlineStr">
        <is>
          <t>Lỗi đã sửa</t>
        </is>
      </c>
      <c r="C90" s="13" t="inlineStr">
        <is>
          <t>Hành vi mới</t>
        </is>
      </c>
      <c r="D90" s="13" t="inlineStr">
        <is>
          <t>Case đã cập nhật</t>
        </is>
      </c>
    </row>
    <row r="91" ht="45" customHeight="1">
      <c r="A91" s="15" t="inlineStr">
        <is>
          <t>1</t>
        </is>
      </c>
      <c r="B91" s="15" t="inlineStr">
        <is>
          <t>Avatar upload</t>
        </is>
      </c>
      <c r="C91" s="15" t="inlineStr">
        <is>
          <t>Upload ảnh avatar xong rồi PATCH /auth/me {avatarUrl:'/api/files/&lt;key&gt;'} bị 400. Nay được nhận (200); vẫn chặn '..' và javascript:.</t>
        </is>
      </c>
      <c r="D91" s="15" t="inlineStr">
        <is>
          <t>Case AUTH 'Đường dẫn ảnh upload /api/files/&lt;key&gt;', UPLOAD 'Đổi avatar bằng ảnh upload'.</t>
        </is>
      </c>
    </row>
    <row r="92" ht="30" customHeight="1">
      <c r="A92" s="15" t="inlineStr">
        <is>
          <t>2</t>
        </is>
      </c>
      <c r="B92" s="15" t="inlineStr">
        <is>
          <t>imageUrl bài viết / meetingLink sự kiện nhận javascript:, data:</t>
        </is>
      </c>
      <c r="C92" s="15" t="inlineStr">
        <is>
          <t>Trước đây trả 201. Nay chỉ nhận http/https, ngoài ra 400 VALIDATION_ERROR.</t>
        </is>
      </c>
      <c r="D92" s="15" t="inlineStr">
        <is>
          <t>Case FEED 'imageUrl dạng javascript:/data:', EVENT 'meetingLink', SEC 'URL độc hại trong imageUrl...'.</t>
        </is>
      </c>
    </row>
    <row r="93" ht="75" customHeight="1">
      <c r="A93" s="15" t="inlineStr">
        <is>
          <t>3</t>
        </is>
      </c>
      <c r="B93" s="15" t="inlineStr">
        <is>
          <t>Link thông báo sai route FE</t>
        </is>
      </c>
      <c r="C93"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93" s="15" t="inlineStr">
        <is>
          <t>Case NOTI (seed 7 thông báo, bấm thông báo), EVENT (tạo/hủy/nhắc/SSE), CERT (thông báo cấp chứng nhận).</t>
        </is>
      </c>
    </row>
    <row r="94" ht="45" customHeight="1">
      <c r="A94" s="15" t="inlineStr">
        <is>
          <t>4</t>
        </is>
      </c>
      <c r="B94" s="15" t="inlineStr">
        <is>
          <t>JSON sai cú pháp / body &gt; 1MB trả 500</t>
        </is>
      </c>
      <c r="C94" s="15" t="inlineStr">
        <is>
          <t>Nay JSON sai -&gt; 400 BAD_REQUEST 'Nội dung gửi lên không phải JSON hợp lệ'; body &gt; 1MB -&gt; 413 PAYLOAD_TOO_LARGE (error-handler.ts).</t>
        </is>
      </c>
      <c r="D94" s="15" t="inlineStr">
        <is>
          <t>Case SEC 'Định dạng lỗi' (JSON cụt, payload &gt; 1MB), EVENT tạo sự kiện, PAY webhook.</t>
        </is>
      </c>
    </row>
    <row r="95" ht="45" customHeight="1">
      <c r="A95" s="15" t="inlineStr">
        <is>
          <t>5</t>
        </is>
      </c>
      <c r="B95" s="15" t="inlineStr">
        <is>
          <t>Platform Admin bị chặn bởi requireMembership</t>
        </is>
      </c>
      <c r="C95" s="15" t="inlineStr">
        <is>
          <t>Nay requireMembership cho qua Platform Admin dù chưa ghi danh (đọc bảng tin/lịch/lớp học/thành viên, ghim/ẩn bài, RSVP, đánh giá...). Vẫn 403 với newbie/banned.</t>
        </is>
      </c>
      <c r="D95" s="15" t="inlineStr">
        <is>
          <t>Ma trận ROLE (ô 'admin nền tảng'), case ADMIN, FEED, EVENT, COURSE, COMM.</t>
        </is>
      </c>
    </row>
    <row r="96" ht="45" customHeight="1">
      <c r="A96" s="15" t="inlineStr">
        <is>
          <t>6</t>
        </is>
      </c>
      <c r="B96" s="15" t="inlineStr">
        <is>
          <t>loginLimiter đếm cả lần đăng nhập thành công</t>
        </is>
      </c>
      <c r="C96" s="15" t="inlineStr">
        <is>
          <t>Nay skipSuccessfulRequests: chỉ đếm đăng nhập THẤT BẠI (10 lần/15 phút/IP); đăng nhập đúng liên tiếp không bị 429, lần sai thứ 11 mới 429.</t>
        </is>
      </c>
      <c r="D96" s="15" t="inlineStr">
        <is>
          <t>Case AUTH 'Rate limit', ROLE (bỏ cảnh báo Playwright đăng nhập nhiều lần dính 429), SEC 'Giới hạn đăng nhập'.</t>
        </is>
      </c>
    </row>
    <row r="97" ht="45" customHeight="1">
      <c r="A97" s="15" t="inlineStr">
        <is>
          <t>7</t>
        </is>
      </c>
      <c r="B97" s="15" t="inlineStr">
        <is>
          <t>GET /health không kiểm DB</t>
        </is>
      </c>
      <c r="C97" s="15" t="inlineStr">
        <is>
          <t>Nay chạy SELECT 1: 200 {status:'ok'} khi DB sống, 503 {status:'db_unavailable'} khi DB chết (trước đây luôn 200).</t>
        </is>
      </c>
      <c r="D97" s="15" t="inlineStr">
        <is>
          <t>Case INTEG 'Health &amp; vận hành', 'Mất kết nối Postgres'.</t>
        </is>
      </c>
    </row>
    <row r="98" ht="45" customHeight="1">
      <c r="A98" s="15" t="inlineStr">
        <is>
          <t>8</t>
        </is>
      </c>
      <c r="B98" s="15" t="inlineStr">
        <is>
          <t>Xóa tài khoản = ẩn danh hóa</t>
        </is>
      </c>
      <c r="C98" s="15" t="inlineStr">
        <is>
          <t>Xóa tài khoản giữ bài viết/bình luận/điểm/thanh toán, tên hiện 'Thành viên đã xóa' (migration auth_user_deleted_at).</t>
        </is>
      </c>
      <c r="D98" s="15" t="inlineStr">
        <is>
          <t>Nhóm case AUTH 'Xóa tài khoản'.</t>
        </is>
      </c>
    </row>
    <row r="99" ht="45" customHeight="1">
      <c r="A99" s="15" t="inlineStr">
        <is>
          <t>9</t>
        </is>
      </c>
      <c r="B99" s="15" t="inlineStr">
        <is>
          <t>Thu hồi access token tức thì</t>
        </is>
      </c>
      <c r="C99" s="15" t="inlineStr">
        <is>
          <t>JWT mang sid + tv; requireAuth kiểm phiên và tokenVersion mỗi request: đổi/đặt lại mật khẩu, xóa tài khoản, logout, thu hồi phiên -&gt; token cũ 401 ngay.</t>
        </is>
      </c>
      <c r="D99" s="15" t="inlineStr">
        <is>
          <t>Nhóm case AUTH/SEC thu hồi token.</t>
        </is>
      </c>
    </row>
    <row r="101">
      <c r="A101" s="4" t="inlineStr">
        <is>
          <t>F. 8 điểm đã biết CHƯA sửa / chưa chốt (case giữ nguyên, ghi rõ là hành vi hiện tại, cần người dùng quyết định)</t>
        </is>
      </c>
    </row>
    <row r="102">
      <c r="A102" s="13" t="inlineStr">
        <is>
          <t>#</t>
        </is>
      </c>
      <c r="B102" s="13" t="inlineStr">
        <is>
          <t>Điểm đã biết</t>
        </is>
      </c>
      <c r="C102" s="13" t="inlineStr">
        <is>
          <t>Ghi chú / cần quyết định</t>
        </is>
      </c>
    </row>
    <row r="103" ht="30" customHeight="1">
      <c r="A103" s="15" t="inlineStr">
        <is>
          <t>1</t>
        </is>
      </c>
      <c r="B103" s="15" t="inlineStr">
        <is>
          <t>Kick/ban thành viên trả phí KHÔNG hủy gói (Subscription vẫn active, scheduler vẫn có thể thu phí)</t>
        </is>
      </c>
      <c r="C103" s="15" t="inlineStr">
        <is>
          <t>Cần chốt hoàn tiền/hủy gói.</t>
        </is>
      </c>
    </row>
    <row r="104" ht="30" customHeight="1">
      <c r="A104" s="15" t="inlineStr">
        <is>
          <t>2</t>
        </is>
      </c>
      <c r="B104" s="15" t="inlineStr">
        <is>
          <t>RSVP cộng +1 điểm mỗi lần (hủy rồi RSVP lại vẫn cộng, không thu hồi, không dedupe)</t>
        </is>
      </c>
      <c r="C104" s="15" t="inlineStr">
        <is>
          <t>Cần chốt trần điểm / chống farm.</t>
        </is>
      </c>
    </row>
    <row r="105" ht="18" customHeight="1">
      <c r="A105" s="15" t="inlineStr">
        <is>
          <t>3</t>
        </is>
      </c>
      <c r="B105" s="15" t="inlineStr">
        <is>
          <t>Bài đã ẩn: PATCH/DELETE bởi người khác trả 403</t>
        </is>
      </c>
      <c r="C105" s="15" t="inlineStr">
        <is>
          <t>Cần chốt có cho mod thao tác trên bài ẩn không.</t>
        </is>
      </c>
    </row>
    <row r="106" ht="30" customHeight="1">
      <c r="A106" s="15" t="inlineStr">
        <is>
          <t>4</t>
        </is>
      </c>
      <c r="B106" s="15" t="inlineStr">
        <is>
          <t>Ban chưa có ở mức toàn nền tảng (chỉ ban theo cộng đồng)</t>
        </is>
      </c>
      <c r="C106" s="15" t="inlineStr">
        <is>
          <t>Case ban toàn nền tảng giữ 'Kế hoạch'.</t>
        </is>
      </c>
    </row>
    <row r="107" ht="45" customHeight="1">
      <c r="A107" s="15" t="inlineStr">
        <is>
          <t>5</t>
        </is>
      </c>
      <c r="B107" s="15" t="inlineStr">
        <is>
          <t>Platform Admin chưa cần emailVerified (chỉ so email trong PLATFORM_ADMIN_EMAILS -&gt; rủi ro chiếm quyền nếu email chưa có tài khoản)</t>
        </is>
      </c>
      <c r="C107" s="15" t="inlineStr">
        <is>
          <t>Đề xuất bắt buộc xác thực email cho Platform Admin.</t>
        </is>
      </c>
    </row>
    <row r="108" ht="30" customHeight="1">
      <c r="A108" s="15" t="inlineStr">
        <is>
          <t>6</t>
        </is>
      </c>
      <c r="B108" s="15" t="inlineStr">
        <is>
          <t>Đăng bài/bình luận không giới hạn tốc độ và không có trần điểm/ngày</t>
        </is>
      </c>
      <c r="C108" s="15" t="inlineStr">
        <is>
          <t>Rủi ro farm điểm, chưa chốt.</t>
        </is>
      </c>
    </row>
    <row r="109" ht="30" customHeight="1">
      <c r="A109" s="15" t="inlineStr">
        <is>
          <t>7</t>
        </is>
      </c>
      <c r="B109" s="15" t="inlineStr">
        <is>
          <t>/files/:key công khai (bảo mật bằng khóa ngẫu nhiên), chưa bắt đăng nhập</t>
        </is>
      </c>
      <c r="C109" s="15" t="inlineStr">
        <is>
          <t>Chưa chốt (đã ghi ở mục B).</t>
        </is>
      </c>
    </row>
    <row r="110" ht="30" customHeight="1">
      <c r="A110" s="15" t="inlineStr">
        <is>
          <t>8</t>
        </is>
      </c>
      <c r="B110" s="15" t="inlineStr">
        <is>
          <t>Refresh token không thu hồi access token cũ cùng phiên (còn hiệu lực đến hết 15 phút)</t>
        </is>
      </c>
      <c r="C110" s="15" t="inlineStr">
        <is>
          <t>Ghi nhận để thống nhất, không phải lỗi.</t>
        </is>
      </c>
    </row>
  </sheetData>
  <mergeCells count="1">
    <mergeCell ref="A1:E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8" customHeight="1">
      <c r="A2" s="2" t="inlineStr">
        <is>
          <t>TC-AUTH-001</t>
        </is>
      </c>
      <c r="B2" s="28" t="inlineStr">
        <is>
          <t>Đăng ký tài khoản thành công với thông tin hợp lệ</t>
        </is>
      </c>
      <c r="C2" s="29" t="inlineStr">
        <is>
          <t>Pass</t>
        </is>
      </c>
      <c r="D2" s="30" t="inlineStr">
        <is>
          <t>(không có ảnh — test bị bỏ qua hoàn toàn, xem e2e/report/index.html)</t>
        </is>
      </c>
    </row>
    <row r="3" ht="18" customHeight="1">
      <c r="A3" s="2" t="inlineStr">
        <is>
          <t>TC-AUTH-002</t>
        </is>
      </c>
      <c r="B3" s="28" t="inlineStr">
        <is>
          <t>Đăng ký với email đã tồn tại</t>
        </is>
      </c>
      <c r="C3" s="29" t="inlineStr">
        <is>
          <t>Pass</t>
        </is>
      </c>
      <c r="D3" s="30" t="inlineStr">
        <is>
          <t>(không có ảnh — test bị bỏ qua hoàn toàn, xem e2e/report/index.html)</t>
        </is>
      </c>
    </row>
    <row r="4" ht="18" customHeight="1">
      <c r="A4" s="2" t="inlineStr">
        <is>
          <t>TC-AUTH-003</t>
        </is>
      </c>
      <c r="B4" s="28" t="inlineStr">
        <is>
          <t>Đăng ký với email sai định dạng</t>
        </is>
      </c>
      <c r="C4" s="29" t="inlineStr">
        <is>
          <t>Pass</t>
        </is>
      </c>
      <c r="D4" s="30" t="inlineStr">
        <is>
          <t>(không có ảnh — test bị bỏ qua hoàn toàn, xem e2e/report/index.html)</t>
        </is>
      </c>
    </row>
    <row r="5" ht="18" customHeight="1">
      <c r="A5" s="2" t="inlineStr">
        <is>
          <t>TC-AUTH-004</t>
        </is>
      </c>
      <c r="B5" s="28" t="inlineStr">
        <is>
          <t>Mật khẩu ít hơn 8 ký tự bị từ chối</t>
        </is>
      </c>
      <c r="C5" s="29" t="inlineStr">
        <is>
          <t>Pass</t>
        </is>
      </c>
      <c r="D5" s="30" t="inlineStr">
        <is>
          <t>(không có ảnh — test bị bỏ qua hoàn toàn, xem e2e/report/index.html)</t>
        </is>
      </c>
    </row>
    <row r="6" ht="18" customHeight="1">
      <c r="A6" s="2" t="inlineStr">
        <is>
          <t>TC-AUTH-005</t>
        </is>
      </c>
      <c r="B6" s="28" t="inlineStr">
        <is>
          <t>Mật khẩu không có chữ hoa bị từ chối</t>
        </is>
      </c>
      <c r="C6" s="29" t="inlineStr">
        <is>
          <t>Pass</t>
        </is>
      </c>
      <c r="D6" s="30" t="inlineStr">
        <is>
          <t>(không có ảnh — test bị bỏ qua hoàn toàn, xem e2e/report/index.html)</t>
        </is>
      </c>
    </row>
    <row r="7" ht="18" customHeight="1">
      <c r="A7" s="2" t="inlineStr">
        <is>
          <t>TC-AUTH-006</t>
        </is>
      </c>
      <c r="B7" s="28" t="inlineStr">
        <is>
          <t>Mật khẩu không có ký tự đặc biệt bị từ chối</t>
        </is>
      </c>
      <c r="C7" s="29" t="inlineStr">
        <is>
          <t>Pass</t>
        </is>
      </c>
      <c r="D7" s="30" t="inlineStr">
        <is>
          <t>(không có ảnh — test bị bỏ qua hoàn toàn, xem e2e/report/index.html)</t>
        </is>
      </c>
    </row>
    <row r="8" ht="18" customHeight="1">
      <c r="A8" s="2" t="inlineStr">
        <is>
          <t>TC-AUTH-007</t>
        </is>
      </c>
      <c r="B8" s="28" t="inlineStr">
        <is>
          <t>Để trống trường họ tên</t>
        </is>
      </c>
      <c r="C8" s="29" t="inlineStr">
        <is>
          <t>Pass</t>
        </is>
      </c>
      <c r="D8" s="30" t="inlineStr">
        <is>
          <t>(không có ảnh — test bị bỏ qua hoàn toàn, xem e2e/report/index.html)</t>
        </is>
      </c>
    </row>
    <row r="9" ht="18" customHeight="1">
      <c r="A9" s="2" t="inlineStr">
        <is>
          <t>TC-AUTH-008</t>
        </is>
      </c>
      <c r="B9" s="28" t="inlineStr">
        <is>
          <t>Không thể tick đồng ý khi chưa cuộn hết Điều khoản sử dụng</t>
        </is>
      </c>
      <c r="C9" s="29" t="inlineStr">
        <is>
          <t>Pass</t>
        </is>
      </c>
      <c r="D9" s="30" t="inlineStr">
        <is>
          <t>(không có ảnh — test bị bỏ qua hoàn toàn, xem e2e/report/index.html)</t>
        </is>
      </c>
    </row>
    <row r="10" ht="18" customHeight="1">
      <c r="A10" s="2" t="inlineStr">
        <is>
          <t>TC-AUTH-009</t>
        </is>
      </c>
      <c r="B10" s="28" t="inlineStr">
        <is>
          <t>Không thể tick đồng ý khi chưa cuộn hết Chính sách bảo mật</t>
        </is>
      </c>
      <c r="C10" s="29" t="inlineStr">
        <is>
          <t>Pass</t>
        </is>
      </c>
      <c r="D10" s="30" t="inlineStr">
        <is>
          <t>(không có ảnh — test bị bỏ qua hoàn toàn, xem e2e/report/index.html)</t>
        </is>
      </c>
    </row>
    <row r="11" ht="18" customHeight="1">
      <c r="A11" s="2" t="inlineStr">
        <is>
          <t>TC-AUTH-010</t>
        </is>
      </c>
      <c r="B11" s="28" t="inlineStr">
        <is>
          <t>Không cho đăng ký khi chưa tick đồng ý điều khoản</t>
        </is>
      </c>
      <c r="C11" s="29" t="inlineStr">
        <is>
          <t>Pass</t>
        </is>
      </c>
      <c r="D11" s="30" t="inlineStr">
        <is>
          <t>(không có ảnh — test bị bỏ qua hoàn toàn, xem e2e/report/index.html)</t>
        </is>
      </c>
    </row>
    <row r="12" ht="18" customHeight="1">
      <c r="A12" s="2" t="inlineStr">
        <is>
          <t>TC-AUTH-011</t>
        </is>
      </c>
      <c r="B12" s="28" t="inlineStr">
        <is>
          <t>Kiểm tra input chống XSS/SQL injection ở các trường đăng ký</t>
        </is>
      </c>
      <c r="C12" s="29" t="inlineStr">
        <is>
          <t>Pass</t>
        </is>
      </c>
      <c r="D12" s="30" t="inlineStr">
        <is>
          <t>(không có ảnh — test bị bỏ qua hoàn toàn, xem e2e/report/index.html)</t>
        </is>
      </c>
    </row>
    <row r="13" ht="18" customHeight="1">
      <c r="A13" s="2" t="inlineStr">
        <is>
          <t>TC-AUTH-012</t>
        </is>
      </c>
      <c r="B13" s="28" t="inlineStr">
        <is>
          <t>Đăng nhập thành công với email/mật khẩu đúng</t>
        </is>
      </c>
      <c r="C13" s="29" t="inlineStr">
        <is>
          <t>Pass</t>
        </is>
      </c>
      <c r="D13" s="30" t="inlineStr">
        <is>
          <t>(không có ảnh — test bị bỏ qua hoàn toàn, xem e2e/report/index.html)</t>
        </is>
      </c>
    </row>
    <row r="14" ht="18" customHeight="1">
      <c r="A14" s="2" t="inlineStr">
        <is>
          <t>TC-AUTH-013</t>
        </is>
      </c>
      <c r="B14" s="28" t="inlineStr">
        <is>
          <t>Đăng nhập với mật khẩu sai</t>
        </is>
      </c>
      <c r="C14" s="29" t="inlineStr">
        <is>
          <t>Pass</t>
        </is>
      </c>
      <c r="D14" s="30" t="inlineStr">
        <is>
          <t>(không có ảnh — test bị bỏ qua hoàn toàn, xem e2e/report/index.html)</t>
        </is>
      </c>
    </row>
    <row r="15" ht="18" customHeight="1">
      <c r="A15" s="2" t="inlineStr">
        <is>
          <t>TC-AUTH-014</t>
        </is>
      </c>
      <c r="B15" s="28" t="inlineStr">
        <is>
          <t>Đăng nhập với email không tồn tại</t>
        </is>
      </c>
      <c r="C15" s="29" t="inlineStr">
        <is>
          <t>Pass</t>
        </is>
      </c>
      <c r="D15" s="30" t="inlineStr">
        <is>
          <t>(không có ảnh — test bị bỏ qua hoàn toàn, xem e2e/report/index.html)</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8" customHeight="1">
      <c r="A17" s="2" t="inlineStr">
        <is>
          <t>TC-AUTH-016</t>
        </is>
      </c>
      <c r="B17" s="28" t="inlineStr">
        <is>
          <t>Phiên đăng nhập được giữ khi tải lại trang (F5)</t>
        </is>
      </c>
      <c r="C17" s="29" t="inlineStr">
        <is>
          <t>Pass</t>
        </is>
      </c>
      <c r="D17" s="30" t="inlineStr">
        <is>
          <t>(không có ảnh — test bị bỏ qua hoàn toàn, xem e2e/report/index.html)</t>
        </is>
      </c>
    </row>
    <row r="18" ht="18" customHeight="1">
      <c r="A18" s="2" t="inlineStr">
        <is>
          <t>TC-AUTH-017</t>
        </is>
      </c>
      <c r="B18" s="28" t="inlineStr">
        <is>
          <t>Đăng xuất khỏi hệ thống</t>
        </is>
      </c>
      <c r="C18" s="29" t="inlineStr">
        <is>
          <t>Pass</t>
        </is>
      </c>
      <c r="D18" s="30" t="inlineStr">
        <is>
          <t>(không có ảnh — test bị bỏ qua hoàn toàn, xem e2e/report/index.html)</t>
        </is>
      </c>
    </row>
    <row r="19" ht="18" customHeight="1">
      <c r="A19" s="2" t="inlineStr">
        <is>
          <t>TC-AUTH-018</t>
        </is>
      </c>
      <c r="B19" s="28" t="inlineStr">
        <is>
          <t>Sau khi đăng xuất, back trình duyệt không tự khôi phục phiên</t>
        </is>
      </c>
      <c r="C19" s="29" t="inlineStr">
        <is>
          <t>Pass</t>
        </is>
      </c>
      <c r="D19" s="30" t="inlineStr">
        <is>
          <t>(không có ảnh — test bị bỏ qua hoàn toàn, xem e2e/report/index.html)</t>
        </is>
      </c>
    </row>
    <row r="20" ht="18" customHeight="1">
      <c r="A20" s="2" t="inlineStr">
        <is>
          <t>TC-AUTH-025</t>
        </is>
      </c>
      <c r="B20" s="28" t="inlineStr">
        <is>
          <t>Mật khẩu đúng đủ 8 ký tự (giá trị biên) được chấp nhận</t>
        </is>
      </c>
      <c r="C20" s="29" t="inlineStr">
        <is>
          <t>Pass</t>
        </is>
      </c>
      <c r="D20" s="30" t="inlineStr">
        <is>
          <t>(không có ảnh — test bị bỏ qua hoàn toàn, xem e2e/report/index.html)</t>
        </is>
      </c>
    </row>
    <row r="21" ht="18" customHeight="1">
      <c r="A21" s="2" t="inlineStr">
        <is>
          <t>TC-AUTH-026</t>
        </is>
      </c>
      <c r="B21" s="28" t="inlineStr">
        <is>
          <t>Họ tên chứa ký tự tiếng Việt có dấu</t>
        </is>
      </c>
      <c r="C21" s="29" t="inlineStr">
        <is>
          <t>Pass</t>
        </is>
      </c>
      <c r="D21" s="30" t="inlineStr">
        <is>
          <t>(không có ảnh — test bị bỏ qua hoàn toàn, xem e2e/report/index.html)</t>
        </is>
      </c>
    </row>
    <row r="22" ht="18" customHeight="1">
      <c r="A22" s="2" t="inlineStr">
        <is>
          <t>TC-AUTH-027</t>
        </is>
      </c>
      <c r="B22" s="28" t="inlineStr">
        <is>
          <t>Email chuẩn hóa chữ hoa/thường khi kiểm tra trùng lặp</t>
        </is>
      </c>
      <c r="C22" s="29" t="inlineStr">
        <is>
          <t>Pass</t>
        </is>
      </c>
      <c r="D22" s="30" t="inlineStr">
        <is>
          <t>(không có ảnh — test bị bỏ qua hoàn toàn, xem e2e/report/index.html)</t>
        </is>
      </c>
    </row>
    <row r="23" ht="18" customHeight="1">
      <c r="A23" s="2" t="inlineStr">
        <is>
          <t>TC-AUTH-028</t>
        </is>
      </c>
      <c r="B23" s="28" t="inlineStr">
        <is>
          <t>Mật khẩu chứa khoảng trắng ở giữa — FE và BE nhất quán</t>
        </is>
      </c>
      <c r="C23" s="29" t="inlineStr">
        <is>
          <t>Pass</t>
        </is>
      </c>
      <c r="D23" s="30" t="inlineStr">
        <is>
          <t>(không có ảnh — test bị bỏ qua hoàn toàn, xem e2e/report/index.html)</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8" customHeight="1">
      <c r="A25" s="2" t="inlineStr">
        <is>
          <t>TC-AUTH-030</t>
        </is>
      </c>
      <c r="B25" s="28" t="inlineStr">
        <is>
          <t>Đăng nhập đồng thời trên nhiều thiết bị khác nhau không bị đá nhau</t>
        </is>
      </c>
      <c r="C25" s="29" t="inlineStr">
        <is>
          <t>Pass</t>
        </is>
      </c>
      <c r="D25" s="30" t="inlineStr">
        <is>
          <t>(không có ảnh — test bị bỏ qua hoàn toàn, xem e2e/report/index.html)</t>
        </is>
      </c>
    </row>
    <row r="26" ht="18" customHeight="1">
      <c r="A26" s="2" t="inlineStr">
        <is>
          <t>TC-AUTH-031</t>
        </is>
      </c>
      <c r="B26" s="28" t="inlineStr">
        <is>
          <t>Access token bị chỉnh sửa (tamper) bị từ chối</t>
        </is>
      </c>
      <c r="C26" s="29" t="inlineStr">
        <is>
          <t>Pass</t>
        </is>
      </c>
      <c r="D26" s="30" t="inlineStr">
        <is>
          <t>(không có ảnh — test bị bỏ qua hoàn toàn, xem e2e/report/index.html)</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8" customHeight="1">
      <c r="A28" s="2" t="inlineStr">
        <is>
          <t>TC-AUTH-033</t>
        </is>
      </c>
      <c r="B28" s="28" t="inlineStr">
        <is>
          <t>Dùng token của tài khoản khác để giả mạo truy cập dữ liệu</t>
        </is>
      </c>
      <c r="C28" s="29" t="inlineStr">
        <is>
          <t>Pass</t>
        </is>
      </c>
      <c r="D28" s="30" t="inlineStr">
        <is>
          <t>(không có ảnh — test bị bỏ qua hoàn toàn, xem e2e/report/index.html)</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8" customHeight="1">
      <c r="A30" s="2" t="inlineStr">
        <is>
          <t>TC-AUTH-035</t>
        </is>
      </c>
      <c r="B30" s="28" t="inlineStr">
        <is>
          <t>Trường mật khẩu không hiển thị dạng plain text mặc định</t>
        </is>
      </c>
      <c r="C30" s="29" t="inlineStr">
        <is>
          <t>Pass</t>
        </is>
      </c>
      <c r="D30" s="30" t="inlineStr">
        <is>
          <t>(không có ảnh — test bị bỏ qua hoàn toàn, xem e2e/report/index.html)</t>
        </is>
      </c>
    </row>
    <row r="31" ht="18" customHeight="1">
      <c r="A31" s="2" t="inlineStr">
        <is>
          <t>TC-AUTH-036</t>
        </is>
      </c>
      <c r="B31" s="28" t="inlineStr">
        <is>
          <t>API có từ chối request dùng access token cũ ngay sau khi đăng xuất?</t>
        </is>
      </c>
      <c r="C31" s="32" t="inlineStr">
        <is>
          <t>Fail</t>
        </is>
      </c>
      <c r="D31" s="30" t="inlineStr">
        <is>
          <t>(không có ảnh — test bị bỏ qua hoàn toàn, xem e2e/report/index.html)</t>
        </is>
      </c>
    </row>
    <row r="32" ht="18" customHeight="1">
      <c r="A32" s="2" t="inlineStr">
        <is>
          <t>TC-COURSE-001</t>
        </is>
      </c>
      <c r="B32" s="28" t="inlineStr">
        <is>
          <t>Hiển thị đầy đủ thông tin khóa học (mô tả, giảng viên, đánh giá, nội dung, giá, FAQ)</t>
        </is>
      </c>
      <c r="C32" s="29" t="inlineStr">
        <is>
          <t>Pass</t>
        </is>
      </c>
      <c r="D32" s="30" t="inlineStr">
        <is>
          <t>(không có ảnh — test bị bỏ qua hoàn toàn, xem e2e/report/index.html)</t>
        </is>
      </c>
    </row>
    <row r="33" ht="18" customHeight="1">
      <c r="A33" s="2" t="inlineStr">
        <is>
          <t>TC-COURSE-002</t>
        </is>
      </c>
      <c r="B33" s="28" t="inlineStr">
        <is>
          <t>Xem trang chi tiết khóa học khi chưa đăng nhập (Khách)</t>
        </is>
      </c>
      <c r="C33" s="29" t="inlineStr">
        <is>
          <t>Pass</t>
        </is>
      </c>
      <c r="D33" s="30" t="inlineStr">
        <is>
          <t>(không có ảnh — test bị bỏ qua hoàn toàn, xem e2e/report/index.html)</t>
        </is>
      </c>
    </row>
    <row r="34" ht="18" customHeight="1">
      <c r="A34" s="2" t="inlineStr">
        <is>
          <t>TC-COURSE-003</t>
        </is>
      </c>
      <c r="B34" s="28" t="inlineStr">
        <is>
          <t>Tham gia khóa học thành công, lưu trạng thái ở server</t>
        </is>
      </c>
      <c r="C34" s="29" t="inlineStr">
        <is>
          <t>Pass</t>
        </is>
      </c>
      <c r="D34" s="30" t="inlineStr">
        <is>
          <t>(không có ảnh — test bị bỏ qua hoàn toàn, xem e2e/report/index.html)</t>
        </is>
      </c>
    </row>
    <row r="35" ht="18" customHeight="1">
      <c r="A35" s="2" t="inlineStr">
        <is>
          <t>TC-COURSE-004</t>
        </is>
      </c>
      <c r="B35" s="28" t="inlineStr">
        <is>
          <t>Trạng thái tham gia khóa học không mất khi tải lại trang</t>
        </is>
      </c>
      <c r="C35" s="29" t="inlineStr">
        <is>
          <t>Pass</t>
        </is>
      </c>
      <c r="D35" s="30" t="inlineStr">
        <is>
          <t>(không có ảnh — test bị bỏ qua hoàn toàn, xem e2e/report/index.html)</t>
        </is>
      </c>
    </row>
    <row r="36" ht="18" customHeight="1">
      <c r="A36" s="2" t="inlineStr">
        <is>
          <t>TC-COURSE-005</t>
        </is>
      </c>
      <c r="B36" s="28" t="inlineStr">
        <is>
          <t>Nút "Tham gia ngay"/"Đã tham gia" hoạt động như toggle (bấm lại sẽ rời khóa học)</t>
        </is>
      </c>
      <c r="C36" s="29" t="inlineStr">
        <is>
          <t>Pass</t>
        </is>
      </c>
      <c r="D36" s="30" t="inlineStr">
        <is>
          <t>(không có ảnh — test bị bỏ qua hoàn toàn, xem e2e/report/index.html)</t>
        </is>
      </c>
    </row>
    <row r="37" ht="18" customHeight="1">
      <c r="A37" s="2" t="inlineStr">
        <is>
          <t>TC-COURSE-016</t>
        </is>
      </c>
      <c r="B37" s="28" t="inlineStr">
        <is>
          <t>Giao diện khác nhau giữa người đã tham gia và chưa tham gia khóa học</t>
        </is>
      </c>
      <c r="C37" s="29" t="inlineStr">
        <is>
          <t>Pass</t>
        </is>
      </c>
      <c r="D37" s="30" t="inlineStr">
        <is>
          <t>(không có ảnh — test bị bỏ qua hoàn toàn, xem e2e/report/index.html)</t>
        </is>
      </c>
    </row>
    <row r="38" ht="18" customHeight="1">
      <c r="A38" s="2" t="inlineStr">
        <is>
          <t>TC-COURSE-017</t>
        </is>
      </c>
      <c r="B38" s="28" t="inlineStr">
        <is>
          <t>Khóa học chưa có đánh giá nào vẫn hiển thị đúng, không lỗi</t>
        </is>
      </c>
      <c r="C38" s="31" t="inlineStr">
        <is>
          <t>N/A</t>
        </is>
      </c>
      <c r="D38" s="30" t="inlineStr">
        <is>
          <t>(không có ảnh — test bị bỏ qua hoàn toàn, xem e2e/report/index.html)</t>
        </is>
      </c>
    </row>
    <row r="39" ht="18" customHeight="1">
      <c r="A39" s="2" t="inlineStr">
        <is>
          <t>TC-COURSE-018</t>
        </is>
      </c>
      <c r="B39" s="28" t="inlineStr">
        <is>
          <t>2 request tham gia đồng thời (race condition) không làm sai lệch trạng thái cuối</t>
        </is>
      </c>
      <c r="C39" s="29" t="inlineStr">
        <is>
          <t>Pass</t>
        </is>
      </c>
      <c r="D39" s="30" t="inlineStr">
        <is>
          <t>(không có ảnh — test bị bỏ qua hoàn toàn, xem e2e/report/index.html)</t>
        </is>
      </c>
    </row>
    <row r="40" ht="18" customHeight="1">
      <c r="A40" s="2" t="inlineStr">
        <is>
          <t>TC-HOME-001</t>
        </is>
      </c>
      <c r="B40" s="28" t="inlineStr">
        <is>
          <t>Tìm kiếm theo từ khóa trong tiêu đề khóa học</t>
        </is>
      </c>
      <c r="C40" s="29" t="inlineStr">
        <is>
          <t>Pass</t>
        </is>
      </c>
      <c r="D40" s="30" t="inlineStr">
        <is>
          <t>(không có ảnh — test bị bỏ qua hoàn toàn, xem e2e/report/index.html)</t>
        </is>
      </c>
    </row>
    <row r="41" ht="18" customHeight="1">
      <c r="A41" s="2" t="inlineStr">
        <is>
          <t>TC-HOME-002</t>
        </is>
      </c>
      <c r="B41" s="28" t="inlineStr">
        <is>
          <t>Tìm kiếm theo từ khóa trong mô tả khóa học</t>
        </is>
      </c>
      <c r="C41" s="29" t="inlineStr">
        <is>
          <t>Pass</t>
        </is>
      </c>
      <c r="D41" s="30" t="inlineStr">
        <is>
          <t>(không có ảnh — test bị bỏ qua hoàn toàn, xem e2e/report/index.html)</t>
        </is>
      </c>
    </row>
    <row r="42" ht="18" customHeight="1">
      <c r="A42" s="2" t="inlineStr">
        <is>
          <t>TC-HOME-003</t>
        </is>
      </c>
      <c r="B42" s="28" t="inlineStr">
        <is>
          <t>Tìm kiếm theo tên giảng viên</t>
        </is>
      </c>
      <c r="C42" s="29" t="inlineStr">
        <is>
          <t>Pass</t>
        </is>
      </c>
      <c r="D42" s="30" t="inlineStr">
        <is>
          <t>(không có ảnh — test bị bỏ qua hoàn toàn, xem e2e/report/index.html)</t>
        </is>
      </c>
    </row>
    <row r="43" ht="18" customHeight="1">
      <c r="A43" s="2" t="inlineStr">
        <is>
          <t>TC-HOME-004</t>
        </is>
      </c>
      <c r="B43" s="28" t="inlineStr">
        <is>
          <t>Tìm kiếm với từ khóa không tồn tại</t>
        </is>
      </c>
      <c r="C43" s="29" t="inlineStr">
        <is>
          <t>Pass</t>
        </is>
      </c>
      <c r="D43" s="30" t="inlineStr">
        <is>
          <t>(không có ảnh — test bị bỏ qua hoàn toàn, xem e2e/report/index.html)</t>
        </is>
      </c>
    </row>
    <row r="44" ht="18" customHeight="1">
      <c r="A44" s="2" t="inlineStr">
        <is>
          <t>TC-HOME-005</t>
        </is>
      </c>
      <c r="B44" s="28" t="inlineStr">
        <is>
          <t>Tìm kiếm với ô tìm kiếm để trống</t>
        </is>
      </c>
      <c r="C44" s="29" t="inlineStr">
        <is>
          <t>Pass</t>
        </is>
      </c>
      <c r="D44" s="30" t="inlineStr">
        <is>
          <t>(không có ảnh — test bị bỏ qua hoàn toàn, xem e2e/report/index.html)</t>
        </is>
      </c>
    </row>
    <row r="45" ht="18" customHeight="1">
      <c r="A45" s="2" t="inlineStr">
        <is>
          <t>TC-HOME-006</t>
        </is>
      </c>
      <c r="B45" s="28" t="inlineStr">
        <is>
          <t>Tìm kiếm chứa ký tự đặc biệt / script injection</t>
        </is>
      </c>
      <c r="C45" s="29" t="inlineStr">
        <is>
          <t>Pass</t>
        </is>
      </c>
      <c r="D45" s="30" t="inlineStr">
        <is>
          <t>(không có ảnh — test bị bỏ qua hoàn toàn, xem e2e/report/index.html)</t>
        </is>
      </c>
    </row>
    <row r="46" ht="18" customHeight="1">
      <c r="A46" s="2" t="inlineStr">
        <is>
          <t>TC-HOME-007</t>
        </is>
      </c>
      <c r="B46" s="28" t="inlineStr">
        <is>
          <t>Lọc danh sách theo 1 danh mục (Công nghệ)</t>
        </is>
      </c>
      <c r="C46" s="29" t="inlineStr">
        <is>
          <t>Pass</t>
        </is>
      </c>
      <c r="D46" s="30" t="inlineStr">
        <is>
          <t>(không có ảnh — test bị bỏ qua hoàn toàn, xem e2e/report/index.html)</t>
        </is>
      </c>
    </row>
    <row r="47" ht="18" customHeight="1">
      <c r="A47" s="2" t="inlineStr">
        <is>
          <t>TC-HOME-008</t>
        </is>
      </c>
      <c r="B47" s="28" t="inlineStr">
        <is>
          <t>Lọc theo nhiều danh mục cùng lúc (chuyển đổi vẫn đúng dữ liệu)</t>
        </is>
      </c>
      <c r="C47" s="29" t="inlineStr">
        <is>
          <t>Pass</t>
        </is>
      </c>
      <c r="D47" s="30" t="inlineStr">
        <is>
          <t>(không có ảnh — test bị bỏ qua hoàn toàn, xem e2e/report/index.html)</t>
        </is>
      </c>
    </row>
    <row r="48" ht="18" customHeight="1">
      <c r="A48" s="2" t="inlineStr">
        <is>
          <t>TC-HOME-009</t>
        </is>
      </c>
      <c r="B48" s="28" t="inlineStr">
        <is>
          <t>TC-HOME-009 (đã điều chỉnh — lọc theo LOẠI GIÁ, không có khoảng giá min/max trong UI hiện tại): Lọc theo giá "Có phí"</t>
        </is>
      </c>
      <c r="C48" s="29" t="inlineStr">
        <is>
          <t>Pass</t>
        </is>
      </c>
      <c r="D48" s="30" t="inlineStr">
        <is>
          <t>(không có ảnh — test bị bỏ qua hoàn toàn, xem e2e/report/index.html)</t>
        </is>
      </c>
    </row>
    <row r="49" ht="18" customHeight="1">
      <c r="A49" s="2" t="inlineStr">
        <is>
          <t>TC-HOME-010</t>
        </is>
      </c>
      <c r="B49" s="28" t="inlineStr">
        <is>
          <t>Lọc theo loại công khai/riêng tư</t>
        </is>
      </c>
      <c r="C49" s="29" t="inlineStr">
        <is>
          <t>Pass</t>
        </is>
      </c>
      <c r="D49" s="30" t="inlineStr">
        <is>
          <t>(không có ảnh — test bị bỏ qua hoàn toàn, xem e2e/report/index.html)</t>
        </is>
      </c>
    </row>
    <row r="50" ht="18" customHeight="1">
      <c r="A50" s="2" t="inlineStr">
        <is>
          <t>TC-HOME-011</t>
        </is>
      </c>
      <c r="B50" s="28" t="inlineStr">
        <is>
          <t>Lọc theo trạng thái khóa học</t>
        </is>
      </c>
      <c r="C50" s="29" t="inlineStr">
        <is>
          <t>Pass</t>
        </is>
      </c>
      <c r="D50" s="30" t="inlineStr">
        <is>
          <t>(không có ảnh — test bị bỏ qua hoàn toàn, xem e2e/report/index.html)</t>
        </is>
      </c>
    </row>
    <row r="51" ht="18" customHeight="1">
      <c r="A51" s="2" t="inlineStr">
        <is>
          <t>TC-HOME-012</t>
        </is>
      </c>
      <c r="B51" s="28" t="inlineStr">
        <is>
          <t>Lọc theo ngôn ngữ</t>
        </is>
      </c>
      <c r="C51" s="29" t="inlineStr">
        <is>
          <t>Pass</t>
        </is>
      </c>
      <c r="D51" s="30" t="inlineStr">
        <is>
          <t>(không có ảnh — test bị bỏ qua hoàn toàn, xem e2e/report/index.html)</t>
        </is>
      </c>
    </row>
    <row r="52" ht="18" customHeight="1">
      <c r="A52" s="2" t="inlineStr">
        <is>
          <t>TC-HOME-013</t>
        </is>
      </c>
      <c r="B52" s="28" t="inlineStr">
        <is>
          <t>Kết hợp nhiều bộ lọc cùng lúc (danh mục + giá + loại)</t>
        </is>
      </c>
      <c r="C52" s="29" t="inlineStr">
        <is>
          <t>Pass</t>
        </is>
      </c>
      <c r="D52" s="30" t="inlineStr">
        <is>
          <t>(không có ảnh — test bị bỏ qua hoàn toàn, xem e2e/report/index.html)</t>
        </is>
      </c>
    </row>
    <row r="53" ht="18" customHeight="1">
      <c r="A53" s="2" t="inlineStr">
        <is>
          <t>TC-HOME-014</t>
        </is>
      </c>
      <c r="B53" s="28" t="inlineStr">
        <is>
          <t>Xóa/reset toàn bộ bộ lọc</t>
        </is>
      </c>
      <c r="C53" s="29" t="inlineStr">
        <is>
          <t>Pass</t>
        </is>
      </c>
      <c r="D53" s="30" t="inlineStr">
        <is>
          <t>(không có ảnh — test bị bỏ qua hoàn toàn, xem e2e/report/index.html)</t>
        </is>
      </c>
    </row>
    <row r="54" ht="18" customHeight="1">
      <c r="A54" s="2" t="inlineStr">
        <is>
          <t>TC-HOME-015</t>
        </is>
      </c>
      <c r="B54" s="28" t="inlineStr">
        <is>
          <t>Sắp xếp theo Đang nổi</t>
        </is>
      </c>
      <c r="C54" s="29" t="inlineStr">
        <is>
          <t>Pass</t>
        </is>
      </c>
      <c r="D54" s="30" t="inlineStr">
        <is>
          <t>(không có ảnh — test bị bỏ qua hoàn toàn, xem e2e/report/index.html)</t>
        </is>
      </c>
    </row>
    <row r="55" ht="18" customHeight="1">
      <c r="A55" s="2" t="inlineStr">
        <is>
          <t>TC-HOME-016</t>
        </is>
      </c>
      <c r="B55" s="28" t="inlineStr">
        <is>
          <t>Sắp xếp theo Hàng đầu</t>
        </is>
      </c>
      <c r="C55" s="29" t="inlineStr">
        <is>
          <t>Pass</t>
        </is>
      </c>
      <c r="D55" s="30" t="inlineStr">
        <is>
          <t>(không có ảnh — test bị bỏ qua hoàn toàn, xem e2e/report/index.html)</t>
        </is>
      </c>
    </row>
    <row r="56" ht="18" customHeight="1">
      <c r="A56" s="2" t="inlineStr">
        <is>
          <t>TC-HOME-017</t>
        </is>
      </c>
      <c r="B56" s="28" t="inlineStr">
        <is>
          <t>Sắp xếp theo Mới nhất</t>
        </is>
      </c>
      <c r="C56" s="29" t="inlineStr">
        <is>
          <t>Pass</t>
        </is>
      </c>
      <c r="D56" s="30" t="inlineStr">
        <is>
          <t>(không có ảnh — test bị bỏ qua hoàn toàn, xem e2e/report/index.html)</t>
        </is>
      </c>
    </row>
    <row r="57" ht="18" customHeight="1">
      <c r="A57" s="2" t="inlineStr">
        <is>
          <t>TC-HOME-018</t>
        </is>
      </c>
      <c r="B57" s="28" t="inlineStr">
        <is>
          <t>Chuyển đổi qua lại giữa xem lưới và danh sách</t>
        </is>
      </c>
      <c r="C57" s="29" t="inlineStr">
        <is>
          <t>Pass</t>
        </is>
      </c>
      <c r="D57" s="30" t="inlineStr">
        <is>
          <t>(không có ảnh — test bị bỏ qua hoàn toàn, xem e2e/report/index.html)</t>
        </is>
      </c>
    </row>
    <row r="58" ht="18" customHeight="1">
      <c r="A58" s="2" t="inlineStr">
        <is>
          <t>TC-HOME-019</t>
        </is>
      </c>
      <c r="B58" s="28" t="inlineStr">
        <is>
          <t>Chuyển sang trang kết quả tiếp theo</t>
        </is>
      </c>
      <c r="C58" s="29" t="inlineStr">
        <is>
          <t>Pass</t>
        </is>
      </c>
      <c r="D58" s="30" t="inlineStr">
        <is>
          <t>(không có ảnh — test bị bỏ qua hoàn toàn, xem e2e/report/index.html)</t>
        </is>
      </c>
    </row>
    <row r="59" ht="18" customHeight="1">
      <c r="A59" s="2" t="inlineStr">
        <is>
          <t>TC-HOME-020</t>
        </is>
      </c>
      <c r="B59" s="28" t="inlineStr">
        <is>
          <t>Quay lại trang trước đó</t>
        </is>
      </c>
      <c r="C59" s="29" t="inlineStr">
        <is>
          <t>Pass</t>
        </is>
      </c>
      <c r="D59" s="30" t="inlineStr">
        <is>
          <t>(không có ảnh — test bị bỏ qua hoàn toàn, xem e2e/report/index.html)</t>
        </is>
      </c>
    </row>
    <row r="60" ht="18" customHeight="1">
      <c r="A60" s="2" t="inlineStr">
        <is>
          <t>TC-HOME-021</t>
        </is>
      </c>
      <c r="B60" s="28" t="inlineStr">
        <is>
          <t>Số liệu nổi bật (hero) hiển thị đúng theo API</t>
        </is>
      </c>
      <c r="C60" s="29" t="inlineStr">
        <is>
          <t>Pass</t>
        </is>
      </c>
      <c r="D60" s="30" t="inlineStr">
        <is>
          <t>(không có ảnh — test bị bỏ qua hoàn toàn, xem e2e/report/index.html)</t>
        </is>
      </c>
    </row>
    <row r="61" ht="18" customHeight="1">
      <c r="A61" s="2" t="inlineStr">
        <is>
          <t>TC-HOME-022</t>
        </is>
      </c>
      <c r="B61" s="28" t="inlineStr">
        <is>
          <t>Hiển thị đánh giá/phản hồi nổi bật trên trang chủ (Stories)</t>
        </is>
      </c>
      <c r="C61" s="29" t="inlineStr">
        <is>
          <t>Pass</t>
        </is>
      </c>
      <c r="D61" s="30" t="inlineStr">
        <is>
          <t>(không có ảnh — test bị bỏ qua hoàn toàn, xem e2e/report/index.html)</t>
        </is>
      </c>
    </row>
    <row r="62" ht="18" customHeight="1">
      <c r="A62" s="2" t="inlineStr">
        <is>
          <t>TC-HOME-023</t>
        </is>
      </c>
      <c r="B62" s="28" t="inlineStr">
        <is>
          <t>Tìm kiếm không phân biệt hoa/thường</t>
        </is>
      </c>
      <c r="C62" s="29" t="inlineStr">
        <is>
          <t>Pass</t>
        </is>
      </c>
      <c r="D62" s="30" t="inlineStr">
        <is>
          <t>(không có ảnh — test bị bỏ qua hoàn toàn, xem e2e/report/index.html)</t>
        </is>
      </c>
    </row>
    <row r="63" ht="18" customHeight="1">
      <c r="A63" s="2" t="inlineStr">
        <is>
          <t>TC-HOME-024</t>
        </is>
      </c>
      <c r="B63" s="28" t="inlineStr">
        <is>
          <t>Tìm kiếm với khoảng trắng thừa ở đầu/cuối từ khóa</t>
        </is>
      </c>
      <c r="C63" s="29" t="inlineStr">
        <is>
          <t>Pass</t>
        </is>
      </c>
      <c r="D63" s="30" t="inlineStr">
        <is>
          <t>(không có ảnh — test bị bỏ qua hoàn toàn, xem e2e/report/index.html)</t>
        </is>
      </c>
    </row>
    <row r="64" ht="18" customHeight="1">
      <c r="A64" s="2" t="inlineStr">
        <is>
          <t>TC-HOME-025</t>
        </is>
      </c>
      <c r="B64" s="28" t="inlineStr">
        <is>
          <t>Tìm kiếm không dấu vẫn ra kết quả có dấu tiếng Việt</t>
        </is>
      </c>
      <c r="C64" s="29" t="inlineStr">
        <is>
          <t>Pass</t>
        </is>
      </c>
      <c r="D64" s="30" t="inlineStr">
        <is>
          <t>(không có ảnh — test bị bỏ qua hoàn toàn, xem e2e/report/index.html)</t>
        </is>
      </c>
    </row>
    <row r="65" ht="18" customHeight="1">
      <c r="A65" s="2" t="inlineStr">
        <is>
          <t>TC-HOME-026</t>
        </is>
      </c>
      <c r="B65" s="28" t="inlineStr">
        <is>
          <t>Lọc theo giá — không áp dụng với UI hiện tại (không có input khoảng giá min/max)</t>
        </is>
      </c>
      <c r="C65" s="31" t="inlineStr">
        <is>
          <t>N/A</t>
        </is>
      </c>
      <c r="D65" s="30" t="inlineStr">
        <is>
          <t>(không có ảnh — test bị bỏ qua hoàn toàn, xem e2e/report/index.html)</t>
        </is>
      </c>
    </row>
    <row r="66" ht="18" customHeight="1">
      <c r="A66" s="2" t="inlineStr">
        <is>
          <t>TC-HOME-027</t>
        </is>
      </c>
      <c r="B66" s="28" t="inlineStr">
        <is>
          <t>Lọc theo giá trị âm — không áp dụng với UI hiện tại</t>
        </is>
      </c>
      <c r="C66" s="31" t="inlineStr">
        <is>
          <t>N/A</t>
        </is>
      </c>
      <c r="D66" s="30" t="inlineStr">
        <is>
          <t>(không có ảnh — test bị bỏ qua hoàn toàn, xem e2e/report/index.html)</t>
        </is>
      </c>
    </row>
    <row r="67" ht="18" customHeight="1">
      <c r="A67" s="2" t="inlineStr">
        <is>
          <t>TC-HOME-028</t>
        </is>
      </c>
      <c r="B67" s="28" t="inlineStr">
        <is>
          <t>TC-HOME-028 (đã điều chỉnh — không có phân trang qua URL, kiểm tra biên qua nút bấm): Nút "Trang sau" tự vô hiệu hóa ở trang cuối</t>
        </is>
      </c>
      <c r="C67" s="29" t="inlineStr">
        <is>
          <t>Pass</t>
        </is>
      </c>
      <c r="D67" s="30" t="inlineStr">
        <is>
          <t>(không có ảnh — test bị bỏ qua hoàn toàn, xem e2e/report/index.html)</t>
        </is>
      </c>
    </row>
    <row r="68" ht="18" customHeight="1">
      <c r="A68" s="2" t="inlineStr">
        <is>
          <t>TC-HOME-029</t>
        </is>
      </c>
      <c r="B68" s="28" t="inlineStr">
        <is>
          <t>TC-HOME-029 (đã điều chỉnh — không có phân trang qua URL): Nút "Trang trước" tự vô hiệu hóa ở trang 1</t>
        </is>
      </c>
      <c r="C68" s="29" t="inlineStr">
        <is>
          <t>Pass</t>
        </is>
      </c>
      <c r="D68" s="30" t="inlineStr">
        <is>
          <t>(không có ảnh — test bị bỏ qua hoàn toàn, xem e2e/report/index.html)</t>
        </is>
      </c>
    </row>
    <row r="69" ht="18" customHeight="1">
      <c r="A69" s="2" t="inlineStr">
        <is>
          <t>TC-HOME-030</t>
        </is>
      </c>
      <c r="B69" s="28" t="inlineStr">
        <is>
          <t>Giữ nguyên điều kiện tìm kiếm/lọc/sắp xếp khi chuyển trang</t>
        </is>
      </c>
      <c r="C69" s="29" t="inlineStr">
        <is>
          <t>Pass</t>
        </is>
      </c>
      <c r="D69" s="30" t="inlineStr">
        <is>
          <t>(không có ảnh — test bị bỏ qua hoàn toàn, xem e2e/report/index.html)</t>
        </is>
      </c>
    </row>
    <row r="70" ht="18" customHeight="1">
      <c r="A70" s="2" t="inlineStr">
        <is>
          <t>TC-HOME-031</t>
        </is>
      </c>
      <c r="B70" s="28" t="inlineStr">
        <is>
          <t>Khách (Guest) xem được trang khám phá không cần đăng nhập</t>
        </is>
      </c>
      <c r="C70" s="29" t="inlineStr">
        <is>
          <t>Pass</t>
        </is>
      </c>
      <c r="D70" s="30" t="inlineStr">
        <is>
          <t>(không có ảnh — test bị bỏ qua hoàn toàn, xem e2e/report/index.html)</t>
        </is>
      </c>
    </row>
    <row r="71" ht="18" customHeight="1">
      <c r="A71" s="2" t="inlineStr">
        <is>
          <t>TC-HOME-032</t>
        </is>
      </c>
      <c r="B71" s="28" t="inlineStr">
        <is>
          <t>Khách bấm "Tham gia ngay" bị chuyển hướng sang trang Đăng nhập</t>
        </is>
      </c>
      <c r="C71" s="29" t="inlineStr">
        <is>
          <t>Pass</t>
        </is>
      </c>
      <c r="D71" s="30" t="inlineStr">
        <is>
          <t>(không có ảnh — test bị bỏ qua hoàn toàn, xem e2e/report/index.html)</t>
        </is>
      </c>
    </row>
    <row r="72" ht="18" customHeight="1">
      <c r="A72" s="2" t="inlineStr">
        <is>
          <t>TC-SEC-002</t>
        </is>
      </c>
      <c r="B72" s="28" t="inlineStr">
        <is>
          <t>Access token được cấu hình hết hiệu lực sau 15 phút (kiểm tra claim exp-iat, không chờ thật)</t>
        </is>
      </c>
      <c r="C72" s="29" t="inlineStr">
        <is>
          <t>Pass</t>
        </is>
      </c>
      <c r="D72" s="30" t="inlineStr">
        <is>
          <t>(không có ảnh — test bị bỏ qua hoàn toàn, xem e2e/report/index.html)</t>
        </is>
      </c>
    </row>
    <row r="73" ht="18" customHeight="1">
      <c r="A73" s="2" t="inlineStr">
        <is>
          <t>TC-SEC-003</t>
        </is>
      </c>
      <c r="B73" s="28" t="inlineStr">
        <is>
          <t>Refresh token chỉ dùng được một lần</t>
        </is>
      </c>
      <c r="C73" s="29" t="inlineStr">
        <is>
          <t>Pass</t>
        </is>
      </c>
      <c r="D73" s="30" t="inlineStr">
        <is>
          <t>(không có ảnh — test bị bỏ qua hoàn toàn, xem e2e/report/index.html)</t>
        </is>
      </c>
    </row>
    <row r="74" ht="18" customHeight="1">
      <c r="A74" s="2" t="inlineStr">
        <is>
          <t>TC-SEC-004</t>
        </is>
      </c>
      <c r="B74" s="28" t="inlineStr">
        <is>
          <t>Đăng xuất vô hiệu hóa refresh token của TẤT CẢ thiết bị (mọi phiên)</t>
        </is>
      </c>
      <c r="C74" s="29" t="inlineStr">
        <is>
          <t>Pass</t>
        </is>
      </c>
      <c r="D74" s="30" t="inlineStr">
        <is>
          <t>(không có ảnh — test bị bỏ qua hoàn toàn, xem e2e/report/index.html)</t>
        </is>
      </c>
    </row>
    <row r="75" ht="18" customHeight="1">
      <c r="A75" s="2" t="inlineStr">
        <is>
          <t>TC-SEC-008</t>
        </is>
      </c>
      <c r="B75" s="28" t="inlineStr">
        <is>
          <t>Trang khám phá tải trong thời gian chấp nhận được</t>
        </is>
      </c>
      <c r="C75" s="29" t="inlineStr">
        <is>
          <t>Pass</t>
        </is>
      </c>
      <c r="D75" s="30" t="inlineStr">
        <is>
          <t>(không có ảnh — test bị bỏ qua hoàn toàn, xem e2e/report/index.html)</t>
        </is>
      </c>
    </row>
    <row r="76" ht="18" customHeight="1">
      <c r="A76" s="2" t="inlineStr">
        <is>
          <t>TC-SEC-009</t>
        </is>
      </c>
      <c r="B76" s="28" t="inlineStr">
        <is>
          <t>Giao diện responsive trên điện thoại di động (375px)</t>
        </is>
      </c>
      <c r="C76" s="29" t="inlineStr">
        <is>
          <t>Pass</t>
        </is>
      </c>
      <c r="D76" s="30" t="inlineStr">
        <is>
          <t>(không có ảnh — test bị bỏ qua hoàn toàn, xem e2e/report/index.html)</t>
        </is>
      </c>
    </row>
    <row r="77" ht="18" customHeight="1">
      <c r="A77" s="2" t="inlineStr">
        <is>
          <t>TC-SEC-010</t>
        </is>
      </c>
      <c r="B77" s="28" t="inlineStr">
        <is>
          <t>Giao diện responsive trên máy tính bảng (774px)</t>
        </is>
      </c>
      <c r="C77" s="29" t="inlineStr">
        <is>
          <t>Pass</t>
        </is>
      </c>
      <c r="D77" s="30" t="inlineStr">
        <is>
          <t>(không có ảnh — test bị bỏ qua hoàn toàn, xem e2e/report/index.html)</t>
        </is>
      </c>
    </row>
    <row r="78" ht="18" customHeight="1">
      <c r="A78" s="2" t="inlineStr">
        <is>
          <t>TC-SEC-011</t>
        </is>
      </c>
      <c r="B78" s="28" t="inlineStr">
        <is>
          <t>Trang công khai có thẻ meta/title phù hợp cho SEO</t>
        </is>
      </c>
      <c r="C78" s="29" t="inlineStr">
        <is>
          <t>Pass</t>
        </is>
      </c>
      <c r="D78" s="30"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2026-10-01T05:46:52Z</dcterms:created>
  <dcterms:modified xmlns:dcterms="http://purl.org/dc/terms/" xmlns:xsi="http://www.w3.org/2001/XMLSchema-instance" xsi:type="dcterms:W3CDTF">2026-10-01T05:47:08Z</dcterms:modified>
</cp:coreProperties>
</file>